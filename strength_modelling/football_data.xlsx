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rone\Documents\fantasy_premier_league\strength_modelling\"/>
    </mc:Choice>
  </mc:AlternateContent>
  <xr:revisionPtr revIDLastSave="0" documentId="13_ncr:1_{B20FAAA3-A763-4030-ABDF-7B112830B2C0}" xr6:coauthVersionLast="47" xr6:coauthVersionMax="47" xr10:uidLastSave="{00000000-0000-0000-0000-000000000000}"/>
  <bookViews>
    <workbookView xWindow="-120" yWindow="-120" windowWidth="29040" windowHeight="15720" xr2:uid="{67F8ABB9-FD65-480A-9518-D38AF2D9FABD}"/>
  </bookViews>
  <sheets>
    <sheet name="Data" sheetId="1" r:id="rId1"/>
    <sheet name="Matches" sheetId="2" r:id="rId2"/>
  </sheets>
  <externalReferences>
    <externalReference r:id="rId3"/>
  </externalReferences>
  <definedNames>
    <definedName name="_xlnm._FilterDatabase" localSheetId="0" hidden="1">Data!$A$1:$O$1961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AC21" i="2"/>
  <c r="AA21" i="2"/>
  <c r="Z21" i="2"/>
  <c r="Y21" i="2"/>
  <c r="X21" i="2"/>
  <c r="V21" i="2"/>
  <c r="T21" i="2"/>
  <c r="S21" i="2"/>
  <c r="R21" i="2"/>
  <c r="Q21" i="2"/>
  <c r="O21" i="2"/>
  <c r="M21" i="2"/>
  <c r="L21" i="2"/>
  <c r="K21" i="2"/>
  <c r="J21" i="2"/>
  <c r="H21" i="2"/>
  <c r="F21" i="2"/>
  <c r="E21" i="2"/>
  <c r="D21" i="2"/>
  <c r="C21" i="2"/>
  <c r="AC20" i="2"/>
  <c r="AA20" i="2"/>
  <c r="Z20" i="2"/>
  <c r="Y20" i="2"/>
  <c r="X20" i="2"/>
  <c r="V20" i="2"/>
  <c r="T20" i="2"/>
  <c r="S20" i="2"/>
  <c r="R20" i="2"/>
  <c r="Q20" i="2"/>
  <c r="O20" i="2"/>
  <c r="M20" i="2"/>
  <c r="L20" i="2"/>
  <c r="K20" i="2"/>
  <c r="J20" i="2"/>
  <c r="H20" i="2"/>
  <c r="F20" i="2"/>
  <c r="E20" i="2"/>
  <c r="D20" i="2"/>
  <c r="C20" i="2"/>
  <c r="AC19" i="2"/>
  <c r="AA19" i="2"/>
  <c r="Z19" i="2"/>
  <c r="Y19" i="2"/>
  <c r="X19" i="2"/>
  <c r="V19" i="2"/>
  <c r="T19" i="2"/>
  <c r="S19" i="2"/>
  <c r="R19" i="2"/>
  <c r="Q19" i="2"/>
  <c r="O19" i="2"/>
  <c r="M19" i="2"/>
  <c r="L19" i="2"/>
  <c r="K19" i="2"/>
  <c r="J19" i="2"/>
  <c r="H19" i="2"/>
  <c r="F19" i="2"/>
  <c r="E19" i="2"/>
  <c r="D19" i="2"/>
  <c r="C19" i="2"/>
  <c r="AC18" i="2"/>
  <c r="AA18" i="2"/>
  <c r="Z18" i="2"/>
  <c r="Y18" i="2"/>
  <c r="X18" i="2"/>
  <c r="V18" i="2"/>
  <c r="T18" i="2"/>
  <c r="S18" i="2"/>
  <c r="R18" i="2"/>
  <c r="Q18" i="2"/>
  <c r="O18" i="2"/>
  <c r="M18" i="2"/>
  <c r="L18" i="2"/>
  <c r="K18" i="2"/>
  <c r="J18" i="2"/>
  <c r="H18" i="2"/>
  <c r="F18" i="2"/>
  <c r="E18" i="2"/>
  <c r="D18" i="2"/>
  <c r="C18" i="2"/>
  <c r="AC17" i="2"/>
  <c r="AA17" i="2"/>
  <c r="Z17" i="2"/>
  <c r="Y17" i="2"/>
  <c r="X17" i="2"/>
  <c r="V17" i="2"/>
  <c r="T17" i="2"/>
  <c r="S17" i="2"/>
  <c r="R17" i="2"/>
  <c r="Q17" i="2"/>
  <c r="O17" i="2"/>
  <c r="M17" i="2"/>
  <c r="L17" i="2"/>
  <c r="K17" i="2"/>
  <c r="J17" i="2"/>
  <c r="H17" i="2"/>
  <c r="F17" i="2"/>
  <c r="E17" i="2"/>
  <c r="D17" i="2"/>
  <c r="C17" i="2"/>
  <c r="AC16" i="2"/>
  <c r="AA16" i="2"/>
  <c r="Z16" i="2"/>
  <c r="Y16" i="2"/>
  <c r="X16" i="2"/>
  <c r="V16" i="2"/>
  <c r="T16" i="2"/>
  <c r="S16" i="2"/>
  <c r="R16" i="2"/>
  <c r="Q16" i="2"/>
  <c r="O16" i="2"/>
  <c r="M16" i="2"/>
  <c r="L16" i="2"/>
  <c r="K16" i="2"/>
  <c r="J16" i="2"/>
  <c r="H16" i="2"/>
  <c r="F16" i="2"/>
  <c r="E16" i="2"/>
  <c r="D16" i="2"/>
  <c r="C16" i="2"/>
  <c r="AC15" i="2"/>
  <c r="AA15" i="2"/>
  <c r="Z15" i="2"/>
  <c r="Y15" i="2"/>
  <c r="X15" i="2"/>
  <c r="V15" i="2"/>
  <c r="T15" i="2"/>
  <c r="S15" i="2"/>
  <c r="R15" i="2"/>
  <c r="Q15" i="2"/>
  <c r="O15" i="2"/>
  <c r="M15" i="2"/>
  <c r="L15" i="2"/>
  <c r="K15" i="2"/>
  <c r="J15" i="2"/>
  <c r="H15" i="2"/>
  <c r="F15" i="2"/>
  <c r="E15" i="2"/>
  <c r="D15" i="2"/>
  <c r="C15" i="2"/>
  <c r="AC14" i="2"/>
  <c r="AA14" i="2"/>
  <c r="Z14" i="2"/>
  <c r="Y14" i="2"/>
  <c r="X14" i="2"/>
  <c r="V14" i="2"/>
  <c r="T14" i="2"/>
  <c r="S14" i="2"/>
  <c r="R14" i="2"/>
  <c r="Q14" i="2"/>
  <c r="O14" i="2"/>
  <c r="M14" i="2"/>
  <c r="L14" i="2"/>
  <c r="K14" i="2"/>
  <c r="J14" i="2"/>
  <c r="H14" i="2"/>
  <c r="F14" i="2"/>
  <c r="E14" i="2"/>
  <c r="D14" i="2"/>
  <c r="C14" i="2"/>
  <c r="AC13" i="2"/>
  <c r="AA13" i="2"/>
  <c r="Z13" i="2"/>
  <c r="Y13" i="2"/>
  <c r="X13" i="2"/>
  <c r="V13" i="2"/>
  <c r="T13" i="2"/>
  <c r="S13" i="2"/>
  <c r="R13" i="2"/>
  <c r="Q13" i="2"/>
  <c r="O13" i="2"/>
  <c r="M13" i="2"/>
  <c r="L13" i="2"/>
  <c r="K13" i="2"/>
  <c r="J13" i="2"/>
  <c r="H13" i="2"/>
  <c r="F13" i="2"/>
  <c r="E13" i="2"/>
  <c r="D13" i="2"/>
  <c r="C13" i="2"/>
  <c r="AC12" i="2"/>
  <c r="AA12" i="2"/>
  <c r="Z12" i="2"/>
  <c r="Y12" i="2"/>
  <c r="X12" i="2"/>
  <c r="V12" i="2"/>
  <c r="T12" i="2"/>
  <c r="S12" i="2"/>
  <c r="R12" i="2"/>
  <c r="Q12" i="2"/>
  <c r="O12" i="2"/>
  <c r="M12" i="2"/>
  <c r="L12" i="2"/>
  <c r="K12" i="2"/>
  <c r="J12" i="2"/>
  <c r="H12" i="2"/>
  <c r="F12" i="2"/>
  <c r="E12" i="2"/>
  <c r="D12" i="2"/>
  <c r="C12" i="2"/>
  <c r="AC11" i="2"/>
  <c r="AA11" i="2"/>
  <c r="Z11" i="2"/>
  <c r="Y11" i="2"/>
  <c r="X11" i="2"/>
  <c r="V11" i="2"/>
  <c r="T11" i="2"/>
  <c r="S11" i="2"/>
  <c r="R11" i="2"/>
  <c r="Q11" i="2"/>
  <c r="O11" i="2"/>
  <c r="M11" i="2"/>
  <c r="L11" i="2"/>
  <c r="K11" i="2"/>
  <c r="J11" i="2"/>
  <c r="H11" i="2"/>
  <c r="F11" i="2"/>
  <c r="E11" i="2"/>
  <c r="D11" i="2"/>
  <c r="C11" i="2"/>
  <c r="AC10" i="2"/>
  <c r="AA10" i="2"/>
  <c r="Z10" i="2"/>
  <c r="Y10" i="2"/>
  <c r="X10" i="2"/>
  <c r="V10" i="2"/>
  <c r="T10" i="2"/>
  <c r="S10" i="2"/>
  <c r="R10" i="2"/>
  <c r="Q10" i="2"/>
  <c r="O10" i="2"/>
  <c r="M10" i="2"/>
  <c r="L10" i="2"/>
  <c r="K10" i="2"/>
  <c r="J10" i="2"/>
  <c r="H10" i="2"/>
  <c r="F10" i="2"/>
  <c r="E10" i="2"/>
  <c r="D10" i="2"/>
  <c r="C10" i="2"/>
  <c r="AC9" i="2"/>
  <c r="AA9" i="2"/>
  <c r="Z9" i="2"/>
  <c r="Y9" i="2"/>
  <c r="X9" i="2"/>
  <c r="V9" i="2"/>
  <c r="T9" i="2"/>
  <c r="S9" i="2"/>
  <c r="R9" i="2"/>
  <c r="Q9" i="2"/>
  <c r="O9" i="2"/>
  <c r="M9" i="2"/>
  <c r="L9" i="2"/>
  <c r="K9" i="2"/>
  <c r="J9" i="2"/>
  <c r="H9" i="2"/>
  <c r="F9" i="2"/>
  <c r="E9" i="2"/>
  <c r="D9" i="2"/>
  <c r="C9" i="2"/>
  <c r="AC8" i="2"/>
  <c r="AA8" i="2"/>
  <c r="Z8" i="2"/>
  <c r="Y8" i="2"/>
  <c r="X8" i="2"/>
  <c r="V8" i="2"/>
  <c r="T8" i="2"/>
  <c r="S8" i="2"/>
  <c r="R8" i="2"/>
  <c r="Q8" i="2"/>
  <c r="O8" i="2"/>
  <c r="M8" i="2"/>
  <c r="L8" i="2"/>
  <c r="K8" i="2"/>
  <c r="J8" i="2"/>
  <c r="H8" i="2"/>
  <c r="F8" i="2"/>
  <c r="E8" i="2"/>
  <c r="D8" i="2"/>
  <c r="C8" i="2"/>
  <c r="AC7" i="2"/>
  <c r="AA7" i="2"/>
  <c r="Z7" i="2"/>
  <c r="Y7" i="2"/>
  <c r="X7" i="2"/>
  <c r="V7" i="2"/>
  <c r="T7" i="2"/>
  <c r="S7" i="2"/>
  <c r="R7" i="2"/>
  <c r="Q7" i="2"/>
  <c r="O7" i="2"/>
  <c r="M7" i="2"/>
  <c r="L7" i="2"/>
  <c r="K7" i="2"/>
  <c r="J7" i="2"/>
  <c r="H7" i="2"/>
  <c r="F7" i="2"/>
  <c r="E7" i="2"/>
  <c r="D7" i="2"/>
  <c r="C7" i="2"/>
  <c r="AC6" i="2"/>
  <c r="AA6" i="2"/>
  <c r="Z6" i="2"/>
  <c r="Y6" i="2"/>
  <c r="X6" i="2"/>
  <c r="V6" i="2"/>
  <c r="T6" i="2"/>
  <c r="S6" i="2"/>
  <c r="R6" i="2"/>
  <c r="Q6" i="2"/>
  <c r="O6" i="2"/>
  <c r="M6" i="2"/>
  <c r="L6" i="2"/>
  <c r="K6" i="2"/>
  <c r="J6" i="2"/>
  <c r="H6" i="2"/>
  <c r="F6" i="2"/>
  <c r="E6" i="2"/>
  <c r="D6" i="2"/>
  <c r="C6" i="2"/>
  <c r="AC5" i="2"/>
  <c r="AA5" i="2"/>
  <c r="Z5" i="2"/>
  <c r="Y5" i="2"/>
  <c r="X5" i="2"/>
  <c r="V5" i="2"/>
  <c r="T5" i="2"/>
  <c r="S5" i="2"/>
  <c r="R5" i="2"/>
  <c r="Q5" i="2"/>
  <c r="O5" i="2"/>
  <c r="M5" i="2"/>
  <c r="L5" i="2"/>
  <c r="K5" i="2"/>
  <c r="J5" i="2"/>
  <c r="H5" i="2"/>
  <c r="F5" i="2"/>
  <c r="E5" i="2"/>
  <c r="D5" i="2"/>
  <c r="C5" i="2"/>
  <c r="AC4" i="2"/>
  <c r="AA4" i="2"/>
  <c r="Z4" i="2"/>
  <c r="Y4" i="2"/>
  <c r="X4" i="2"/>
  <c r="V4" i="2"/>
  <c r="T4" i="2"/>
  <c r="S4" i="2"/>
  <c r="R4" i="2"/>
  <c r="Q4" i="2"/>
  <c r="O4" i="2"/>
  <c r="M4" i="2"/>
  <c r="L4" i="2"/>
  <c r="K4" i="2"/>
  <c r="J4" i="2"/>
  <c r="H4" i="2"/>
  <c r="F4" i="2"/>
  <c r="E4" i="2"/>
  <c r="D4" i="2"/>
  <c r="C4" i="2"/>
  <c r="AC3" i="2"/>
  <c r="AA3" i="2"/>
  <c r="Z3" i="2"/>
  <c r="Y3" i="2"/>
  <c r="X3" i="2"/>
  <c r="V3" i="2"/>
  <c r="T3" i="2"/>
  <c r="S3" i="2"/>
  <c r="R3" i="2"/>
  <c r="Q3" i="2"/>
  <c r="O3" i="2"/>
  <c r="M3" i="2"/>
  <c r="L3" i="2"/>
  <c r="K3" i="2"/>
  <c r="J3" i="2"/>
  <c r="H3" i="2"/>
  <c r="F3" i="2"/>
  <c r="E3" i="2"/>
  <c r="D3" i="2"/>
  <c r="C3" i="2"/>
  <c r="AC2" i="2"/>
  <c r="AA2" i="2"/>
  <c r="Z2" i="2"/>
  <c r="Y2" i="2"/>
  <c r="X2" i="2"/>
  <c r="V2" i="2"/>
  <c r="T2" i="2"/>
  <c r="S2" i="2"/>
  <c r="R2" i="2"/>
  <c r="Q2" i="2"/>
  <c r="O2" i="2"/>
  <c r="M2" i="2"/>
  <c r="L2" i="2"/>
  <c r="K2" i="2"/>
  <c r="J2" i="2"/>
  <c r="H2" i="2"/>
  <c r="F2" i="2"/>
  <c r="E2" i="2"/>
  <c r="D2" i="2"/>
  <c r="C2" i="2"/>
</calcChain>
</file>

<file path=xl/sharedStrings.xml><?xml version="1.0" encoding="utf-8"?>
<sst xmlns="http://schemas.openxmlformats.org/spreadsheetml/2006/main" count="6104" uniqueCount="68">
  <si>
    <t>A</t>
  </si>
  <si>
    <t>H</t>
  </si>
  <si>
    <t>Team</t>
  </si>
  <si>
    <t>Arsenal</t>
  </si>
  <si>
    <t>Aston Villa</t>
  </si>
  <si>
    <t>Burnley</t>
  </si>
  <si>
    <t>Bournemouth</t>
  </si>
  <si>
    <t>Brentford</t>
  </si>
  <si>
    <t>Brighton</t>
  </si>
  <si>
    <t>Chelsea</t>
  </si>
  <si>
    <t>Crystal Palace</t>
  </si>
  <si>
    <t>Everton</t>
  </si>
  <si>
    <t>Fulham</t>
  </si>
  <si>
    <t>Leeds</t>
  </si>
  <si>
    <t>Liverpool</t>
  </si>
  <si>
    <t>Man City</t>
  </si>
  <si>
    <t>Man Utd</t>
  </si>
  <si>
    <t>Newcastle</t>
  </si>
  <si>
    <t>Nott'm Forest</t>
  </si>
  <si>
    <t>Sunderland</t>
  </si>
  <si>
    <t>Spurs</t>
  </si>
  <si>
    <t>West Ham</t>
  </si>
  <si>
    <t>Wolves</t>
  </si>
  <si>
    <t>GW1</t>
  </si>
  <si>
    <t>GW2</t>
  </si>
  <si>
    <t>GW3</t>
  </si>
  <si>
    <t>GW1 Opponent</t>
  </si>
  <si>
    <t>GW1 Winner Prob</t>
  </si>
  <si>
    <t>GW1 Relegation Prob</t>
  </si>
  <si>
    <t>GW1 Opponent Winner Prob</t>
  </si>
  <si>
    <t>GW1 Opponent Relegation Prob</t>
  </si>
  <si>
    <t>GW1 Venue</t>
  </si>
  <si>
    <t>GW1 Match Win Prob</t>
  </si>
  <si>
    <t>GW2 Opponent</t>
  </si>
  <si>
    <t>GW2 Winner Prob</t>
  </si>
  <si>
    <t>GW2 Relegation Prob</t>
  </si>
  <si>
    <t>GW2 Opponent Winner Prob</t>
  </si>
  <si>
    <t>GW2 Opponent Relegation Prob</t>
  </si>
  <si>
    <t>GW2 Venue</t>
  </si>
  <si>
    <t>GW2 Match Win Prob</t>
  </si>
  <si>
    <t>GW3 Opponent</t>
  </si>
  <si>
    <t>GW3 Winner Prob</t>
  </si>
  <si>
    <t>GW3 Relegation Prob</t>
  </si>
  <si>
    <t>GW3 Opponent Winner Prob</t>
  </si>
  <si>
    <t>GW3 Opponent Relegation Prob</t>
  </si>
  <si>
    <t>GW3 Venue</t>
  </si>
  <si>
    <t>GW3 Match Win Prob</t>
  </si>
  <si>
    <t>GW4 Opponent</t>
  </si>
  <si>
    <t>GW4 Winner Prob</t>
  </si>
  <si>
    <t>GW4 Relegation Prob</t>
  </si>
  <si>
    <t>GW4 Opponent Winner Prob</t>
  </si>
  <si>
    <t>GW4 Opponent Relegation Prob</t>
  </si>
  <si>
    <t>GW4 Venue</t>
  </si>
  <si>
    <t>GW4 Match Win Prob</t>
  </si>
  <si>
    <t>Gameweek</t>
  </si>
  <si>
    <t>Opponent</t>
  </si>
  <si>
    <t>Win</t>
  </si>
  <si>
    <t>Opponent Win</t>
  </si>
  <si>
    <t>Diff</t>
  </si>
  <si>
    <t>Venue</t>
  </si>
  <si>
    <t>Score 1+</t>
  </si>
  <si>
    <t>Assist</t>
  </si>
  <si>
    <t>Yellow Card</t>
  </si>
  <si>
    <t>Clean Sheet</t>
  </si>
  <si>
    <t>Concede 2+ Goals</t>
  </si>
  <si>
    <t>Concede 4+ Goals</t>
  </si>
  <si>
    <t>3+ Saves</t>
  </si>
  <si>
    <t>6+ Saves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</si>
</sst>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9" fontId="16" fillId="0" borderId="0" xfId="1" applyFont="1"/>
    <xf numFmtId="9" fontId="0" fillId="0" borderId="0" xfId="1" applyFont="1"/>
    <xf numFmtId="9" fontId="0" fillId="0" borderId="0" xfId="1" applyFont="1" applyFill="1"/>
    <xf numFmtId="2" fontId="16" fillId="0" borderId="0" xfId="0" applyNumberFormat="1" applyFont="1"/>
    <xf numFmtId="2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yrone\Documents\fantasy_premier_league\strength_modelling\Match%20Odds.xlsx" TargetMode="External"/><Relationship Id="rId1" Type="http://schemas.openxmlformats.org/officeDocument/2006/relationships/externalLinkPath" Target="Match%20Od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Matches"/>
      <sheetName val="Outright Odds GW1"/>
      <sheetName val="Outright Odds GW2"/>
      <sheetName val="Outright Odds GW3"/>
      <sheetName val="Outright Odds GW4"/>
    </sheetNames>
    <sheetDataSet>
      <sheetData sheetId="0"/>
      <sheetData sheetId="1"/>
      <sheetData sheetId="2">
        <row r="1">
          <cell r="A1" t="str">
            <v>Team</v>
          </cell>
          <cell r="B1" t="str">
            <v>Winner</v>
          </cell>
          <cell r="C1" t="str">
            <v>Relegation</v>
          </cell>
        </row>
        <row r="2">
          <cell r="A2" t="str">
            <v>Liverpool</v>
          </cell>
          <cell r="B2">
            <v>0.32840722495894908</v>
          </cell>
          <cell r="C2">
            <v>9.5142952285809422E-4</v>
          </cell>
        </row>
        <row r="3">
          <cell r="A3" t="str">
            <v>Arsenal</v>
          </cell>
          <cell r="B3">
            <v>0.26092628832354858</v>
          </cell>
          <cell r="C3">
            <v>9.5142952285809422E-4</v>
          </cell>
        </row>
        <row r="4">
          <cell r="A4" t="str">
            <v>Man City</v>
          </cell>
          <cell r="B4">
            <v>0.21164021164021163</v>
          </cell>
          <cell r="C4">
            <v>4.5351473922902487E-2</v>
          </cell>
        </row>
        <row r="5">
          <cell r="A5" t="str">
            <v>Chelsea</v>
          </cell>
          <cell r="B5">
            <v>9.5238095238095233E-2</v>
          </cell>
          <cell r="C5">
            <v>4.7382136934375737E-3</v>
          </cell>
        </row>
        <row r="6">
          <cell r="A6" t="str">
            <v>Man Utd</v>
          </cell>
          <cell r="B6">
            <v>3.6630036630036632E-2</v>
          </cell>
          <cell r="C6">
            <v>1.8674136321195144E-2</v>
          </cell>
        </row>
        <row r="7">
          <cell r="A7" t="str">
            <v>Spurs</v>
          </cell>
          <cell r="B7">
            <v>1.8674136321195144E-2</v>
          </cell>
          <cell r="C7">
            <v>9.4295143800094284E-3</v>
          </cell>
        </row>
        <row r="8">
          <cell r="A8" t="str">
            <v>Newcastle</v>
          </cell>
          <cell r="B8">
            <v>1.341381623071764E-2</v>
          </cell>
          <cell r="C8">
            <v>4.7382136934375737E-3</v>
          </cell>
        </row>
        <row r="9">
          <cell r="A9" t="str">
            <v>Aston Villa</v>
          </cell>
          <cell r="B9">
            <v>9.4295143800094284E-3</v>
          </cell>
          <cell r="C9">
            <v>6.3071586250394197E-3</v>
          </cell>
        </row>
        <row r="10">
          <cell r="A10" t="str">
            <v>Brighton</v>
          </cell>
          <cell r="B10">
            <v>3.7943464238284954E-3</v>
          </cell>
          <cell r="C10">
            <v>4.1407867494824016E-2</v>
          </cell>
        </row>
        <row r="11">
          <cell r="A11" t="str">
            <v>Crystal Palace</v>
          </cell>
          <cell r="B11">
            <v>1.90095998479232E-3</v>
          </cell>
          <cell r="C11">
            <v>8.6580086580086577E-2</v>
          </cell>
        </row>
        <row r="12">
          <cell r="A12" t="str">
            <v>Everton</v>
          </cell>
          <cell r="B12">
            <v>1.90095998479232E-3</v>
          </cell>
          <cell r="C12">
            <v>0.10025062656641603</v>
          </cell>
        </row>
        <row r="13">
          <cell r="A13" t="str">
            <v>Nott'm Forest</v>
          </cell>
          <cell r="B13">
            <v>1.90095998479232E-3</v>
          </cell>
          <cell r="C13">
            <v>8.6580086580086577E-2</v>
          </cell>
        </row>
        <row r="14">
          <cell r="A14" t="str">
            <v>Bournemouth</v>
          </cell>
          <cell r="B14">
            <v>1.2681504026377528E-3</v>
          </cell>
          <cell r="C14">
            <v>7.9365079365079361E-2</v>
          </cell>
        </row>
        <row r="15">
          <cell r="A15" t="str">
            <v>Fulham</v>
          </cell>
          <cell r="B15">
            <v>9.5142952285809422E-4</v>
          </cell>
          <cell r="C15">
            <v>7.3260073260073263E-2</v>
          </cell>
        </row>
        <row r="16">
          <cell r="A16" t="str">
            <v>Brentford</v>
          </cell>
          <cell r="B16">
            <v>9.5142952285809422E-4</v>
          </cell>
          <cell r="C16">
            <v>0.23809523809523808</v>
          </cell>
        </row>
        <row r="17">
          <cell r="A17" t="str">
            <v>West Ham</v>
          </cell>
          <cell r="B17">
            <v>9.5142952285809422E-4</v>
          </cell>
          <cell r="C17">
            <v>0.14652014652014653</v>
          </cell>
        </row>
        <row r="18">
          <cell r="A18" t="str">
            <v>Leeds</v>
          </cell>
          <cell r="B18">
            <v>9.5142952285809422E-4</v>
          </cell>
          <cell r="C18">
            <v>0.3968253968253968</v>
          </cell>
        </row>
        <row r="19">
          <cell r="A19" t="str">
            <v>Wolves</v>
          </cell>
          <cell r="B19">
            <v>9.5142952285809422E-4</v>
          </cell>
          <cell r="C19">
            <v>0.21978021978021972</v>
          </cell>
        </row>
        <row r="20">
          <cell r="A20" t="str">
            <v>Sunderland</v>
          </cell>
          <cell r="B20">
            <v>4.759524999405059E-4</v>
          </cell>
          <cell r="C20">
            <v>0.65934065934065933</v>
          </cell>
        </row>
        <row r="21">
          <cell r="A21" t="str">
            <v>Burnley</v>
          </cell>
          <cell r="B21">
            <v>4.759524999405059E-4</v>
          </cell>
          <cell r="C21">
            <v>0.68027210884353739</v>
          </cell>
        </row>
      </sheetData>
      <sheetData sheetId="3">
        <row r="1">
          <cell r="A1" t="str">
            <v>Team</v>
          </cell>
          <cell r="B1" t="str">
            <v>Winner</v>
          </cell>
          <cell r="C1" t="str">
            <v>Relegation</v>
          </cell>
        </row>
        <row r="2">
          <cell r="A2" t="str">
            <v>Liverpool</v>
          </cell>
          <cell r="B2">
            <v>0.32840722495894908</v>
          </cell>
          <cell r="C2">
            <v>9.5142952285809422E-4</v>
          </cell>
        </row>
        <row r="3">
          <cell r="A3" t="str">
            <v>Arsenal</v>
          </cell>
          <cell r="B3">
            <v>0.26092628832354858</v>
          </cell>
          <cell r="C3">
            <v>9.5142952285809422E-4</v>
          </cell>
        </row>
        <row r="4">
          <cell r="A4" t="str">
            <v>Man City</v>
          </cell>
          <cell r="B4">
            <v>0.21164021164021163</v>
          </cell>
          <cell r="C4">
            <v>4.5351473922902487E-2</v>
          </cell>
        </row>
        <row r="5">
          <cell r="A5" t="str">
            <v>Chelsea</v>
          </cell>
          <cell r="B5">
            <v>9.5238095238095233E-2</v>
          </cell>
          <cell r="C5">
            <v>4.7382136934375737E-3</v>
          </cell>
        </row>
        <row r="6">
          <cell r="A6" t="str">
            <v>Man Utd</v>
          </cell>
          <cell r="B6">
            <v>3.6630036630036632E-2</v>
          </cell>
          <cell r="C6">
            <v>1.8674136321195144E-2</v>
          </cell>
        </row>
        <row r="7">
          <cell r="A7" t="str">
            <v>Spurs</v>
          </cell>
          <cell r="B7">
            <v>1.8674136321195144E-2</v>
          </cell>
          <cell r="C7">
            <v>9.4295143800094284E-3</v>
          </cell>
        </row>
        <row r="8">
          <cell r="A8" t="str">
            <v>Newcastle</v>
          </cell>
          <cell r="B8">
            <v>1.341381623071764E-2</v>
          </cell>
          <cell r="C8">
            <v>4.7382136934375737E-3</v>
          </cell>
        </row>
        <row r="9">
          <cell r="A9" t="str">
            <v>Aston Villa</v>
          </cell>
          <cell r="B9">
            <v>9.4295143800094284E-3</v>
          </cell>
          <cell r="C9">
            <v>6.3071586250394197E-3</v>
          </cell>
        </row>
        <row r="10">
          <cell r="A10" t="str">
            <v>Brighton</v>
          </cell>
          <cell r="B10">
            <v>3.7943464238284954E-3</v>
          </cell>
          <cell r="C10">
            <v>4.1407867494824016E-2</v>
          </cell>
        </row>
        <row r="11">
          <cell r="A11" t="str">
            <v>Crystal Palace</v>
          </cell>
          <cell r="B11">
            <v>1.90095998479232E-3</v>
          </cell>
          <cell r="C11">
            <v>8.6580086580086577E-2</v>
          </cell>
        </row>
        <row r="12">
          <cell r="A12" t="str">
            <v>Everton</v>
          </cell>
          <cell r="B12">
            <v>1.90095998479232E-3</v>
          </cell>
          <cell r="C12">
            <v>0.10025062656641603</v>
          </cell>
        </row>
        <row r="13">
          <cell r="A13" t="str">
            <v>Nott'm Forest</v>
          </cell>
          <cell r="B13">
            <v>1.90095998479232E-3</v>
          </cell>
          <cell r="C13">
            <v>8.6580086580086577E-2</v>
          </cell>
        </row>
        <row r="14">
          <cell r="A14" t="str">
            <v>Bournemouth</v>
          </cell>
          <cell r="B14">
            <v>1.2681504026377528E-3</v>
          </cell>
          <cell r="C14">
            <v>7.9365079365079361E-2</v>
          </cell>
        </row>
        <row r="15">
          <cell r="A15" t="str">
            <v>Fulham</v>
          </cell>
          <cell r="B15">
            <v>9.5142952285809422E-4</v>
          </cell>
          <cell r="C15">
            <v>7.3260073260073263E-2</v>
          </cell>
        </row>
        <row r="16">
          <cell r="A16" t="str">
            <v>Brentford</v>
          </cell>
          <cell r="B16">
            <v>9.5142952285809422E-4</v>
          </cell>
          <cell r="C16">
            <v>0.23809523809523808</v>
          </cell>
        </row>
        <row r="17">
          <cell r="A17" t="str">
            <v>West Ham</v>
          </cell>
          <cell r="B17">
            <v>9.5142952285809422E-4</v>
          </cell>
          <cell r="C17">
            <v>0.14652014652014653</v>
          </cell>
        </row>
        <row r="18">
          <cell r="A18" t="str">
            <v>Leeds</v>
          </cell>
          <cell r="B18">
            <v>9.5142952285809422E-4</v>
          </cell>
          <cell r="C18">
            <v>0.3968253968253968</v>
          </cell>
        </row>
        <row r="19">
          <cell r="A19" t="str">
            <v>Wolves</v>
          </cell>
          <cell r="B19">
            <v>9.5142952285809422E-4</v>
          </cell>
          <cell r="C19">
            <v>0.21978021978021972</v>
          </cell>
        </row>
        <row r="20">
          <cell r="A20" t="str">
            <v>Sunderland</v>
          </cell>
          <cell r="B20">
            <v>4.759524999405059E-4</v>
          </cell>
          <cell r="C20">
            <v>0.65934065934065933</v>
          </cell>
        </row>
        <row r="21">
          <cell r="A21" t="str">
            <v>Burnley</v>
          </cell>
          <cell r="B21">
            <v>4.759524999405059E-4</v>
          </cell>
          <cell r="C21">
            <v>0.68027210884353739</v>
          </cell>
        </row>
      </sheetData>
      <sheetData sheetId="4">
        <row r="1">
          <cell r="A1" t="str">
            <v>Team</v>
          </cell>
          <cell r="B1" t="str">
            <v>Winner</v>
          </cell>
          <cell r="C1" t="str">
            <v>Relegation</v>
          </cell>
        </row>
        <row r="2">
          <cell r="A2" t="str">
            <v>Arsenal</v>
          </cell>
          <cell r="B2">
            <v>0.34632034632034631</v>
          </cell>
          <cell r="C2">
            <v>9.5142952285809422E-4</v>
          </cell>
        </row>
        <row r="3">
          <cell r="A3" t="str">
            <v>Aston Villa</v>
          </cell>
          <cell r="B3">
            <v>6.3071586250394197E-3</v>
          </cell>
          <cell r="C3">
            <v>1.8674136321195144E-2</v>
          </cell>
        </row>
        <row r="4">
          <cell r="A4" t="str">
            <v>Bournemouth</v>
          </cell>
          <cell r="B4">
            <v>1.90095998479232E-3</v>
          </cell>
          <cell r="C4">
            <v>8.6580086580086577E-2</v>
          </cell>
        </row>
        <row r="5">
          <cell r="A5" t="str">
            <v>Brentford</v>
          </cell>
          <cell r="B5">
            <v>9.5142952285809422E-4</v>
          </cell>
          <cell r="C5">
            <v>0.25396825396825395</v>
          </cell>
        </row>
        <row r="6">
          <cell r="A6" t="str">
            <v>Brighton</v>
          </cell>
          <cell r="B6">
            <v>1.90095998479232E-3</v>
          </cell>
          <cell r="C6">
            <v>5.6022408963585429E-2</v>
          </cell>
        </row>
        <row r="7">
          <cell r="A7" t="str">
            <v>Burnley</v>
          </cell>
          <cell r="B7">
            <v>6.3449763649630405E-4</v>
          </cell>
          <cell r="C7">
            <v>0.70028011204481788</v>
          </cell>
        </row>
        <row r="8">
          <cell r="A8" t="str">
            <v>Chelsea</v>
          </cell>
          <cell r="B8">
            <v>0.11904761904761904</v>
          </cell>
          <cell r="C8">
            <v>1.90095998479232E-3</v>
          </cell>
        </row>
        <row r="9">
          <cell r="A9" t="str">
            <v>Crystal Palace</v>
          </cell>
          <cell r="B9">
            <v>1.90095998479232E-3</v>
          </cell>
          <cell r="C9">
            <v>9.5238095238095233E-2</v>
          </cell>
        </row>
        <row r="10">
          <cell r="A10" t="str">
            <v>Everton</v>
          </cell>
          <cell r="B10">
            <v>1.90095998479232E-3</v>
          </cell>
          <cell r="C10">
            <v>9.5238095238095233E-2</v>
          </cell>
        </row>
        <row r="11">
          <cell r="A11" t="str">
            <v>Fulham</v>
          </cell>
          <cell r="B11">
            <v>9.5142952285809422E-4</v>
          </cell>
          <cell r="C11">
            <v>9.5238095238095233E-2</v>
          </cell>
        </row>
        <row r="12">
          <cell r="A12" t="str">
            <v>Leeds</v>
          </cell>
          <cell r="B12">
            <v>1.90095998479232E-3</v>
          </cell>
          <cell r="C12">
            <v>0.29304029304029305</v>
          </cell>
        </row>
        <row r="13">
          <cell r="A13" t="str">
            <v>Liverpool</v>
          </cell>
          <cell r="B13">
            <v>0.34632034632034631</v>
          </cell>
          <cell r="C13">
            <v>6.3449763649630405E-4</v>
          </cell>
        </row>
        <row r="14">
          <cell r="A14" t="str">
            <v>Man City</v>
          </cell>
          <cell r="B14">
            <v>0.17316017316017315</v>
          </cell>
          <cell r="C14">
            <v>4.5351473922902487E-2</v>
          </cell>
        </row>
        <row r="15">
          <cell r="A15" t="str">
            <v>Man Utd</v>
          </cell>
          <cell r="B15">
            <v>2.8011204481792715E-2</v>
          </cell>
          <cell r="C15">
            <v>2.8011204481792715E-2</v>
          </cell>
        </row>
        <row r="16">
          <cell r="A16" t="str">
            <v>Newcastle</v>
          </cell>
          <cell r="B16">
            <v>1.1757789535567312E-2</v>
          </cell>
          <cell r="C16">
            <v>9.4295143800094284E-3</v>
          </cell>
        </row>
        <row r="17">
          <cell r="A17" t="str">
            <v>Nott'm Forest</v>
          </cell>
          <cell r="B17">
            <v>6.3071586250394197E-3</v>
          </cell>
          <cell r="C17">
            <v>8.6580086580086577E-2</v>
          </cell>
        </row>
        <row r="18">
          <cell r="A18" t="str">
            <v>Sunderland</v>
          </cell>
          <cell r="B18">
            <v>6.3449763649630405E-4</v>
          </cell>
          <cell r="C18">
            <v>0.60661207158022434</v>
          </cell>
        </row>
        <row r="19">
          <cell r="A19" t="str">
            <v>Spurs</v>
          </cell>
          <cell r="B19">
            <v>3.6630036630036632E-2</v>
          </cell>
          <cell r="C19">
            <v>6.3071586250394197E-3</v>
          </cell>
        </row>
        <row r="20">
          <cell r="A20" t="str">
            <v>West Ham</v>
          </cell>
          <cell r="B20">
            <v>4.759524999405059E-4</v>
          </cell>
          <cell r="C20">
            <v>0.34632034632034631</v>
          </cell>
        </row>
        <row r="21">
          <cell r="A21" t="str">
            <v>Wolves</v>
          </cell>
          <cell r="B21">
            <v>6.3449763649630405E-4</v>
          </cell>
          <cell r="C21">
            <v>0.38095238095238093</v>
          </cell>
        </row>
      </sheetData>
      <sheetData sheetId="5">
        <row r="1">
          <cell r="A1" t="str">
            <v>Team</v>
          </cell>
          <cell r="B1" t="str">
            <v>Winner</v>
          </cell>
          <cell r="C1" t="str">
            <v>Relegation</v>
          </cell>
        </row>
        <row r="2">
          <cell r="A2" t="str">
            <v>Arsenal</v>
          </cell>
          <cell r="B2">
            <v>0.34632034632034631</v>
          </cell>
          <cell r="C2">
            <v>9.5142952285809422E-4</v>
          </cell>
        </row>
        <row r="3">
          <cell r="A3" t="str">
            <v>Aston Villa</v>
          </cell>
          <cell r="B3">
            <v>6.3071586250394197E-3</v>
          </cell>
          <cell r="C3">
            <v>1.8674136321195144E-2</v>
          </cell>
        </row>
        <row r="4">
          <cell r="A4" t="str">
            <v>Bournemouth</v>
          </cell>
          <cell r="B4">
            <v>1.90095998479232E-3</v>
          </cell>
          <cell r="C4">
            <v>8.6580086580086577E-2</v>
          </cell>
        </row>
        <row r="5">
          <cell r="A5" t="str">
            <v>Brentford</v>
          </cell>
          <cell r="B5">
            <v>9.5142952285809422E-4</v>
          </cell>
          <cell r="C5">
            <v>0.25396825396825395</v>
          </cell>
        </row>
        <row r="6">
          <cell r="A6" t="str">
            <v>Brighton</v>
          </cell>
          <cell r="B6">
            <v>1.90095998479232E-3</v>
          </cell>
          <cell r="C6">
            <v>5.6022408963585429E-2</v>
          </cell>
        </row>
        <row r="7">
          <cell r="A7" t="str">
            <v>Burnley</v>
          </cell>
          <cell r="B7">
            <v>6.3449763649630405E-4</v>
          </cell>
          <cell r="C7">
            <v>0.70028011204481788</v>
          </cell>
        </row>
        <row r="8">
          <cell r="A8" t="str">
            <v>Chelsea</v>
          </cell>
          <cell r="B8">
            <v>0.11904761904761904</v>
          </cell>
          <cell r="C8">
            <v>1.90095998479232E-3</v>
          </cell>
        </row>
        <row r="9">
          <cell r="A9" t="str">
            <v>Crystal Palace</v>
          </cell>
          <cell r="B9">
            <v>1.90095998479232E-3</v>
          </cell>
          <cell r="C9">
            <v>9.5238095238095233E-2</v>
          </cell>
        </row>
        <row r="10">
          <cell r="A10" t="str">
            <v>Everton</v>
          </cell>
          <cell r="B10">
            <v>1.90095998479232E-3</v>
          </cell>
          <cell r="C10">
            <v>9.5238095238095233E-2</v>
          </cell>
        </row>
        <row r="11">
          <cell r="A11" t="str">
            <v>Fulham</v>
          </cell>
          <cell r="B11">
            <v>9.5142952285809422E-4</v>
          </cell>
          <cell r="C11">
            <v>9.5238095238095233E-2</v>
          </cell>
        </row>
        <row r="12">
          <cell r="A12" t="str">
            <v>Leeds</v>
          </cell>
          <cell r="B12">
            <v>1.90095998479232E-3</v>
          </cell>
          <cell r="C12">
            <v>0.29304029304029305</v>
          </cell>
        </row>
        <row r="13">
          <cell r="A13" t="str">
            <v>Liverpool</v>
          </cell>
          <cell r="B13">
            <v>0.34632034632034631</v>
          </cell>
          <cell r="C13">
            <v>6.3449763649630405E-4</v>
          </cell>
        </row>
        <row r="14">
          <cell r="A14" t="str">
            <v>Man City</v>
          </cell>
          <cell r="B14">
            <v>0.17316017316017315</v>
          </cell>
          <cell r="C14">
            <v>4.5351473922902487E-2</v>
          </cell>
        </row>
        <row r="15">
          <cell r="A15" t="str">
            <v>Man Utd</v>
          </cell>
          <cell r="B15">
            <v>2.8011204481792715E-2</v>
          </cell>
          <cell r="C15">
            <v>2.8011204481792715E-2</v>
          </cell>
        </row>
        <row r="16">
          <cell r="A16" t="str">
            <v>Newcastle</v>
          </cell>
          <cell r="B16">
            <v>1.1757789535567312E-2</v>
          </cell>
          <cell r="C16">
            <v>9.4295143800094284E-3</v>
          </cell>
        </row>
        <row r="17">
          <cell r="A17" t="str">
            <v>Nott'm Forest</v>
          </cell>
          <cell r="B17">
            <v>6.3071586250394197E-3</v>
          </cell>
          <cell r="C17">
            <v>8.6580086580086577E-2</v>
          </cell>
        </row>
        <row r="18">
          <cell r="A18" t="str">
            <v>Sunderland</v>
          </cell>
          <cell r="B18">
            <v>6.3449763649630405E-4</v>
          </cell>
          <cell r="C18">
            <v>0.60661207158022434</v>
          </cell>
        </row>
        <row r="19">
          <cell r="A19" t="str">
            <v>Spurs</v>
          </cell>
          <cell r="B19">
            <v>3.6630036630036632E-2</v>
          </cell>
          <cell r="C19">
            <v>6.3071586250394197E-3</v>
          </cell>
        </row>
        <row r="20">
          <cell r="A20" t="str">
            <v>West Ham</v>
          </cell>
          <cell r="B20">
            <v>4.759524999405059E-4</v>
          </cell>
          <cell r="C20">
            <v>0.34632034632034631</v>
          </cell>
        </row>
        <row r="21">
          <cell r="A21" t="str">
            <v>Wolves</v>
          </cell>
          <cell r="B21">
            <v>6.3449763649630405E-4</v>
          </cell>
          <cell r="C21">
            <v>0.38095238095238093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F827-BC85-450A-9DDB-BEA20CF72742}">
  <dimension ref="A1:O1961"/>
  <sheetViews>
    <sheetView tabSelected="1" workbookViewId="0"/>
  </sheetViews>
  <sheetFormatPr defaultRowHeight="15" x14ac:dyDescent="0.25"/>
  <cols>
    <col min="1" max="1" width="13.5703125" bestFit="1" customWidth="1"/>
    <col min="2" max="2" width="11" bestFit="1" customWidth="1"/>
    <col min="3" max="3" width="11" customWidth="1"/>
    <col min="4" max="4" width="11" style="7" customWidth="1"/>
    <col min="5" max="5" width="14.140625" style="7" bestFit="1" customWidth="1"/>
    <col min="6" max="6" width="14.140625" style="7" customWidth="1"/>
    <col min="7" max="7" width="14.140625" customWidth="1"/>
    <col min="8" max="9" width="12" bestFit="1" customWidth="1"/>
    <col min="10" max="10" width="14.28515625" bestFit="1" customWidth="1"/>
    <col min="11" max="11" width="14.5703125" bestFit="1" customWidth="1"/>
    <col min="12" max="13" width="19.85546875" bestFit="1" customWidth="1"/>
    <col min="14" max="15" width="12" bestFit="1" customWidth="1"/>
  </cols>
  <sheetData>
    <row r="1" spans="1:15" s="1" customFormat="1" x14ac:dyDescent="0.25">
      <c r="A1" s="1" t="s">
        <v>2</v>
      </c>
      <c r="B1" s="1" t="s">
        <v>54</v>
      </c>
      <c r="C1" s="1" t="s">
        <v>55</v>
      </c>
      <c r="D1" s="5" t="s">
        <v>56</v>
      </c>
      <c r="E1" s="5" t="s">
        <v>57</v>
      </c>
      <c r="F1" s="5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</row>
    <row r="2" spans="1:15" x14ac:dyDescent="0.25">
      <c r="A2" t="s">
        <v>3</v>
      </c>
      <c r="B2" t="s">
        <v>23</v>
      </c>
      <c r="C2" s="3" t="str">
        <f>IF($B2="GW1",VLOOKUP($A2,Matches!$A:$AC,2,FALSE),IF($B2="GW2",VLOOKUP($A2,Matches!$A:$AC,9,FALSE),IF($B2="GW3",VLOOKUP($A2,Matches!$A:$AC,16,FALSE))))</f>
        <v>Man Utd</v>
      </c>
      <c r="D2" s="6">
        <v>0.49534376857539131</v>
      </c>
      <c r="E2" s="6">
        <v>0.25482251611752416</v>
      </c>
      <c r="F2" s="6">
        <v>0.24052125245786715</v>
      </c>
      <c r="G2" s="3" t="s">
        <v>0</v>
      </c>
      <c r="H2" t="e">
        <v>#N/A</v>
      </c>
      <c r="I2" t="e">
        <v>#N/A</v>
      </c>
      <c r="J2">
        <v>0.21994941200000001</v>
      </c>
      <c r="K2">
        <v>0.33734939800000002</v>
      </c>
      <c r="L2">
        <v>0.311926606</v>
      </c>
      <c r="M2">
        <v>4.2145594000000001E-2</v>
      </c>
      <c r="N2">
        <v>0.453514739</v>
      </c>
      <c r="O2">
        <v>0</v>
      </c>
    </row>
    <row r="3" spans="1:15" x14ac:dyDescent="0.25">
      <c r="A3" t="s">
        <v>3</v>
      </c>
      <c r="B3" t="s">
        <v>23</v>
      </c>
      <c r="C3" s="3" t="str">
        <f>IF($B3="GW1",VLOOKUP($A3,Matches!$A:$AC,2,FALSE),IF($B3="GW2",VLOOKUP($A3,Matches!$A:$AC,9,FALSE),IF($B3="GW3",VLOOKUP($A3,Matches!$A:$AC,16,FALSE))))</f>
        <v>Man Utd</v>
      </c>
      <c r="D3" s="6">
        <v>0.49534376857539131</v>
      </c>
      <c r="E3" s="6">
        <v>0.25482251611752416</v>
      </c>
      <c r="F3" s="6">
        <v>0.24052125245786715</v>
      </c>
      <c r="G3" s="3" t="s">
        <v>0</v>
      </c>
      <c r="H3" t="e">
        <v>#N/A</v>
      </c>
      <c r="I3" t="e">
        <v>#N/A</v>
      </c>
      <c r="J3">
        <v>0.21994941200000001</v>
      </c>
      <c r="K3">
        <v>0.33734939800000002</v>
      </c>
      <c r="L3">
        <v>0.311926606</v>
      </c>
      <c r="M3">
        <v>4.2145594000000001E-2</v>
      </c>
      <c r="N3" t="e">
        <v>#N/A</v>
      </c>
      <c r="O3" t="e">
        <v>#N/A</v>
      </c>
    </row>
    <row r="4" spans="1:15" x14ac:dyDescent="0.25">
      <c r="A4" t="s">
        <v>3</v>
      </c>
      <c r="B4" t="s">
        <v>23</v>
      </c>
      <c r="C4" s="3" t="str">
        <f>IF($B4="GW1",VLOOKUP($A4,Matches!$A:$AC,2,FALSE),IF($B4="GW2",VLOOKUP($A4,Matches!$A:$AC,9,FALSE),IF($B4="GW3",VLOOKUP($A4,Matches!$A:$AC,16,FALSE))))</f>
        <v>Man Utd</v>
      </c>
      <c r="D4" s="6">
        <v>0.49534376857539131</v>
      </c>
      <c r="E4" s="6">
        <v>0.25482251611752416</v>
      </c>
      <c r="F4" s="6">
        <v>0.24052125245786715</v>
      </c>
      <c r="G4" s="3" t="s">
        <v>0</v>
      </c>
      <c r="H4" t="e">
        <v>#N/A</v>
      </c>
      <c r="I4" t="e">
        <v>#N/A</v>
      </c>
      <c r="J4" t="e">
        <v>#N/A</v>
      </c>
      <c r="K4">
        <v>0.33734939800000002</v>
      </c>
      <c r="L4">
        <v>0.311926606</v>
      </c>
      <c r="M4">
        <v>4.2145594000000001E-2</v>
      </c>
      <c r="N4" t="e">
        <v>#N/A</v>
      </c>
      <c r="O4" t="e">
        <v>#N/A</v>
      </c>
    </row>
    <row r="5" spans="1:15" x14ac:dyDescent="0.25">
      <c r="A5" t="s">
        <v>3</v>
      </c>
      <c r="B5" t="s">
        <v>23</v>
      </c>
      <c r="C5" s="3" t="str">
        <f>IF($B5="GW1",VLOOKUP($A5,Matches!$A:$AC,2,FALSE),IF($B5="GW2",VLOOKUP($A5,Matches!$A:$AC,9,FALSE),IF($B5="GW3",VLOOKUP($A5,Matches!$A:$AC,16,FALSE))))</f>
        <v>Man Utd</v>
      </c>
      <c r="D5" s="6">
        <v>0.49534376857539131</v>
      </c>
      <c r="E5" s="6">
        <v>0.25482251611752416</v>
      </c>
      <c r="F5" s="6">
        <v>0.24052125245786715</v>
      </c>
      <c r="G5" s="3" t="s">
        <v>0</v>
      </c>
      <c r="H5" t="e">
        <v>#N/A</v>
      </c>
      <c r="I5" t="e">
        <v>#N/A</v>
      </c>
      <c r="J5">
        <v>0.21994941200000001</v>
      </c>
      <c r="K5">
        <v>0.33734939800000002</v>
      </c>
      <c r="L5">
        <v>0.311926606</v>
      </c>
      <c r="M5">
        <v>4.2145594000000001E-2</v>
      </c>
      <c r="N5" t="e">
        <v>#N/A</v>
      </c>
      <c r="O5" t="e">
        <v>#N/A</v>
      </c>
    </row>
    <row r="6" spans="1:15" x14ac:dyDescent="0.25">
      <c r="A6" t="s">
        <v>3</v>
      </c>
      <c r="B6" t="s">
        <v>23</v>
      </c>
      <c r="C6" s="3" t="str">
        <f>IF($B6="GW1",VLOOKUP($A6,Matches!$A:$AC,2,FALSE),IF($B6="GW2",VLOOKUP($A6,Matches!$A:$AC,9,FALSE),IF($B6="GW3",VLOOKUP($A6,Matches!$A:$AC,16,FALSE))))</f>
        <v>Man Utd</v>
      </c>
      <c r="D6" s="6">
        <v>0.49534376857539131</v>
      </c>
      <c r="E6" s="6">
        <v>0.25482251611752416</v>
      </c>
      <c r="F6" s="6">
        <v>0.24052125245786715</v>
      </c>
      <c r="G6" s="3" t="s">
        <v>0</v>
      </c>
      <c r="H6">
        <v>0.13605442200000001</v>
      </c>
      <c r="I6">
        <v>4.1407867000000001E-2</v>
      </c>
      <c r="J6">
        <v>0.21994941200000001</v>
      </c>
      <c r="K6">
        <v>0.33734939800000002</v>
      </c>
      <c r="L6">
        <v>0.311926606</v>
      </c>
      <c r="M6">
        <v>4.2145594000000001E-2</v>
      </c>
      <c r="N6" t="e">
        <v>#N/A</v>
      </c>
      <c r="O6" t="e">
        <v>#N/A</v>
      </c>
    </row>
    <row r="7" spans="1:15" x14ac:dyDescent="0.25">
      <c r="A7" t="s">
        <v>3</v>
      </c>
      <c r="B7" t="s">
        <v>23</v>
      </c>
      <c r="C7" s="3" t="str">
        <f>IF($B7="GW1",VLOOKUP($A7,Matches!$A:$AC,2,FALSE),IF($B7="GW2",VLOOKUP($A7,Matches!$A:$AC,9,FALSE),IF($B7="GW3",VLOOKUP($A7,Matches!$A:$AC,16,FALSE))))</f>
        <v>Man Utd</v>
      </c>
      <c r="D7" s="6">
        <v>0.49534376857539131</v>
      </c>
      <c r="E7" s="6">
        <v>0.25482251611752416</v>
      </c>
      <c r="F7" s="6">
        <v>0.24052125245786715</v>
      </c>
      <c r="G7" s="3" t="s">
        <v>0</v>
      </c>
      <c r="H7">
        <v>6.3492063000000001E-2</v>
      </c>
      <c r="I7">
        <v>3.6630036999999997E-2</v>
      </c>
      <c r="J7">
        <v>0.19047618999999999</v>
      </c>
      <c r="K7">
        <v>0.33734939800000002</v>
      </c>
      <c r="L7">
        <v>0.311926606</v>
      </c>
      <c r="M7">
        <v>4.2145594000000001E-2</v>
      </c>
      <c r="N7" t="e">
        <v>#N/A</v>
      </c>
      <c r="O7" t="e">
        <v>#N/A</v>
      </c>
    </row>
    <row r="8" spans="1:15" x14ac:dyDescent="0.25">
      <c r="A8" t="s">
        <v>3</v>
      </c>
      <c r="B8" t="s">
        <v>23</v>
      </c>
      <c r="C8" s="3" t="str">
        <f>IF($B8="GW1",VLOOKUP($A8,Matches!$A:$AC,2,FALSE),IF($B8="GW2",VLOOKUP($A8,Matches!$A:$AC,9,FALSE),IF($B8="GW3",VLOOKUP($A8,Matches!$A:$AC,16,FALSE))))</f>
        <v>Man Utd</v>
      </c>
      <c r="D8" s="6">
        <v>0.49534376857539131</v>
      </c>
      <c r="E8" s="6">
        <v>0.25482251611752416</v>
      </c>
      <c r="F8" s="6">
        <v>0.24052125245786715</v>
      </c>
      <c r="G8" s="3" t="s">
        <v>0</v>
      </c>
      <c r="H8">
        <v>7.9365079000000005E-2</v>
      </c>
      <c r="I8">
        <v>8.6580087E-2</v>
      </c>
      <c r="J8">
        <v>0.28011204499999998</v>
      </c>
      <c r="K8">
        <v>0.33734939800000002</v>
      </c>
      <c r="L8">
        <v>0.311926606</v>
      </c>
      <c r="M8">
        <v>4.2145594000000001E-2</v>
      </c>
      <c r="N8" t="e">
        <v>#N/A</v>
      </c>
      <c r="O8" t="e">
        <v>#N/A</v>
      </c>
    </row>
    <row r="9" spans="1:15" x14ac:dyDescent="0.25">
      <c r="A9" t="s">
        <v>3</v>
      </c>
      <c r="B9" t="s">
        <v>23</v>
      </c>
      <c r="C9" s="3" t="str">
        <f>IF($B9="GW1",VLOOKUP($A9,Matches!$A:$AC,2,FALSE),IF($B9="GW2",VLOOKUP($A9,Matches!$A:$AC,9,FALSE),IF($B9="GW3",VLOOKUP($A9,Matches!$A:$AC,16,FALSE))))</f>
        <v>Man Utd</v>
      </c>
      <c r="D9" s="6">
        <v>0.49534376857539131</v>
      </c>
      <c r="E9" s="6">
        <v>0.25482251611752416</v>
      </c>
      <c r="F9" s="6">
        <v>0.24052125245786715</v>
      </c>
      <c r="G9" s="3" t="s">
        <v>0</v>
      </c>
      <c r="H9" t="e">
        <v>#N/A</v>
      </c>
      <c r="I9" t="e">
        <v>#N/A</v>
      </c>
      <c r="J9" t="e">
        <v>#N/A</v>
      </c>
      <c r="K9">
        <v>0.33734939800000002</v>
      </c>
      <c r="L9">
        <v>0.311926606</v>
      </c>
      <c r="M9">
        <v>4.2145594000000001E-2</v>
      </c>
      <c r="N9" t="e">
        <v>#N/A</v>
      </c>
      <c r="O9" t="e">
        <v>#N/A</v>
      </c>
    </row>
    <row r="10" spans="1:15" x14ac:dyDescent="0.25">
      <c r="A10" t="s">
        <v>3</v>
      </c>
      <c r="B10" t="s">
        <v>23</v>
      </c>
      <c r="C10" s="3" t="str">
        <f>IF($B10="GW1",VLOOKUP($A10,Matches!$A:$AC,2,FALSE),IF($B10="GW2",VLOOKUP($A10,Matches!$A:$AC,9,FALSE),IF($B10="GW3",VLOOKUP($A10,Matches!$A:$AC,16,FALSE))))</f>
        <v>Man Utd</v>
      </c>
      <c r="D10" s="6">
        <v>0.49534376857539131</v>
      </c>
      <c r="E10" s="6">
        <v>0.25482251611752416</v>
      </c>
      <c r="F10" s="6">
        <v>0.24052125245786715</v>
      </c>
      <c r="G10" s="3" t="s">
        <v>0</v>
      </c>
      <c r="H10">
        <v>6.3492063000000001E-2</v>
      </c>
      <c r="I10">
        <v>7.3260072999999995E-2</v>
      </c>
      <c r="J10">
        <v>0.21994941200000001</v>
      </c>
      <c r="K10">
        <v>0.33734939800000002</v>
      </c>
      <c r="L10">
        <v>0.311926606</v>
      </c>
      <c r="M10">
        <v>4.2145594000000001E-2</v>
      </c>
      <c r="N10" t="e">
        <v>#N/A</v>
      </c>
      <c r="O10" t="e">
        <v>#N/A</v>
      </c>
    </row>
    <row r="11" spans="1:15" x14ac:dyDescent="0.25">
      <c r="A11" t="s">
        <v>3</v>
      </c>
      <c r="B11" t="s">
        <v>23</v>
      </c>
      <c r="C11" s="3" t="str">
        <f>IF($B11="GW1",VLOOKUP($A11,Matches!$A:$AC,2,FALSE),IF($B11="GW2",VLOOKUP($A11,Matches!$A:$AC,9,FALSE),IF($B11="GW3",VLOOKUP($A11,Matches!$A:$AC,16,FALSE))))</f>
        <v>Man Utd</v>
      </c>
      <c r="D11" s="6">
        <v>0.49534376857539131</v>
      </c>
      <c r="E11" s="6">
        <v>0.25482251611752416</v>
      </c>
      <c r="F11" s="6">
        <v>0.24052125245786715</v>
      </c>
      <c r="G11" s="3" t="s">
        <v>0</v>
      </c>
      <c r="H11">
        <v>0.10025062699999999</v>
      </c>
      <c r="I11">
        <v>6.3492063000000001E-2</v>
      </c>
      <c r="J11">
        <v>0.28011204499999998</v>
      </c>
      <c r="K11">
        <v>0.33734939800000002</v>
      </c>
      <c r="L11">
        <v>0.311926606</v>
      </c>
      <c r="M11">
        <v>4.2145594000000001E-2</v>
      </c>
      <c r="N11" t="e">
        <v>#N/A</v>
      </c>
      <c r="O11" t="e">
        <v>#N/A</v>
      </c>
    </row>
    <row r="12" spans="1:15" x14ac:dyDescent="0.25">
      <c r="A12" t="s">
        <v>3</v>
      </c>
      <c r="B12" t="s">
        <v>23</v>
      </c>
      <c r="C12" s="3" t="str">
        <f>IF($B12="GW1",VLOOKUP($A12,Matches!$A:$AC,2,FALSE),IF($B12="GW2",VLOOKUP($A12,Matches!$A:$AC,9,FALSE),IF($B12="GW3",VLOOKUP($A12,Matches!$A:$AC,16,FALSE))))</f>
        <v>Man Utd</v>
      </c>
      <c r="D12" s="6">
        <v>0.49534376857539131</v>
      </c>
      <c r="E12" s="6">
        <v>0.25482251611752416</v>
      </c>
      <c r="F12" s="6">
        <v>0.24052125245786715</v>
      </c>
      <c r="G12" s="3" t="s">
        <v>0</v>
      </c>
      <c r="H12">
        <v>6.3492063000000001E-2</v>
      </c>
      <c r="I12">
        <v>8.6580087E-2</v>
      </c>
      <c r="J12">
        <v>0.253968254</v>
      </c>
      <c r="K12">
        <v>0.33734939800000002</v>
      </c>
      <c r="L12">
        <v>0.311926606</v>
      </c>
      <c r="M12">
        <v>4.2145594000000001E-2</v>
      </c>
      <c r="N12" t="e">
        <v>#N/A</v>
      </c>
      <c r="O12" t="e">
        <v>#N/A</v>
      </c>
    </row>
    <row r="13" spans="1:15" x14ac:dyDescent="0.25">
      <c r="A13" t="s">
        <v>3</v>
      </c>
      <c r="B13" t="s">
        <v>23</v>
      </c>
      <c r="C13" s="3" t="str">
        <f>IF($B13="GW1",VLOOKUP($A13,Matches!$A:$AC,2,FALSE),IF($B13="GW2",VLOOKUP($A13,Matches!$A:$AC,9,FALSE),IF($B13="GW3",VLOOKUP($A13,Matches!$A:$AC,16,FALSE))))</f>
        <v>Man Utd</v>
      </c>
      <c r="D13" s="6">
        <v>0.49534376857539131</v>
      </c>
      <c r="E13" s="6">
        <v>0.25482251611752416</v>
      </c>
      <c r="F13" s="6">
        <v>0.24052125245786715</v>
      </c>
      <c r="G13" s="3" t="s">
        <v>0</v>
      </c>
      <c r="H13">
        <v>0.11904761899999999</v>
      </c>
      <c r="I13">
        <v>8.6580087E-2</v>
      </c>
      <c r="J13">
        <v>0.19047618999999999</v>
      </c>
      <c r="K13">
        <v>0.33734939800000002</v>
      </c>
      <c r="L13">
        <v>0.311926606</v>
      </c>
      <c r="M13">
        <v>4.2145594000000001E-2</v>
      </c>
      <c r="N13" t="e">
        <v>#N/A</v>
      </c>
      <c r="O13" t="e">
        <v>#N/A</v>
      </c>
    </row>
    <row r="14" spans="1:15" x14ac:dyDescent="0.25">
      <c r="A14" t="s">
        <v>3</v>
      </c>
      <c r="B14" t="s">
        <v>23</v>
      </c>
      <c r="C14" s="3" t="str">
        <f>IF($B14="GW1",VLOOKUP($A14,Matches!$A:$AC,2,FALSE),IF($B14="GW2",VLOOKUP($A14,Matches!$A:$AC,9,FALSE),IF($B14="GW3",VLOOKUP($A14,Matches!$A:$AC,16,FALSE))))</f>
        <v>Man Utd</v>
      </c>
      <c r="D14" s="6">
        <v>0.49534376857539131</v>
      </c>
      <c r="E14" s="6">
        <v>0.25482251611752416</v>
      </c>
      <c r="F14" s="6">
        <v>0.24052125245786715</v>
      </c>
      <c r="G14" s="3" t="s">
        <v>0</v>
      </c>
      <c r="H14" t="e">
        <v>#N/A</v>
      </c>
      <c r="I14" t="e">
        <v>#N/A</v>
      </c>
      <c r="J14" t="e">
        <v>#N/A</v>
      </c>
      <c r="K14">
        <v>0.33734939800000002</v>
      </c>
      <c r="L14">
        <v>0.311926606</v>
      </c>
      <c r="M14">
        <v>4.2145594000000001E-2</v>
      </c>
      <c r="N14" t="e">
        <v>#N/A</v>
      </c>
      <c r="O14" t="e">
        <v>#N/A</v>
      </c>
    </row>
    <row r="15" spans="1:15" x14ac:dyDescent="0.25">
      <c r="A15" t="s">
        <v>3</v>
      </c>
      <c r="B15" t="s">
        <v>23</v>
      </c>
      <c r="C15" s="3" t="str">
        <f>IF($B15="GW1",VLOOKUP($A15,Matches!$A:$AC,2,FALSE),IF($B15="GW2",VLOOKUP($A15,Matches!$A:$AC,9,FALSE),IF($B15="GW3",VLOOKUP($A15,Matches!$A:$AC,16,FALSE))))</f>
        <v>Man Utd</v>
      </c>
      <c r="D15" s="6">
        <v>0.49534376857539131</v>
      </c>
      <c r="E15" s="6">
        <v>0.25482251611752416</v>
      </c>
      <c r="F15" s="6">
        <v>0.24052125245786715</v>
      </c>
      <c r="G15" s="3" t="s">
        <v>0</v>
      </c>
      <c r="H15" t="e">
        <v>#N/A</v>
      </c>
      <c r="I15" t="e">
        <v>#N/A</v>
      </c>
      <c r="J15" t="e">
        <v>#N/A</v>
      </c>
      <c r="K15">
        <v>0.33734939800000002</v>
      </c>
      <c r="L15">
        <v>0.311926606</v>
      </c>
      <c r="M15">
        <v>4.2145594000000001E-2</v>
      </c>
      <c r="N15" t="e">
        <v>#N/A</v>
      </c>
      <c r="O15" t="e">
        <v>#N/A</v>
      </c>
    </row>
    <row r="16" spans="1:15" x14ac:dyDescent="0.25">
      <c r="A16" t="s">
        <v>3</v>
      </c>
      <c r="B16" t="s">
        <v>23</v>
      </c>
      <c r="C16" s="3" t="str">
        <f>IF($B16="GW1",VLOOKUP($A16,Matches!$A:$AC,2,FALSE),IF($B16="GW2",VLOOKUP($A16,Matches!$A:$AC,9,FALSE),IF($B16="GW3",VLOOKUP($A16,Matches!$A:$AC,16,FALSE))))</f>
        <v>Man Utd</v>
      </c>
      <c r="D16" s="6">
        <v>0.49534376857539131</v>
      </c>
      <c r="E16" s="6">
        <v>0.25482251611752416</v>
      </c>
      <c r="F16" s="6">
        <v>0.24052125245786715</v>
      </c>
      <c r="G16" s="3" t="s">
        <v>0</v>
      </c>
      <c r="H16" t="e">
        <v>#N/A</v>
      </c>
      <c r="I16" t="e">
        <v>#N/A</v>
      </c>
      <c r="J16" t="e">
        <v>#N/A</v>
      </c>
      <c r="K16">
        <v>0.33734939800000002</v>
      </c>
      <c r="L16">
        <v>0.311926606</v>
      </c>
      <c r="M16">
        <v>4.2145594000000001E-2</v>
      </c>
      <c r="N16" t="e">
        <v>#N/A</v>
      </c>
      <c r="O16" t="e">
        <v>#N/A</v>
      </c>
    </row>
    <row r="17" spans="1:15" x14ac:dyDescent="0.25">
      <c r="A17" t="s">
        <v>3</v>
      </c>
      <c r="B17" t="s">
        <v>23</v>
      </c>
      <c r="C17" s="3" t="str">
        <f>IF($B17="GW1",VLOOKUP($A17,Matches!$A:$AC,2,FALSE),IF($B17="GW2",VLOOKUP($A17,Matches!$A:$AC,9,FALSE),IF($B17="GW3",VLOOKUP($A17,Matches!$A:$AC,16,FALSE))))</f>
        <v>Man Utd</v>
      </c>
      <c r="D17" s="6">
        <v>0.49534376857539131</v>
      </c>
      <c r="E17" s="6">
        <v>0.25482251611752416</v>
      </c>
      <c r="F17" s="6">
        <v>0.24052125245786715</v>
      </c>
      <c r="G17" s="3" t="s">
        <v>0</v>
      </c>
      <c r="H17">
        <v>0.33184005300000002</v>
      </c>
      <c r="I17">
        <v>0.253968254</v>
      </c>
      <c r="J17">
        <v>0.20050125299999999</v>
      </c>
      <c r="K17">
        <v>0.33734939800000002</v>
      </c>
      <c r="L17">
        <v>0.311926606</v>
      </c>
      <c r="M17">
        <v>4.2145594000000001E-2</v>
      </c>
      <c r="N17" t="e">
        <v>#N/A</v>
      </c>
      <c r="O17" t="e">
        <v>#N/A</v>
      </c>
    </row>
    <row r="18" spans="1:15" x14ac:dyDescent="0.25">
      <c r="A18" t="s">
        <v>3</v>
      </c>
      <c r="B18" t="s">
        <v>23</v>
      </c>
      <c r="C18" s="3" t="str">
        <f>IF($B18="GW1",VLOOKUP($A18,Matches!$A:$AC,2,FALSE),IF($B18="GW2",VLOOKUP($A18,Matches!$A:$AC,9,FALSE),IF($B18="GW3",VLOOKUP($A18,Matches!$A:$AC,16,FALSE))))</f>
        <v>Man Utd</v>
      </c>
      <c r="D18" s="6">
        <v>0.49534376857539131</v>
      </c>
      <c r="E18" s="6">
        <v>0.25482251611752416</v>
      </c>
      <c r="F18" s="6">
        <v>0.24052125245786715</v>
      </c>
      <c r="G18" s="3" t="s">
        <v>0</v>
      </c>
      <c r="H18">
        <v>0.253968254</v>
      </c>
      <c r="I18">
        <v>0.21164021199999999</v>
      </c>
      <c r="J18">
        <v>0.173160173</v>
      </c>
      <c r="K18">
        <v>0.33734939800000002</v>
      </c>
      <c r="L18">
        <v>0.311926606</v>
      </c>
      <c r="M18">
        <v>4.2145594000000001E-2</v>
      </c>
      <c r="N18" t="e">
        <v>#N/A</v>
      </c>
      <c r="O18" t="e">
        <v>#N/A</v>
      </c>
    </row>
    <row r="19" spans="1:15" x14ac:dyDescent="0.25">
      <c r="A19" t="s">
        <v>3</v>
      </c>
      <c r="B19" t="s">
        <v>23</v>
      </c>
      <c r="C19" s="3" t="str">
        <f>IF($B19="GW1",VLOOKUP($A19,Matches!$A:$AC,2,FALSE),IF($B19="GW2",VLOOKUP($A19,Matches!$A:$AC,9,FALSE),IF($B19="GW3",VLOOKUP($A19,Matches!$A:$AC,16,FALSE))))</f>
        <v>Man Utd</v>
      </c>
      <c r="D19" s="6">
        <v>0.49534376857539131</v>
      </c>
      <c r="E19" s="6">
        <v>0.25482251611752416</v>
      </c>
      <c r="F19" s="6">
        <v>0.24052125245786715</v>
      </c>
      <c r="G19" s="3" t="s">
        <v>0</v>
      </c>
      <c r="H19">
        <v>0.28011204499999998</v>
      </c>
      <c r="I19">
        <v>0.173160173</v>
      </c>
      <c r="J19">
        <v>0.11904761899999999</v>
      </c>
      <c r="K19">
        <v>0.33734939800000002</v>
      </c>
      <c r="L19">
        <v>0.311926606</v>
      </c>
      <c r="M19">
        <v>4.2145594000000001E-2</v>
      </c>
      <c r="N19" t="e">
        <v>#N/A</v>
      </c>
      <c r="O19" t="e">
        <v>#N/A</v>
      </c>
    </row>
    <row r="20" spans="1:15" x14ac:dyDescent="0.25">
      <c r="A20" t="s">
        <v>3</v>
      </c>
      <c r="B20" t="s">
        <v>23</v>
      </c>
      <c r="C20" s="3" t="str">
        <f>IF($B20="GW1",VLOOKUP($A20,Matches!$A:$AC,2,FALSE),IF($B20="GW2",VLOOKUP($A20,Matches!$A:$AC,9,FALSE),IF($B20="GW3",VLOOKUP($A20,Matches!$A:$AC,16,FALSE))))</f>
        <v>Man Utd</v>
      </c>
      <c r="D20" s="6">
        <v>0.49534376857539131</v>
      </c>
      <c r="E20" s="6">
        <v>0.25482251611752416</v>
      </c>
      <c r="F20" s="6">
        <v>0.24052125245786715</v>
      </c>
      <c r="G20" s="3" t="s">
        <v>0</v>
      </c>
      <c r="H20">
        <v>0.28011204499999998</v>
      </c>
      <c r="I20">
        <v>0.19047618999999999</v>
      </c>
      <c r="J20">
        <v>0.15873015900000001</v>
      </c>
      <c r="K20">
        <v>0.33734939800000002</v>
      </c>
      <c r="L20">
        <v>0.311926606</v>
      </c>
      <c r="M20">
        <v>4.2145594000000001E-2</v>
      </c>
      <c r="N20" t="e">
        <v>#N/A</v>
      </c>
      <c r="O20" t="e">
        <v>#N/A</v>
      </c>
    </row>
    <row r="21" spans="1:15" x14ac:dyDescent="0.25">
      <c r="A21" t="s">
        <v>3</v>
      </c>
      <c r="B21" t="s">
        <v>23</v>
      </c>
      <c r="C21" s="3" t="str">
        <f>IF($B21="GW1",VLOOKUP($A21,Matches!$A:$AC,2,FALSE),IF($B21="GW2",VLOOKUP($A21,Matches!$A:$AC,9,FALSE),IF($B21="GW3",VLOOKUP($A21,Matches!$A:$AC,16,FALSE))))</f>
        <v>Man Utd</v>
      </c>
      <c r="D21" s="6">
        <v>0.49534376857539131</v>
      </c>
      <c r="E21" s="6">
        <v>0.25482251611752416</v>
      </c>
      <c r="F21" s="6">
        <v>0.24052125245786715</v>
      </c>
      <c r="G21" s="3" t="s">
        <v>0</v>
      </c>
      <c r="H21">
        <v>0.31746031699999999</v>
      </c>
      <c r="I21">
        <v>0.173160173</v>
      </c>
      <c r="J21">
        <v>0.13605442200000001</v>
      </c>
      <c r="K21">
        <v>0.33734939800000002</v>
      </c>
      <c r="L21">
        <v>0.311926606</v>
      </c>
      <c r="M21">
        <v>4.2145594000000001E-2</v>
      </c>
      <c r="N21" t="e">
        <v>#N/A</v>
      </c>
      <c r="O21" t="e">
        <v>#N/A</v>
      </c>
    </row>
    <row r="22" spans="1:15" x14ac:dyDescent="0.25">
      <c r="A22" t="s">
        <v>3</v>
      </c>
      <c r="B22" t="s">
        <v>23</v>
      </c>
      <c r="C22" s="3" t="str">
        <f>IF($B22="GW1",VLOOKUP($A22,Matches!$A:$AC,2,FALSE),IF($B22="GW2",VLOOKUP($A22,Matches!$A:$AC,9,FALSE),IF($B22="GW3",VLOOKUP($A22,Matches!$A:$AC,16,FALSE))))</f>
        <v>Man Utd</v>
      </c>
      <c r="D22" s="6">
        <v>0.49534376857539131</v>
      </c>
      <c r="E22" s="6">
        <v>0.25482251611752416</v>
      </c>
      <c r="F22" s="6">
        <v>0.24052125245786715</v>
      </c>
      <c r="G22" s="3" t="s">
        <v>0</v>
      </c>
      <c r="H22">
        <v>0.173160173</v>
      </c>
      <c r="I22">
        <v>0.173160173</v>
      </c>
      <c r="J22">
        <v>0.21994941200000001</v>
      </c>
      <c r="K22">
        <v>0.33734939800000002</v>
      </c>
      <c r="L22">
        <v>0.311926606</v>
      </c>
      <c r="M22">
        <v>4.2145594000000001E-2</v>
      </c>
      <c r="N22" t="e">
        <v>#N/A</v>
      </c>
      <c r="O22" t="e">
        <v>#N/A</v>
      </c>
    </row>
    <row r="23" spans="1:15" x14ac:dyDescent="0.25">
      <c r="A23" t="s">
        <v>3</v>
      </c>
      <c r="B23" t="s">
        <v>23</v>
      </c>
      <c r="C23" s="3" t="str">
        <f>IF($B23="GW1",VLOOKUP($A23,Matches!$A:$AC,2,FALSE),IF($B23="GW2",VLOOKUP($A23,Matches!$A:$AC,9,FALSE),IF($B23="GW3",VLOOKUP($A23,Matches!$A:$AC,16,FALSE))))</f>
        <v>Man Utd</v>
      </c>
      <c r="D23" s="6">
        <v>0.49534376857539131</v>
      </c>
      <c r="E23" s="6">
        <v>0.25482251611752416</v>
      </c>
      <c r="F23" s="6">
        <v>0.24052125245786715</v>
      </c>
      <c r="G23" s="3" t="s">
        <v>0</v>
      </c>
      <c r="H23" t="e">
        <v>#N/A</v>
      </c>
      <c r="I23" t="e">
        <v>#N/A</v>
      </c>
      <c r="J23" t="e">
        <v>#N/A</v>
      </c>
      <c r="K23">
        <v>0.33734939800000002</v>
      </c>
      <c r="L23">
        <v>0.311926606</v>
      </c>
      <c r="M23">
        <v>4.2145594000000001E-2</v>
      </c>
      <c r="N23" t="e">
        <v>#N/A</v>
      </c>
      <c r="O23" t="e">
        <v>#N/A</v>
      </c>
    </row>
    <row r="24" spans="1:15" x14ac:dyDescent="0.25">
      <c r="A24" t="s">
        <v>3</v>
      </c>
      <c r="B24" t="s">
        <v>23</v>
      </c>
      <c r="C24" s="3" t="str">
        <f>IF($B24="GW1",VLOOKUP($A24,Matches!$A:$AC,2,FALSE),IF($B24="GW2",VLOOKUP($A24,Matches!$A:$AC,9,FALSE),IF($B24="GW3",VLOOKUP($A24,Matches!$A:$AC,16,FALSE))))</f>
        <v>Man Utd</v>
      </c>
      <c r="D24" s="6">
        <v>0.49534376857539131</v>
      </c>
      <c r="E24" s="6">
        <v>0.25482251611752416</v>
      </c>
      <c r="F24" s="6">
        <v>0.24052125245786715</v>
      </c>
      <c r="G24" s="3" t="s">
        <v>0</v>
      </c>
      <c r="H24" t="e">
        <v>#N/A</v>
      </c>
      <c r="I24" t="e">
        <v>#N/A</v>
      </c>
      <c r="J24" t="e">
        <v>#N/A</v>
      </c>
      <c r="K24">
        <v>0.33734939800000002</v>
      </c>
      <c r="L24">
        <v>0.311926606</v>
      </c>
      <c r="M24">
        <v>4.2145594000000001E-2</v>
      </c>
      <c r="N24" t="e">
        <v>#N/A</v>
      </c>
      <c r="O24" t="e">
        <v>#N/A</v>
      </c>
    </row>
    <row r="25" spans="1:15" x14ac:dyDescent="0.25">
      <c r="A25" t="s">
        <v>3</v>
      </c>
      <c r="B25" t="s">
        <v>23</v>
      </c>
      <c r="C25" s="3" t="str">
        <f>IF($B25="GW1",VLOOKUP($A25,Matches!$A:$AC,2,FALSE),IF($B25="GW2",VLOOKUP($A25,Matches!$A:$AC,9,FALSE),IF($B25="GW3",VLOOKUP($A25,Matches!$A:$AC,16,FALSE))))</f>
        <v>Man Utd</v>
      </c>
      <c r="D25" s="6">
        <v>0.49534376857539131</v>
      </c>
      <c r="E25" s="6">
        <v>0.25482251611752416</v>
      </c>
      <c r="F25" s="6">
        <v>0.24052125245786715</v>
      </c>
      <c r="G25" s="3" t="s">
        <v>0</v>
      </c>
      <c r="H25">
        <v>0.112044818</v>
      </c>
      <c r="I25">
        <v>7.3260072999999995E-2</v>
      </c>
      <c r="J25">
        <v>0.33184005300000002</v>
      </c>
      <c r="K25">
        <v>0.33734939800000002</v>
      </c>
      <c r="L25">
        <v>0.311926606</v>
      </c>
      <c r="M25">
        <v>4.2145594000000001E-2</v>
      </c>
      <c r="N25" t="e">
        <v>#N/A</v>
      </c>
      <c r="O25" t="e">
        <v>#N/A</v>
      </c>
    </row>
    <row r="26" spans="1:15" x14ac:dyDescent="0.25">
      <c r="A26" t="s">
        <v>3</v>
      </c>
      <c r="B26" t="s">
        <v>23</v>
      </c>
      <c r="C26" s="3" t="str">
        <f>IF($B26="GW1",VLOOKUP($A26,Matches!$A:$AC,2,FALSE),IF($B26="GW2",VLOOKUP($A26,Matches!$A:$AC,9,FALSE),IF($B26="GW3",VLOOKUP($A26,Matches!$A:$AC,16,FALSE))))</f>
        <v>Man Utd</v>
      </c>
      <c r="D26" s="6">
        <v>0.49534376857539131</v>
      </c>
      <c r="E26" s="6">
        <v>0.25482251611752416</v>
      </c>
      <c r="F26" s="6">
        <v>0.24052125245786715</v>
      </c>
      <c r="G26" s="3" t="s">
        <v>0</v>
      </c>
      <c r="H26">
        <v>0.31746031699999999</v>
      </c>
      <c r="I26">
        <v>0.15873015900000001</v>
      </c>
      <c r="J26">
        <v>0.173160173</v>
      </c>
      <c r="K26">
        <v>0.33734939800000002</v>
      </c>
      <c r="L26">
        <v>0.311926606</v>
      </c>
      <c r="M26">
        <v>4.2145594000000001E-2</v>
      </c>
      <c r="N26" t="e">
        <v>#N/A</v>
      </c>
      <c r="O26" t="e">
        <v>#N/A</v>
      </c>
    </row>
    <row r="27" spans="1:15" x14ac:dyDescent="0.25">
      <c r="A27" t="s">
        <v>3</v>
      </c>
      <c r="B27" t="s">
        <v>23</v>
      </c>
      <c r="C27" s="3" t="str">
        <f>IF($B27="GW1",VLOOKUP($A27,Matches!$A:$AC,2,FALSE),IF($B27="GW2",VLOOKUP($A27,Matches!$A:$AC,9,FALSE),IF($B27="GW3",VLOOKUP($A27,Matches!$A:$AC,16,FALSE))))</f>
        <v>Man Utd</v>
      </c>
      <c r="D27" s="6">
        <v>0.49534376857539131</v>
      </c>
      <c r="E27" s="6">
        <v>0.25482251611752416</v>
      </c>
      <c r="F27" s="6">
        <v>0.24052125245786715</v>
      </c>
      <c r="G27" s="3" t="s">
        <v>0</v>
      </c>
      <c r="H27">
        <v>0.14652014699999999</v>
      </c>
      <c r="I27">
        <v>0.11904761899999999</v>
      </c>
      <c r="J27">
        <v>0.20050125299999999</v>
      </c>
      <c r="K27">
        <v>0.33734939800000002</v>
      </c>
      <c r="L27">
        <v>0.311926606</v>
      </c>
      <c r="M27">
        <v>4.2145594000000001E-2</v>
      </c>
      <c r="N27" t="e">
        <v>#N/A</v>
      </c>
      <c r="O27" t="e">
        <v>#N/A</v>
      </c>
    </row>
    <row r="28" spans="1:15" x14ac:dyDescent="0.25">
      <c r="A28" t="s">
        <v>3</v>
      </c>
      <c r="B28" t="s">
        <v>23</v>
      </c>
      <c r="C28" s="3" t="str">
        <f>IF($B28="GW1",VLOOKUP($A28,Matches!$A:$AC,2,FALSE),IF($B28="GW2",VLOOKUP($A28,Matches!$A:$AC,9,FALSE),IF($B28="GW3",VLOOKUP($A28,Matches!$A:$AC,16,FALSE))))</f>
        <v>Man Utd</v>
      </c>
      <c r="D28" s="6">
        <v>0.49534376857539131</v>
      </c>
      <c r="E28" s="6">
        <v>0.25482251611752416</v>
      </c>
      <c r="F28" s="6">
        <v>0.24052125245786715</v>
      </c>
      <c r="G28" s="3" t="s">
        <v>0</v>
      </c>
      <c r="H28">
        <v>0.253968254</v>
      </c>
      <c r="I28">
        <v>0.173160173</v>
      </c>
      <c r="J28">
        <v>0.253968254</v>
      </c>
      <c r="K28">
        <v>0.33734939800000002</v>
      </c>
      <c r="L28">
        <v>0.311926606</v>
      </c>
      <c r="M28">
        <v>4.2145594000000001E-2</v>
      </c>
      <c r="N28" t="e">
        <v>#N/A</v>
      </c>
      <c r="O28" t="e">
        <v>#N/A</v>
      </c>
    </row>
    <row r="29" spans="1:15" x14ac:dyDescent="0.25">
      <c r="A29" t="s">
        <v>3</v>
      </c>
      <c r="B29" t="s">
        <v>23</v>
      </c>
      <c r="C29" s="3" t="str">
        <f>IF($B29="GW1",VLOOKUP($A29,Matches!$A:$AC,2,FALSE),IF($B29="GW2",VLOOKUP($A29,Matches!$A:$AC,9,FALSE),IF($B29="GW3",VLOOKUP($A29,Matches!$A:$AC,16,FALSE))))</f>
        <v>Man Utd</v>
      </c>
      <c r="D29" s="6">
        <v>0.49534376857539131</v>
      </c>
      <c r="E29" s="6">
        <v>0.25482251611752416</v>
      </c>
      <c r="F29" s="6">
        <v>0.24052125245786715</v>
      </c>
      <c r="G29" s="3" t="s">
        <v>0</v>
      </c>
      <c r="H29" t="e">
        <v>#N/A</v>
      </c>
      <c r="I29" t="e">
        <v>#N/A</v>
      </c>
      <c r="J29" t="e">
        <v>#N/A</v>
      </c>
      <c r="K29">
        <v>0.33734939800000002</v>
      </c>
      <c r="L29">
        <v>0.311926606</v>
      </c>
      <c r="M29">
        <v>4.2145594000000001E-2</v>
      </c>
      <c r="N29" t="e">
        <v>#N/A</v>
      </c>
      <c r="O29" t="e">
        <v>#N/A</v>
      </c>
    </row>
    <row r="30" spans="1:15" x14ac:dyDescent="0.25">
      <c r="A30" t="s">
        <v>3</v>
      </c>
      <c r="B30" t="s">
        <v>23</v>
      </c>
      <c r="C30" s="3" t="str">
        <f>IF($B30="GW1",VLOOKUP($A30,Matches!$A:$AC,2,FALSE),IF($B30="GW2",VLOOKUP($A30,Matches!$A:$AC,9,FALSE),IF($B30="GW3",VLOOKUP($A30,Matches!$A:$AC,16,FALSE))))</f>
        <v>Man Utd</v>
      </c>
      <c r="D30" s="6">
        <v>0.49534376857539131</v>
      </c>
      <c r="E30" s="6">
        <v>0.25482251611752416</v>
      </c>
      <c r="F30" s="6">
        <v>0.24052125245786715</v>
      </c>
      <c r="G30" s="3" t="s">
        <v>0</v>
      </c>
      <c r="H30">
        <v>0.14652014699999999</v>
      </c>
      <c r="I30">
        <v>0.105820106</v>
      </c>
      <c r="J30">
        <v>0.28011204499999998</v>
      </c>
      <c r="K30">
        <v>0.33734939800000002</v>
      </c>
      <c r="L30">
        <v>0.311926606</v>
      </c>
      <c r="M30">
        <v>4.2145594000000001E-2</v>
      </c>
      <c r="N30" t="e">
        <v>#N/A</v>
      </c>
      <c r="O30" t="e">
        <v>#N/A</v>
      </c>
    </row>
    <row r="31" spans="1:15" x14ac:dyDescent="0.25">
      <c r="A31" t="s">
        <v>3</v>
      </c>
      <c r="B31" t="s">
        <v>23</v>
      </c>
      <c r="C31" s="3" t="str">
        <f>IF($B31="GW1",VLOOKUP($A31,Matches!$A:$AC,2,FALSE),IF($B31="GW2",VLOOKUP($A31,Matches!$A:$AC,9,FALSE),IF($B31="GW3",VLOOKUP($A31,Matches!$A:$AC,16,FALSE))))</f>
        <v>Man Utd</v>
      </c>
      <c r="D31" s="6">
        <v>0.49534376857539131</v>
      </c>
      <c r="E31" s="6">
        <v>0.25482251611752416</v>
      </c>
      <c r="F31" s="6">
        <v>0.24052125245786715</v>
      </c>
      <c r="G31" s="3" t="s">
        <v>0</v>
      </c>
      <c r="H31">
        <v>0.31746031699999999</v>
      </c>
      <c r="I31">
        <v>9.5238094999999995E-2</v>
      </c>
      <c r="J31">
        <v>0.28011204499999998</v>
      </c>
      <c r="K31">
        <v>0.33734939800000002</v>
      </c>
      <c r="L31">
        <v>0.311926606</v>
      </c>
      <c r="M31">
        <v>4.2145594000000001E-2</v>
      </c>
      <c r="N31" t="e">
        <v>#N/A</v>
      </c>
      <c r="O31" t="e">
        <v>#N/A</v>
      </c>
    </row>
    <row r="32" spans="1:15" x14ac:dyDescent="0.25">
      <c r="A32" t="s">
        <v>3</v>
      </c>
      <c r="B32" t="s">
        <v>23</v>
      </c>
      <c r="C32" s="3" t="str">
        <f>IF($B32="GW1",VLOOKUP($A32,Matches!$A:$AC,2,FALSE),IF($B32="GW2",VLOOKUP($A32,Matches!$A:$AC,9,FALSE),IF($B32="GW3",VLOOKUP($A32,Matches!$A:$AC,16,FALSE))))</f>
        <v>Man Utd</v>
      </c>
      <c r="D32" s="6">
        <v>0.49534376857539131</v>
      </c>
      <c r="E32" s="6">
        <v>0.25482251611752416</v>
      </c>
      <c r="F32" s="6">
        <v>0.24052125245786715</v>
      </c>
      <c r="G32" s="3" t="s">
        <v>0</v>
      </c>
      <c r="H32" t="e">
        <v>#N/A</v>
      </c>
      <c r="I32" t="e">
        <v>#N/A</v>
      </c>
      <c r="J32" t="e">
        <v>#N/A</v>
      </c>
      <c r="K32">
        <v>0.33734939800000002</v>
      </c>
      <c r="L32">
        <v>0.311926606</v>
      </c>
      <c r="M32">
        <v>4.2145594000000001E-2</v>
      </c>
      <c r="N32" t="e">
        <v>#N/A</v>
      </c>
      <c r="O32" t="e">
        <v>#N/A</v>
      </c>
    </row>
    <row r="33" spans="1:15" x14ac:dyDescent="0.25">
      <c r="A33" t="s">
        <v>3</v>
      </c>
      <c r="B33" t="s">
        <v>23</v>
      </c>
      <c r="C33" s="3" t="str">
        <f>IF($B33="GW1",VLOOKUP($A33,Matches!$A:$AC,2,FALSE),IF($B33="GW2",VLOOKUP($A33,Matches!$A:$AC,9,FALSE),IF($B33="GW3",VLOOKUP($A33,Matches!$A:$AC,16,FALSE))))</f>
        <v>Man Utd</v>
      </c>
      <c r="D33" s="6">
        <v>0.49534376857539131</v>
      </c>
      <c r="E33" s="6">
        <v>0.25482251611752416</v>
      </c>
      <c r="F33" s="6">
        <v>0.24052125245786715</v>
      </c>
      <c r="G33" s="3" t="s">
        <v>0</v>
      </c>
      <c r="H33">
        <v>7.9365079000000005E-2</v>
      </c>
      <c r="I33">
        <v>4.5351474000000003E-2</v>
      </c>
      <c r="J33">
        <v>0.19047618999999999</v>
      </c>
      <c r="K33">
        <v>0.33734939800000002</v>
      </c>
      <c r="L33">
        <v>0.311926606</v>
      </c>
      <c r="M33">
        <v>4.2145594000000001E-2</v>
      </c>
      <c r="N33" t="e">
        <v>#N/A</v>
      </c>
      <c r="O33" t="e">
        <v>#N/A</v>
      </c>
    </row>
    <row r="34" spans="1:15" x14ac:dyDescent="0.25">
      <c r="A34" t="s">
        <v>3</v>
      </c>
      <c r="B34" t="s">
        <v>23</v>
      </c>
      <c r="C34" s="3" t="str">
        <f>IF($B34="GW1",VLOOKUP($A34,Matches!$A:$AC,2,FALSE),IF($B34="GW2",VLOOKUP($A34,Matches!$A:$AC,9,FALSE),IF($B34="GW3",VLOOKUP($A34,Matches!$A:$AC,16,FALSE))))</f>
        <v>Man Utd</v>
      </c>
      <c r="D34" s="6">
        <v>0.49534376857539131</v>
      </c>
      <c r="E34" s="6">
        <v>0.25482251611752416</v>
      </c>
      <c r="F34" s="6">
        <v>0.24052125245786715</v>
      </c>
      <c r="G34" s="3" t="s">
        <v>0</v>
      </c>
      <c r="H34">
        <v>0.48840048800000002</v>
      </c>
      <c r="I34">
        <v>0.14652014699999999</v>
      </c>
      <c r="J34">
        <v>0.19047618999999999</v>
      </c>
      <c r="K34">
        <v>0.33734939800000002</v>
      </c>
      <c r="L34">
        <v>0.311926606</v>
      </c>
      <c r="M34">
        <v>4.2145594000000001E-2</v>
      </c>
      <c r="N34" t="e">
        <v>#N/A</v>
      </c>
      <c r="O34" t="e">
        <v>#N/A</v>
      </c>
    </row>
    <row r="35" spans="1:15" x14ac:dyDescent="0.25">
      <c r="A35" t="s">
        <v>4</v>
      </c>
      <c r="B35" t="s">
        <v>23</v>
      </c>
      <c r="C35" s="3" t="str">
        <f>IF($B35="GW1",VLOOKUP($A35,Matches!$A:$AC,2,FALSE),IF($B35="GW2",VLOOKUP($A35,Matches!$A:$AC,9,FALSE),IF($B35="GW3",VLOOKUP($A35,Matches!$A:$AC,16,FALSE))))</f>
        <v>Newcastle</v>
      </c>
      <c r="D35" s="6">
        <v>0.4045307443365696</v>
      </c>
      <c r="E35" s="6">
        <v>0.32799790081343477</v>
      </c>
      <c r="F35" s="6">
        <v>7.653284352313483E-2</v>
      </c>
      <c r="G35" s="3" t="s">
        <v>1</v>
      </c>
      <c r="H35" t="e">
        <v>#N/A</v>
      </c>
      <c r="I35" t="e">
        <v>#N/A</v>
      </c>
      <c r="J35">
        <v>0.14652014699999999</v>
      </c>
      <c r="K35">
        <v>0.25</v>
      </c>
      <c r="L35">
        <v>0.42257217800000002</v>
      </c>
      <c r="M35">
        <v>6.4254522999999994E-2</v>
      </c>
      <c r="N35">
        <v>0.47619047599999997</v>
      </c>
      <c r="O35">
        <v>0</v>
      </c>
    </row>
    <row r="36" spans="1:15" x14ac:dyDescent="0.25">
      <c r="A36" t="s">
        <v>4</v>
      </c>
      <c r="B36" t="s">
        <v>23</v>
      </c>
      <c r="C36" s="3" t="str">
        <f>IF($B36="GW1",VLOOKUP($A36,Matches!$A:$AC,2,FALSE),IF($B36="GW2",VLOOKUP($A36,Matches!$A:$AC,9,FALSE),IF($B36="GW3",VLOOKUP($A36,Matches!$A:$AC,16,FALSE))))</f>
        <v>Newcastle</v>
      </c>
      <c r="D36" s="6">
        <v>0.4045307443365696</v>
      </c>
      <c r="E36" s="6">
        <v>0.32799790081343477</v>
      </c>
      <c r="F36" s="6">
        <v>7.653284352313483E-2</v>
      </c>
      <c r="G36" s="3" t="s">
        <v>1</v>
      </c>
      <c r="H36" t="e">
        <v>#N/A</v>
      </c>
      <c r="I36" t="e">
        <v>#N/A</v>
      </c>
      <c r="J36">
        <v>7.9365079000000005E-2</v>
      </c>
      <c r="K36">
        <v>0.25</v>
      </c>
      <c r="L36">
        <v>0.42257217800000002</v>
      </c>
      <c r="M36">
        <v>6.4254522999999994E-2</v>
      </c>
      <c r="N36" t="e">
        <v>#N/A</v>
      </c>
      <c r="O36" t="e">
        <v>#N/A</v>
      </c>
    </row>
    <row r="37" spans="1:15" x14ac:dyDescent="0.25">
      <c r="A37" t="s">
        <v>4</v>
      </c>
      <c r="B37" t="s">
        <v>23</v>
      </c>
      <c r="C37" s="3" t="str">
        <f>IF($B37="GW1",VLOOKUP($A37,Matches!$A:$AC,2,FALSE),IF($B37="GW2",VLOOKUP($A37,Matches!$A:$AC,9,FALSE),IF($B37="GW3",VLOOKUP($A37,Matches!$A:$AC,16,FALSE))))</f>
        <v>Newcastle</v>
      </c>
      <c r="D37" s="6">
        <v>0.4045307443365696</v>
      </c>
      <c r="E37" s="6">
        <v>0.32799790081343477</v>
      </c>
      <c r="F37" s="6">
        <v>7.653284352313483E-2</v>
      </c>
      <c r="G37" s="3" t="s">
        <v>1</v>
      </c>
      <c r="H37" t="e">
        <v>#N/A</v>
      </c>
      <c r="I37" t="e">
        <v>#N/A</v>
      </c>
      <c r="J37">
        <v>0.112044818</v>
      </c>
      <c r="K37">
        <v>0.25</v>
      </c>
      <c r="L37">
        <v>0.42257217800000002</v>
      </c>
      <c r="M37">
        <v>6.4254522999999994E-2</v>
      </c>
      <c r="N37" t="e">
        <v>#N/A</v>
      </c>
      <c r="O37" t="e">
        <v>#N/A</v>
      </c>
    </row>
    <row r="38" spans="1:15" x14ac:dyDescent="0.25">
      <c r="A38" t="s">
        <v>4</v>
      </c>
      <c r="B38" t="s">
        <v>23</v>
      </c>
      <c r="C38" s="3" t="str">
        <f>IF($B38="GW1",VLOOKUP($A38,Matches!$A:$AC,2,FALSE),IF($B38="GW2",VLOOKUP($A38,Matches!$A:$AC,9,FALSE),IF($B38="GW3",VLOOKUP($A38,Matches!$A:$AC,16,FALSE))))</f>
        <v>Newcastle</v>
      </c>
      <c r="D38" s="6">
        <v>0.4045307443365696</v>
      </c>
      <c r="E38" s="6">
        <v>0.32799790081343477</v>
      </c>
      <c r="F38" s="6">
        <v>7.653284352313483E-2</v>
      </c>
      <c r="G38" s="3" t="s">
        <v>1</v>
      </c>
      <c r="H38" t="e">
        <v>#N/A</v>
      </c>
      <c r="I38" t="e">
        <v>#N/A</v>
      </c>
      <c r="J38" t="e">
        <v>#N/A</v>
      </c>
      <c r="K38">
        <v>0.25</v>
      </c>
      <c r="L38">
        <v>0.42257217800000002</v>
      </c>
      <c r="M38">
        <v>6.4254522999999994E-2</v>
      </c>
      <c r="N38" t="e">
        <v>#N/A</v>
      </c>
      <c r="O38" t="e">
        <v>#N/A</v>
      </c>
    </row>
    <row r="39" spans="1:15" x14ac:dyDescent="0.25">
      <c r="A39" t="s">
        <v>4</v>
      </c>
      <c r="B39" t="s">
        <v>23</v>
      </c>
      <c r="C39" s="3" t="str">
        <f>IF($B39="GW1",VLOOKUP($A39,Matches!$A:$AC,2,FALSE),IF($B39="GW2",VLOOKUP($A39,Matches!$A:$AC,9,FALSE),IF($B39="GW3",VLOOKUP($A39,Matches!$A:$AC,16,FALSE))))</f>
        <v>Newcastle</v>
      </c>
      <c r="D39" s="6">
        <v>0.4045307443365696</v>
      </c>
      <c r="E39" s="6">
        <v>0.32799790081343477</v>
      </c>
      <c r="F39" s="6">
        <v>7.653284352313483E-2</v>
      </c>
      <c r="G39" s="3" t="s">
        <v>1</v>
      </c>
      <c r="H39">
        <v>0.14652014699999999</v>
      </c>
      <c r="I39">
        <v>8.6580087E-2</v>
      </c>
      <c r="J39">
        <v>0.27210884400000002</v>
      </c>
      <c r="K39">
        <v>0.25</v>
      </c>
      <c r="L39">
        <v>0.42257217800000002</v>
      </c>
      <c r="M39">
        <v>6.4254522999999994E-2</v>
      </c>
      <c r="N39" t="e">
        <v>#N/A</v>
      </c>
      <c r="O39" t="e">
        <v>#N/A</v>
      </c>
    </row>
    <row r="40" spans="1:15" x14ac:dyDescent="0.25">
      <c r="A40" t="s">
        <v>4</v>
      </c>
      <c r="B40" t="s">
        <v>23</v>
      </c>
      <c r="C40" s="3" t="str">
        <f>IF($B40="GW1",VLOOKUP($A40,Matches!$A:$AC,2,FALSE),IF($B40="GW2",VLOOKUP($A40,Matches!$A:$AC,9,FALSE),IF($B40="GW3",VLOOKUP($A40,Matches!$A:$AC,16,FALSE))))</f>
        <v>Newcastle</v>
      </c>
      <c r="D40" s="6">
        <v>0.4045307443365696</v>
      </c>
      <c r="E40" s="6">
        <v>0.32799790081343477</v>
      </c>
      <c r="F40" s="6">
        <v>7.653284352313483E-2</v>
      </c>
      <c r="G40" s="3" t="s">
        <v>1</v>
      </c>
      <c r="H40">
        <v>8.6580087E-2</v>
      </c>
      <c r="I40">
        <v>0.15873015900000001</v>
      </c>
      <c r="J40">
        <v>0.27210884400000002</v>
      </c>
      <c r="K40">
        <v>0.25</v>
      </c>
      <c r="L40">
        <v>0.42257217800000002</v>
      </c>
      <c r="M40">
        <v>6.4254522999999994E-2</v>
      </c>
      <c r="N40" t="e">
        <v>#N/A</v>
      </c>
      <c r="O40" t="e">
        <v>#N/A</v>
      </c>
    </row>
    <row r="41" spans="1:15" x14ac:dyDescent="0.25">
      <c r="A41" t="s">
        <v>4</v>
      </c>
      <c r="B41" t="s">
        <v>23</v>
      </c>
      <c r="C41" s="3" t="str">
        <f>IF($B41="GW1",VLOOKUP($A41,Matches!$A:$AC,2,FALSE),IF($B41="GW2",VLOOKUP($A41,Matches!$A:$AC,9,FALSE),IF($B41="GW3",VLOOKUP($A41,Matches!$A:$AC,16,FALSE))))</f>
        <v>Newcastle</v>
      </c>
      <c r="D41" s="6">
        <v>0.4045307443365696</v>
      </c>
      <c r="E41" s="6">
        <v>0.32799790081343477</v>
      </c>
      <c r="F41" s="6">
        <v>7.653284352313483E-2</v>
      </c>
      <c r="G41" s="3" t="s">
        <v>1</v>
      </c>
      <c r="H41">
        <v>7.3260072999999995E-2</v>
      </c>
      <c r="I41">
        <v>4.5351474000000003E-2</v>
      </c>
      <c r="J41">
        <v>0.173160173</v>
      </c>
      <c r="K41">
        <v>0.25</v>
      </c>
      <c r="L41">
        <v>0.42257217800000002</v>
      </c>
      <c r="M41">
        <v>6.4254522999999994E-2</v>
      </c>
      <c r="N41" t="e">
        <v>#N/A</v>
      </c>
      <c r="O41" t="e">
        <v>#N/A</v>
      </c>
    </row>
    <row r="42" spans="1:15" x14ac:dyDescent="0.25">
      <c r="A42" t="s">
        <v>4</v>
      </c>
      <c r="B42" t="s">
        <v>23</v>
      </c>
      <c r="C42" s="3" t="str">
        <f>IF($B42="GW1",VLOOKUP($A42,Matches!$A:$AC,2,FALSE),IF($B42="GW2",VLOOKUP($A42,Matches!$A:$AC,9,FALSE),IF($B42="GW3",VLOOKUP($A42,Matches!$A:$AC,16,FALSE))))</f>
        <v>Newcastle</v>
      </c>
      <c r="D42" s="6">
        <v>0.4045307443365696</v>
      </c>
      <c r="E42" s="6">
        <v>0.32799790081343477</v>
      </c>
      <c r="F42" s="6">
        <v>7.653284352313483E-2</v>
      </c>
      <c r="G42" s="3" t="s">
        <v>1</v>
      </c>
      <c r="H42">
        <v>0.11904761899999999</v>
      </c>
      <c r="I42">
        <v>0.15873015900000001</v>
      </c>
      <c r="J42">
        <v>0.307219662</v>
      </c>
      <c r="K42">
        <v>0.25</v>
      </c>
      <c r="L42">
        <v>0.42257217800000002</v>
      </c>
      <c r="M42">
        <v>6.4254522999999994E-2</v>
      </c>
      <c r="N42" t="e">
        <v>#N/A</v>
      </c>
      <c r="O42" t="e">
        <v>#N/A</v>
      </c>
    </row>
    <row r="43" spans="1:15" x14ac:dyDescent="0.25">
      <c r="A43" t="s">
        <v>4</v>
      </c>
      <c r="B43" t="s">
        <v>23</v>
      </c>
      <c r="C43" s="3" t="str">
        <f>IF($B43="GW1",VLOOKUP($A43,Matches!$A:$AC,2,FALSE),IF($B43="GW2",VLOOKUP($A43,Matches!$A:$AC,9,FALSE),IF($B43="GW3",VLOOKUP($A43,Matches!$A:$AC,16,FALSE))))</f>
        <v>Newcastle</v>
      </c>
      <c r="D43" s="6">
        <v>0.4045307443365696</v>
      </c>
      <c r="E43" s="6">
        <v>0.32799790081343477</v>
      </c>
      <c r="F43" s="6">
        <v>7.653284352313483E-2</v>
      </c>
      <c r="G43" s="3" t="s">
        <v>1</v>
      </c>
      <c r="H43">
        <v>8.6580087E-2</v>
      </c>
      <c r="I43">
        <v>4.5351474000000003E-2</v>
      </c>
      <c r="J43">
        <v>0.29304029300000001</v>
      </c>
      <c r="K43">
        <v>0.25</v>
      </c>
      <c r="L43">
        <v>0.42257217800000002</v>
      </c>
      <c r="M43">
        <v>6.4254522999999994E-2</v>
      </c>
      <c r="N43" t="e">
        <v>#N/A</v>
      </c>
      <c r="O43" t="e">
        <v>#N/A</v>
      </c>
    </row>
    <row r="44" spans="1:15" x14ac:dyDescent="0.25">
      <c r="A44" t="s">
        <v>4</v>
      </c>
      <c r="B44" t="s">
        <v>23</v>
      </c>
      <c r="C44" s="3" t="str">
        <f>IF($B44="GW1",VLOOKUP($A44,Matches!$A:$AC,2,FALSE),IF($B44="GW2",VLOOKUP($A44,Matches!$A:$AC,9,FALSE),IF($B44="GW3",VLOOKUP($A44,Matches!$A:$AC,16,FALSE))))</f>
        <v>Newcastle</v>
      </c>
      <c r="D44" s="6">
        <v>0.4045307443365696</v>
      </c>
      <c r="E44" s="6">
        <v>0.32799790081343477</v>
      </c>
      <c r="F44" s="6">
        <v>7.653284352313483E-2</v>
      </c>
      <c r="G44" s="3" t="s">
        <v>1</v>
      </c>
      <c r="H44">
        <v>8.6580087E-2</v>
      </c>
      <c r="I44">
        <v>3.6630036999999997E-2</v>
      </c>
      <c r="J44">
        <v>0.14652014699999999</v>
      </c>
      <c r="K44">
        <v>0.25</v>
      </c>
      <c r="L44">
        <v>0.42257217800000002</v>
      </c>
      <c r="M44">
        <v>6.4254522999999994E-2</v>
      </c>
      <c r="N44" t="e">
        <v>#N/A</v>
      </c>
      <c r="O44" t="e">
        <v>#N/A</v>
      </c>
    </row>
    <row r="45" spans="1:15" x14ac:dyDescent="0.25">
      <c r="A45" t="s">
        <v>4</v>
      </c>
      <c r="B45" t="s">
        <v>23</v>
      </c>
      <c r="C45" s="3" t="str">
        <f>IF($B45="GW1",VLOOKUP($A45,Matches!$A:$AC,2,FALSE),IF($B45="GW2",VLOOKUP($A45,Matches!$A:$AC,9,FALSE),IF($B45="GW3",VLOOKUP($A45,Matches!$A:$AC,16,FALSE))))</f>
        <v>Newcastle</v>
      </c>
      <c r="D45" s="6">
        <v>0.4045307443365696</v>
      </c>
      <c r="E45" s="6">
        <v>0.32799790081343477</v>
      </c>
      <c r="F45" s="6">
        <v>7.653284352313483E-2</v>
      </c>
      <c r="G45" s="3" t="s">
        <v>1</v>
      </c>
      <c r="H45" t="e">
        <v>#N/A</v>
      </c>
      <c r="I45" t="e">
        <v>#N/A</v>
      </c>
      <c r="J45" t="e">
        <v>#N/A</v>
      </c>
      <c r="K45">
        <v>0.25</v>
      </c>
      <c r="L45">
        <v>0.42257217800000002</v>
      </c>
      <c r="M45">
        <v>6.4254522999999994E-2</v>
      </c>
      <c r="N45" t="e">
        <v>#N/A</v>
      </c>
      <c r="O45" t="e">
        <v>#N/A</v>
      </c>
    </row>
    <row r="46" spans="1:15" x14ac:dyDescent="0.25">
      <c r="A46" t="s">
        <v>4</v>
      </c>
      <c r="B46" t="s">
        <v>23</v>
      </c>
      <c r="C46" s="3" t="str">
        <f>IF($B46="GW1",VLOOKUP($A46,Matches!$A:$AC,2,FALSE),IF($B46="GW2",VLOOKUP($A46,Matches!$A:$AC,9,FALSE),IF($B46="GW3",VLOOKUP($A46,Matches!$A:$AC,16,FALSE))))</f>
        <v>Newcastle</v>
      </c>
      <c r="D46" s="6">
        <v>0.4045307443365696</v>
      </c>
      <c r="E46" s="6">
        <v>0.32799790081343477</v>
      </c>
      <c r="F46" s="6">
        <v>7.653284352313483E-2</v>
      </c>
      <c r="G46" s="3" t="s">
        <v>1</v>
      </c>
      <c r="H46" t="e">
        <v>#N/A</v>
      </c>
      <c r="I46" t="e">
        <v>#N/A</v>
      </c>
      <c r="J46" t="e">
        <v>#N/A</v>
      </c>
      <c r="K46">
        <v>0.25</v>
      </c>
      <c r="L46">
        <v>0.42257217800000002</v>
      </c>
      <c r="M46">
        <v>6.4254522999999994E-2</v>
      </c>
      <c r="N46" t="e">
        <v>#N/A</v>
      </c>
      <c r="O46" t="e">
        <v>#N/A</v>
      </c>
    </row>
    <row r="47" spans="1:15" x14ac:dyDescent="0.25">
      <c r="A47" t="s">
        <v>4</v>
      </c>
      <c r="B47" t="s">
        <v>23</v>
      </c>
      <c r="C47" s="3" t="str">
        <f>IF($B47="GW1",VLOOKUP($A47,Matches!$A:$AC,2,FALSE),IF($B47="GW2",VLOOKUP($A47,Matches!$A:$AC,9,FALSE),IF($B47="GW3",VLOOKUP($A47,Matches!$A:$AC,16,FALSE))))</f>
        <v>Newcastle</v>
      </c>
      <c r="D47" s="6">
        <v>0.4045307443365696</v>
      </c>
      <c r="E47" s="6">
        <v>0.32799790081343477</v>
      </c>
      <c r="F47" s="6">
        <v>7.653284352313483E-2</v>
      </c>
      <c r="G47" s="3" t="s">
        <v>1</v>
      </c>
      <c r="H47">
        <v>0.11904761899999999</v>
      </c>
      <c r="I47">
        <v>5.6022409000000002E-2</v>
      </c>
      <c r="J47">
        <v>0.27210884400000002</v>
      </c>
      <c r="K47">
        <v>0.25</v>
      </c>
      <c r="L47">
        <v>0.42257217800000002</v>
      </c>
      <c r="M47">
        <v>6.4254522999999994E-2</v>
      </c>
      <c r="N47" t="e">
        <v>#N/A</v>
      </c>
      <c r="O47" t="e">
        <v>#N/A</v>
      </c>
    </row>
    <row r="48" spans="1:15" x14ac:dyDescent="0.25">
      <c r="A48" t="s">
        <v>4</v>
      </c>
      <c r="B48" t="s">
        <v>23</v>
      </c>
      <c r="C48" s="3" t="str">
        <f>IF($B48="GW1",VLOOKUP($A48,Matches!$A:$AC,2,FALSE),IF($B48="GW2",VLOOKUP($A48,Matches!$A:$AC,9,FALSE),IF($B48="GW3",VLOOKUP($A48,Matches!$A:$AC,16,FALSE))))</f>
        <v>Newcastle</v>
      </c>
      <c r="D48" s="6">
        <v>0.4045307443365696</v>
      </c>
      <c r="E48" s="6">
        <v>0.32799790081343477</v>
      </c>
      <c r="F48" s="6">
        <v>7.653284352313483E-2</v>
      </c>
      <c r="G48" s="3" t="s">
        <v>1</v>
      </c>
      <c r="H48" t="e">
        <v>#N/A</v>
      </c>
      <c r="I48" t="e">
        <v>#N/A</v>
      </c>
      <c r="J48" t="e">
        <v>#N/A</v>
      </c>
      <c r="K48">
        <v>0.25</v>
      </c>
      <c r="L48">
        <v>0.42257217800000002</v>
      </c>
      <c r="M48">
        <v>6.4254522999999994E-2</v>
      </c>
      <c r="N48" t="e">
        <v>#N/A</v>
      </c>
      <c r="O48" t="e">
        <v>#N/A</v>
      </c>
    </row>
    <row r="49" spans="1:15" x14ac:dyDescent="0.25">
      <c r="A49" t="s">
        <v>4</v>
      </c>
      <c r="B49" t="s">
        <v>23</v>
      </c>
      <c r="C49" s="3" t="str">
        <f>IF($B49="GW1",VLOOKUP($A49,Matches!$A:$AC,2,FALSE),IF($B49="GW2",VLOOKUP($A49,Matches!$A:$AC,9,FALSE),IF($B49="GW3",VLOOKUP($A49,Matches!$A:$AC,16,FALSE))))</f>
        <v>Newcastle</v>
      </c>
      <c r="D49" s="6">
        <v>0.4045307443365696</v>
      </c>
      <c r="E49" s="6">
        <v>0.32799790081343477</v>
      </c>
      <c r="F49" s="6">
        <v>7.653284352313483E-2</v>
      </c>
      <c r="G49" s="3" t="s">
        <v>1</v>
      </c>
      <c r="H49" t="e">
        <v>#N/A</v>
      </c>
      <c r="I49" t="e">
        <v>#N/A</v>
      </c>
      <c r="J49" t="e">
        <v>#N/A</v>
      </c>
      <c r="K49">
        <v>0.25</v>
      </c>
      <c r="L49">
        <v>0.42257217800000002</v>
      </c>
      <c r="M49">
        <v>6.4254522999999994E-2</v>
      </c>
      <c r="N49" t="e">
        <v>#N/A</v>
      </c>
      <c r="O49" t="e">
        <v>#N/A</v>
      </c>
    </row>
    <row r="50" spans="1:15" x14ac:dyDescent="0.25">
      <c r="A50" t="s">
        <v>4</v>
      </c>
      <c r="B50" t="s">
        <v>23</v>
      </c>
      <c r="C50" s="3" t="str">
        <f>IF($B50="GW1",VLOOKUP($A50,Matches!$A:$AC,2,FALSE),IF($B50="GW2",VLOOKUP($A50,Matches!$A:$AC,9,FALSE),IF($B50="GW3",VLOOKUP($A50,Matches!$A:$AC,16,FALSE))))</f>
        <v>Newcastle</v>
      </c>
      <c r="D50" s="6">
        <v>0.4045307443365696</v>
      </c>
      <c r="E50" s="6">
        <v>0.32799790081343477</v>
      </c>
      <c r="F50" s="6">
        <v>7.653284352313483E-2</v>
      </c>
      <c r="G50" s="3" t="s">
        <v>1</v>
      </c>
      <c r="H50">
        <v>0.31746031699999999</v>
      </c>
      <c r="I50">
        <v>0.173160173</v>
      </c>
      <c r="J50">
        <v>0.23809523799999999</v>
      </c>
      <c r="K50">
        <v>0.25</v>
      </c>
      <c r="L50">
        <v>0.42257217800000002</v>
      </c>
      <c r="M50">
        <v>6.4254522999999994E-2</v>
      </c>
      <c r="N50" t="e">
        <v>#N/A</v>
      </c>
      <c r="O50" t="e">
        <v>#N/A</v>
      </c>
    </row>
    <row r="51" spans="1:15" x14ac:dyDescent="0.25">
      <c r="A51" t="s">
        <v>4</v>
      </c>
      <c r="B51" t="s">
        <v>23</v>
      </c>
      <c r="C51" s="3" t="str">
        <f>IF($B51="GW1",VLOOKUP($A51,Matches!$A:$AC,2,FALSE),IF($B51="GW2",VLOOKUP($A51,Matches!$A:$AC,9,FALSE),IF($B51="GW3",VLOOKUP($A51,Matches!$A:$AC,16,FALSE))))</f>
        <v>Newcastle</v>
      </c>
      <c r="D51" s="6">
        <v>0.4045307443365696</v>
      </c>
      <c r="E51" s="6">
        <v>0.32799790081343477</v>
      </c>
      <c r="F51" s="6">
        <v>7.653284352313483E-2</v>
      </c>
      <c r="G51" s="3" t="s">
        <v>1</v>
      </c>
      <c r="H51">
        <v>0.15873015900000001</v>
      </c>
      <c r="I51">
        <v>0.15873015900000001</v>
      </c>
      <c r="J51">
        <v>0.23809523799999999</v>
      </c>
      <c r="K51">
        <v>0.25</v>
      </c>
      <c r="L51">
        <v>0.42257217800000002</v>
      </c>
      <c r="M51">
        <v>6.4254522999999994E-2</v>
      </c>
      <c r="N51" t="e">
        <v>#N/A</v>
      </c>
      <c r="O51" t="e">
        <v>#N/A</v>
      </c>
    </row>
    <row r="52" spans="1:15" x14ac:dyDescent="0.25">
      <c r="A52" t="s">
        <v>4</v>
      </c>
      <c r="B52" t="s">
        <v>23</v>
      </c>
      <c r="C52" s="3" t="str">
        <f>IF($B52="GW1",VLOOKUP($A52,Matches!$A:$AC,2,FALSE),IF($B52="GW2",VLOOKUP($A52,Matches!$A:$AC,9,FALSE),IF($B52="GW3",VLOOKUP($A52,Matches!$A:$AC,16,FALSE))))</f>
        <v>Newcastle</v>
      </c>
      <c r="D52" s="6">
        <v>0.4045307443365696</v>
      </c>
      <c r="E52" s="6">
        <v>0.32799790081343477</v>
      </c>
      <c r="F52" s="6">
        <v>7.653284352313483E-2</v>
      </c>
      <c r="G52" s="3" t="s">
        <v>1</v>
      </c>
      <c r="H52">
        <v>0.21994941200000001</v>
      </c>
      <c r="I52">
        <v>0.19047618999999999</v>
      </c>
      <c r="J52">
        <v>0.23809523799999999</v>
      </c>
      <c r="K52">
        <v>0.25</v>
      </c>
      <c r="L52">
        <v>0.42257217800000002</v>
      </c>
      <c r="M52">
        <v>6.4254522999999994E-2</v>
      </c>
      <c r="N52" t="e">
        <v>#N/A</v>
      </c>
      <c r="O52" t="e">
        <v>#N/A</v>
      </c>
    </row>
    <row r="53" spans="1:15" x14ac:dyDescent="0.25">
      <c r="A53" t="s">
        <v>4</v>
      </c>
      <c r="B53" t="s">
        <v>23</v>
      </c>
      <c r="C53" s="3" t="str">
        <f>IF($B53="GW1",VLOOKUP($A53,Matches!$A:$AC,2,FALSE),IF($B53="GW2",VLOOKUP($A53,Matches!$A:$AC,9,FALSE),IF($B53="GW3",VLOOKUP($A53,Matches!$A:$AC,16,FALSE))))</f>
        <v>Newcastle</v>
      </c>
      <c r="D53" s="6">
        <v>0.4045307443365696</v>
      </c>
      <c r="E53" s="6">
        <v>0.32799790081343477</v>
      </c>
      <c r="F53" s="6">
        <v>7.653284352313483E-2</v>
      </c>
      <c r="G53" s="3" t="s">
        <v>1</v>
      </c>
      <c r="H53" t="e">
        <v>#N/A</v>
      </c>
      <c r="I53" t="e">
        <v>#N/A</v>
      </c>
      <c r="J53" t="e">
        <v>#N/A</v>
      </c>
      <c r="K53">
        <v>0.25</v>
      </c>
      <c r="L53">
        <v>0.42257217800000002</v>
      </c>
      <c r="M53">
        <v>6.4254522999999994E-2</v>
      </c>
      <c r="N53" t="e">
        <v>#N/A</v>
      </c>
      <c r="O53" t="e">
        <v>#N/A</v>
      </c>
    </row>
    <row r="54" spans="1:15" x14ac:dyDescent="0.25">
      <c r="A54" t="s">
        <v>4</v>
      </c>
      <c r="B54" t="s">
        <v>23</v>
      </c>
      <c r="C54" s="3" t="str">
        <f>IF($B54="GW1",VLOOKUP($A54,Matches!$A:$AC,2,FALSE),IF($B54="GW2",VLOOKUP($A54,Matches!$A:$AC,9,FALSE),IF($B54="GW3",VLOOKUP($A54,Matches!$A:$AC,16,FALSE))))</f>
        <v>Newcastle</v>
      </c>
      <c r="D54" s="6">
        <v>0.4045307443365696</v>
      </c>
      <c r="E54" s="6">
        <v>0.32799790081343477</v>
      </c>
      <c r="F54" s="6">
        <v>7.653284352313483E-2</v>
      </c>
      <c r="G54" s="3" t="s">
        <v>1</v>
      </c>
      <c r="H54">
        <v>0.21164021199999999</v>
      </c>
      <c r="I54">
        <v>0.15873015900000001</v>
      </c>
      <c r="J54">
        <v>0.307219662</v>
      </c>
      <c r="K54">
        <v>0.25</v>
      </c>
      <c r="L54">
        <v>0.42257217800000002</v>
      </c>
      <c r="M54">
        <v>6.4254522999999994E-2</v>
      </c>
      <c r="N54" t="e">
        <v>#N/A</v>
      </c>
      <c r="O54" t="e">
        <v>#N/A</v>
      </c>
    </row>
    <row r="55" spans="1:15" x14ac:dyDescent="0.25">
      <c r="A55" t="s">
        <v>4</v>
      </c>
      <c r="B55" t="s">
        <v>23</v>
      </c>
      <c r="C55" s="3" t="str">
        <f>IF($B55="GW1",VLOOKUP($A55,Matches!$A:$AC,2,FALSE),IF($B55="GW2",VLOOKUP($A55,Matches!$A:$AC,9,FALSE),IF($B55="GW3",VLOOKUP($A55,Matches!$A:$AC,16,FALSE))))</f>
        <v>Newcastle</v>
      </c>
      <c r="D55" s="6">
        <v>0.4045307443365696</v>
      </c>
      <c r="E55" s="6">
        <v>0.32799790081343477</v>
      </c>
      <c r="F55" s="6">
        <v>7.653284352313483E-2</v>
      </c>
      <c r="G55" s="3" t="s">
        <v>1</v>
      </c>
      <c r="H55">
        <v>0.21164021199999999</v>
      </c>
      <c r="I55">
        <v>0.13605442200000001</v>
      </c>
      <c r="J55">
        <v>0.14652014699999999</v>
      </c>
      <c r="K55">
        <v>0.25</v>
      </c>
      <c r="L55">
        <v>0.42257217800000002</v>
      </c>
      <c r="M55">
        <v>6.4254522999999994E-2</v>
      </c>
      <c r="N55" t="e">
        <v>#N/A</v>
      </c>
      <c r="O55" t="e">
        <v>#N/A</v>
      </c>
    </row>
    <row r="56" spans="1:15" x14ac:dyDescent="0.25">
      <c r="A56" t="s">
        <v>4</v>
      </c>
      <c r="B56" t="s">
        <v>23</v>
      </c>
      <c r="C56" s="3" t="str">
        <f>IF($B56="GW1",VLOOKUP($A56,Matches!$A:$AC,2,FALSE),IF($B56="GW2",VLOOKUP($A56,Matches!$A:$AC,9,FALSE),IF($B56="GW3",VLOOKUP($A56,Matches!$A:$AC,16,FALSE))))</f>
        <v>Newcastle</v>
      </c>
      <c r="D56" s="6">
        <v>0.4045307443365696</v>
      </c>
      <c r="E56" s="6">
        <v>0.32799790081343477</v>
      </c>
      <c r="F56" s="6">
        <v>7.653284352313483E-2</v>
      </c>
      <c r="G56" s="3" t="s">
        <v>1</v>
      </c>
      <c r="H56">
        <v>0.26455026500000001</v>
      </c>
      <c r="I56">
        <v>0.14652014699999999</v>
      </c>
      <c r="J56">
        <v>0.173160173</v>
      </c>
      <c r="K56">
        <v>0.25</v>
      </c>
      <c r="L56">
        <v>0.42257217800000002</v>
      </c>
      <c r="M56">
        <v>6.4254522999999994E-2</v>
      </c>
      <c r="N56" t="e">
        <v>#N/A</v>
      </c>
      <c r="O56" t="e">
        <v>#N/A</v>
      </c>
    </row>
    <row r="57" spans="1:15" x14ac:dyDescent="0.25">
      <c r="A57" t="s">
        <v>4</v>
      </c>
      <c r="B57" t="s">
        <v>23</v>
      </c>
      <c r="C57" s="3" t="str">
        <f>IF($B57="GW1",VLOOKUP($A57,Matches!$A:$AC,2,FALSE),IF($B57="GW2",VLOOKUP($A57,Matches!$A:$AC,9,FALSE),IF($B57="GW3",VLOOKUP($A57,Matches!$A:$AC,16,FALSE))))</f>
        <v>Newcastle</v>
      </c>
      <c r="D57" s="6">
        <v>0.4045307443365696</v>
      </c>
      <c r="E57" s="6">
        <v>0.32799790081343477</v>
      </c>
      <c r="F57" s="6">
        <v>7.653284352313483E-2</v>
      </c>
      <c r="G57" s="3" t="s">
        <v>1</v>
      </c>
      <c r="H57">
        <v>0.21164021199999999</v>
      </c>
      <c r="I57">
        <v>0.11904761899999999</v>
      </c>
      <c r="J57">
        <v>0.29304029300000001</v>
      </c>
      <c r="K57">
        <v>0.25</v>
      </c>
      <c r="L57">
        <v>0.42257217800000002</v>
      </c>
      <c r="M57">
        <v>6.4254522999999994E-2</v>
      </c>
      <c r="N57" t="e">
        <v>#N/A</v>
      </c>
      <c r="O57" t="e">
        <v>#N/A</v>
      </c>
    </row>
    <row r="58" spans="1:15" x14ac:dyDescent="0.25">
      <c r="A58" t="s">
        <v>4</v>
      </c>
      <c r="B58" t="s">
        <v>23</v>
      </c>
      <c r="C58" s="3" t="str">
        <f>IF($B58="GW1",VLOOKUP($A58,Matches!$A:$AC,2,FALSE),IF($B58="GW2",VLOOKUP($A58,Matches!$A:$AC,9,FALSE),IF($B58="GW3",VLOOKUP($A58,Matches!$A:$AC,16,FALSE))))</f>
        <v>Newcastle</v>
      </c>
      <c r="D58" s="6">
        <v>0.4045307443365696</v>
      </c>
      <c r="E58" s="6">
        <v>0.32799790081343477</v>
      </c>
      <c r="F58" s="6">
        <v>7.653284352313483E-2</v>
      </c>
      <c r="G58" s="3" t="s">
        <v>1</v>
      </c>
      <c r="H58">
        <v>0.21164021199999999</v>
      </c>
      <c r="I58">
        <v>0.14652014699999999</v>
      </c>
      <c r="J58">
        <v>0.23809523799999999</v>
      </c>
      <c r="K58">
        <v>0.25</v>
      </c>
      <c r="L58">
        <v>0.42257217800000002</v>
      </c>
      <c r="M58">
        <v>6.4254522999999994E-2</v>
      </c>
      <c r="N58" t="e">
        <v>#N/A</v>
      </c>
      <c r="O58" t="e">
        <v>#N/A</v>
      </c>
    </row>
    <row r="59" spans="1:15" x14ac:dyDescent="0.25">
      <c r="A59" t="s">
        <v>4</v>
      </c>
      <c r="B59" t="s">
        <v>23</v>
      </c>
      <c r="C59" s="3" t="str">
        <f>IF($B59="GW1",VLOOKUP($A59,Matches!$A:$AC,2,FALSE),IF($B59="GW2",VLOOKUP($A59,Matches!$A:$AC,9,FALSE),IF($B59="GW3",VLOOKUP($A59,Matches!$A:$AC,16,FALSE))))</f>
        <v>Newcastle</v>
      </c>
      <c r="D59" s="6">
        <v>0.4045307443365696</v>
      </c>
      <c r="E59" s="6">
        <v>0.32799790081343477</v>
      </c>
      <c r="F59" s="6">
        <v>7.653284352313483E-2</v>
      </c>
      <c r="G59" s="3" t="s">
        <v>1</v>
      </c>
      <c r="H59" t="e">
        <v>#N/A</v>
      </c>
      <c r="I59" t="e">
        <v>#N/A</v>
      </c>
      <c r="J59" t="e">
        <v>#N/A</v>
      </c>
      <c r="K59">
        <v>0.25</v>
      </c>
      <c r="L59">
        <v>0.42257217800000002</v>
      </c>
      <c r="M59">
        <v>6.4254522999999994E-2</v>
      </c>
      <c r="N59" t="e">
        <v>#N/A</v>
      </c>
      <c r="O59" t="e">
        <v>#N/A</v>
      </c>
    </row>
    <row r="60" spans="1:15" x14ac:dyDescent="0.25">
      <c r="A60" t="s">
        <v>4</v>
      </c>
      <c r="B60" t="s">
        <v>23</v>
      </c>
      <c r="C60" s="3" t="str">
        <f>IF($B60="GW1",VLOOKUP($A60,Matches!$A:$AC,2,FALSE),IF($B60="GW2",VLOOKUP($A60,Matches!$A:$AC,9,FALSE),IF($B60="GW3",VLOOKUP($A60,Matches!$A:$AC,16,FALSE))))</f>
        <v>Newcastle</v>
      </c>
      <c r="D60" s="6">
        <v>0.4045307443365696</v>
      </c>
      <c r="E60" s="6">
        <v>0.32799790081343477</v>
      </c>
      <c r="F60" s="6">
        <v>7.653284352313483E-2</v>
      </c>
      <c r="G60" s="3" t="s">
        <v>1</v>
      </c>
      <c r="H60">
        <v>0.29304029300000001</v>
      </c>
      <c r="I60">
        <v>0.13605442200000001</v>
      </c>
      <c r="J60">
        <v>0.21164021199999999</v>
      </c>
      <c r="K60">
        <v>0.25</v>
      </c>
      <c r="L60">
        <v>0.42257217800000002</v>
      </c>
      <c r="M60">
        <v>6.4254522999999994E-2</v>
      </c>
      <c r="N60" t="e">
        <v>#N/A</v>
      </c>
      <c r="O60" t="e">
        <v>#N/A</v>
      </c>
    </row>
    <row r="61" spans="1:15" x14ac:dyDescent="0.25">
      <c r="A61" t="s">
        <v>4</v>
      </c>
      <c r="B61" t="s">
        <v>23</v>
      </c>
      <c r="C61" s="3" t="str">
        <f>IF($B61="GW1",VLOOKUP($A61,Matches!$A:$AC,2,FALSE),IF($B61="GW2",VLOOKUP($A61,Matches!$A:$AC,9,FALSE),IF($B61="GW3",VLOOKUP($A61,Matches!$A:$AC,16,FALSE))))</f>
        <v>Newcastle</v>
      </c>
      <c r="D61" s="6">
        <v>0.4045307443365696</v>
      </c>
      <c r="E61" s="6">
        <v>0.32799790081343477</v>
      </c>
      <c r="F61" s="6">
        <v>7.653284352313483E-2</v>
      </c>
      <c r="G61" s="3" t="s">
        <v>1</v>
      </c>
      <c r="H61">
        <v>9.5238094999999995E-2</v>
      </c>
      <c r="I61">
        <v>8.6580087E-2</v>
      </c>
      <c r="J61">
        <v>0.33184005300000002</v>
      </c>
      <c r="K61">
        <v>0.25</v>
      </c>
      <c r="L61">
        <v>0.42257217800000002</v>
      </c>
      <c r="M61">
        <v>6.4254522999999994E-2</v>
      </c>
      <c r="N61" t="e">
        <v>#N/A</v>
      </c>
      <c r="O61" t="e">
        <v>#N/A</v>
      </c>
    </row>
    <row r="62" spans="1:15" x14ac:dyDescent="0.25">
      <c r="A62" t="s">
        <v>4</v>
      </c>
      <c r="B62" t="s">
        <v>23</v>
      </c>
      <c r="C62" s="3" t="str">
        <f>IF($B62="GW1",VLOOKUP($A62,Matches!$A:$AC,2,FALSE),IF($B62="GW2",VLOOKUP($A62,Matches!$A:$AC,9,FALSE),IF($B62="GW3",VLOOKUP($A62,Matches!$A:$AC,16,FALSE))))</f>
        <v>Newcastle</v>
      </c>
      <c r="D62" s="6">
        <v>0.4045307443365696</v>
      </c>
      <c r="E62" s="6">
        <v>0.32799790081343477</v>
      </c>
      <c r="F62" s="6">
        <v>7.653284352313483E-2</v>
      </c>
      <c r="G62" s="3" t="s">
        <v>1</v>
      </c>
      <c r="H62">
        <v>0.173160173</v>
      </c>
      <c r="I62">
        <v>7.3260072999999995E-2</v>
      </c>
      <c r="J62">
        <v>0.27210884400000002</v>
      </c>
      <c r="K62">
        <v>0.25</v>
      </c>
      <c r="L62">
        <v>0.42257217800000002</v>
      </c>
      <c r="M62">
        <v>6.4254522999999994E-2</v>
      </c>
      <c r="N62" t="e">
        <v>#N/A</v>
      </c>
      <c r="O62" t="e">
        <v>#N/A</v>
      </c>
    </row>
    <row r="63" spans="1:15" x14ac:dyDescent="0.25">
      <c r="A63" t="s">
        <v>4</v>
      </c>
      <c r="B63" t="s">
        <v>23</v>
      </c>
      <c r="C63" s="3" t="str">
        <f>IF($B63="GW1",VLOOKUP($A63,Matches!$A:$AC,2,FALSE),IF($B63="GW2",VLOOKUP($A63,Matches!$A:$AC,9,FALSE),IF($B63="GW3",VLOOKUP($A63,Matches!$A:$AC,16,FALSE))))</f>
        <v>Newcastle</v>
      </c>
      <c r="D63" s="6">
        <v>0.4045307443365696</v>
      </c>
      <c r="E63" s="6">
        <v>0.32799790081343477</v>
      </c>
      <c r="F63" s="6">
        <v>7.653284352313483E-2</v>
      </c>
      <c r="G63" s="3" t="s">
        <v>1</v>
      </c>
      <c r="H63" t="e">
        <v>#N/A</v>
      </c>
      <c r="I63" t="e">
        <v>#N/A</v>
      </c>
      <c r="J63" t="e">
        <v>#N/A</v>
      </c>
      <c r="K63">
        <v>0.25</v>
      </c>
      <c r="L63">
        <v>0.42257217800000002</v>
      </c>
      <c r="M63">
        <v>6.4254522999999994E-2</v>
      </c>
      <c r="N63" t="e">
        <v>#N/A</v>
      </c>
      <c r="O63" t="e">
        <v>#N/A</v>
      </c>
    </row>
    <row r="64" spans="1:15" x14ac:dyDescent="0.25">
      <c r="A64" t="s">
        <v>4</v>
      </c>
      <c r="B64" t="s">
        <v>23</v>
      </c>
      <c r="C64" s="3" t="str">
        <f>IF($B64="GW1",VLOOKUP($A64,Matches!$A:$AC,2,FALSE),IF($B64="GW2",VLOOKUP($A64,Matches!$A:$AC,9,FALSE),IF($B64="GW3",VLOOKUP($A64,Matches!$A:$AC,16,FALSE))))</f>
        <v>Newcastle</v>
      </c>
      <c r="D64" s="6">
        <v>0.4045307443365696</v>
      </c>
      <c r="E64" s="6">
        <v>0.32799790081343477</v>
      </c>
      <c r="F64" s="6">
        <v>7.653284352313483E-2</v>
      </c>
      <c r="G64" s="3" t="s">
        <v>1</v>
      </c>
      <c r="H64" t="e">
        <v>#N/A</v>
      </c>
      <c r="I64" t="e">
        <v>#N/A</v>
      </c>
      <c r="J64" t="e">
        <v>#N/A</v>
      </c>
      <c r="K64">
        <v>0.25</v>
      </c>
      <c r="L64">
        <v>0.42257217800000002</v>
      </c>
      <c r="M64">
        <v>6.4254522999999994E-2</v>
      </c>
      <c r="N64" t="e">
        <v>#N/A</v>
      </c>
      <c r="O64" t="e">
        <v>#N/A</v>
      </c>
    </row>
    <row r="65" spans="1:15" x14ac:dyDescent="0.25">
      <c r="A65" t="s">
        <v>4</v>
      </c>
      <c r="B65" t="s">
        <v>23</v>
      </c>
      <c r="C65" s="3" t="str">
        <f>IF($B65="GW1",VLOOKUP($A65,Matches!$A:$AC,2,FALSE),IF($B65="GW2",VLOOKUP($A65,Matches!$A:$AC,9,FALSE),IF($B65="GW3",VLOOKUP($A65,Matches!$A:$AC,16,FALSE))))</f>
        <v>Newcastle</v>
      </c>
      <c r="D65" s="6">
        <v>0.4045307443365696</v>
      </c>
      <c r="E65" s="6">
        <v>0.32799790081343477</v>
      </c>
      <c r="F65" s="6">
        <v>7.653284352313483E-2</v>
      </c>
      <c r="G65" s="3" t="s">
        <v>1</v>
      </c>
      <c r="H65" t="e">
        <v>#N/A</v>
      </c>
      <c r="I65" t="e">
        <v>#N/A</v>
      </c>
      <c r="J65" t="e">
        <v>#N/A</v>
      </c>
      <c r="K65">
        <v>0.25</v>
      </c>
      <c r="L65">
        <v>0.42257217800000002</v>
      </c>
      <c r="M65">
        <v>6.4254522999999994E-2</v>
      </c>
      <c r="N65" t="e">
        <v>#N/A</v>
      </c>
      <c r="O65" t="e">
        <v>#N/A</v>
      </c>
    </row>
    <row r="66" spans="1:15" x14ac:dyDescent="0.25">
      <c r="A66" t="s">
        <v>4</v>
      </c>
      <c r="B66" t="s">
        <v>23</v>
      </c>
      <c r="C66" s="3" t="str">
        <f>IF($B66="GW1",VLOOKUP($A66,Matches!$A:$AC,2,FALSE),IF($B66="GW2",VLOOKUP($A66,Matches!$A:$AC,9,FALSE),IF($B66="GW3",VLOOKUP($A66,Matches!$A:$AC,16,FALSE))))</f>
        <v>Newcastle</v>
      </c>
      <c r="D66" s="6">
        <v>0.4045307443365696</v>
      </c>
      <c r="E66" s="6">
        <v>0.32799790081343477</v>
      </c>
      <c r="F66" s="6">
        <v>7.653284352313483E-2</v>
      </c>
      <c r="G66" s="3" t="s">
        <v>1</v>
      </c>
      <c r="H66" t="e">
        <v>#N/A</v>
      </c>
      <c r="I66" t="e">
        <v>#N/A</v>
      </c>
      <c r="J66" t="e">
        <v>#N/A</v>
      </c>
      <c r="K66">
        <v>0.25</v>
      </c>
      <c r="L66">
        <v>0.42257217800000002</v>
      </c>
      <c r="M66">
        <v>6.4254522999999994E-2</v>
      </c>
      <c r="N66" t="e">
        <v>#N/A</v>
      </c>
      <c r="O66" t="e">
        <v>#N/A</v>
      </c>
    </row>
    <row r="67" spans="1:15" x14ac:dyDescent="0.25">
      <c r="A67" t="s">
        <v>4</v>
      </c>
      <c r="B67" t="s">
        <v>23</v>
      </c>
      <c r="C67" s="3" t="str">
        <f>IF($B67="GW1",VLOOKUP($A67,Matches!$A:$AC,2,FALSE),IF($B67="GW2",VLOOKUP($A67,Matches!$A:$AC,9,FALSE),IF($B67="GW3",VLOOKUP($A67,Matches!$A:$AC,16,FALSE))))</f>
        <v>Newcastle</v>
      </c>
      <c r="D67" s="6">
        <v>0.4045307443365696</v>
      </c>
      <c r="E67" s="6">
        <v>0.32799790081343477</v>
      </c>
      <c r="F67" s="6">
        <v>7.653284352313483E-2</v>
      </c>
      <c r="G67" s="3" t="s">
        <v>1</v>
      </c>
      <c r="H67">
        <v>0.43290043299999997</v>
      </c>
      <c r="I67">
        <v>0.14652014699999999</v>
      </c>
      <c r="J67">
        <v>0.14652014699999999</v>
      </c>
      <c r="K67">
        <v>0.25</v>
      </c>
      <c r="L67">
        <v>0.42257217800000002</v>
      </c>
      <c r="M67">
        <v>6.4254522999999994E-2</v>
      </c>
      <c r="N67" t="e">
        <v>#N/A</v>
      </c>
      <c r="O67" t="e">
        <v>#N/A</v>
      </c>
    </row>
    <row r="68" spans="1:15" x14ac:dyDescent="0.25">
      <c r="A68" t="s">
        <v>4</v>
      </c>
      <c r="B68" t="s">
        <v>23</v>
      </c>
      <c r="C68" s="3" t="str">
        <f>IF($B68="GW1",VLOOKUP($A68,Matches!$A:$AC,2,FALSE),IF($B68="GW2",VLOOKUP($A68,Matches!$A:$AC,9,FALSE),IF($B68="GW3",VLOOKUP($A68,Matches!$A:$AC,16,FALSE))))</f>
        <v>Newcastle</v>
      </c>
      <c r="D68" s="6">
        <v>0.4045307443365696</v>
      </c>
      <c r="E68" s="6">
        <v>0.32799790081343477</v>
      </c>
      <c r="F68" s="6">
        <v>7.653284352313483E-2</v>
      </c>
      <c r="G68" s="3" t="s">
        <v>1</v>
      </c>
      <c r="H68" t="e">
        <v>#N/A</v>
      </c>
      <c r="I68" t="e">
        <v>#N/A</v>
      </c>
      <c r="J68" t="e">
        <v>#N/A</v>
      </c>
      <c r="K68">
        <v>0.25</v>
      </c>
      <c r="L68">
        <v>0.42257217800000002</v>
      </c>
      <c r="M68">
        <v>6.4254522999999994E-2</v>
      </c>
      <c r="N68" t="e">
        <v>#N/A</v>
      </c>
      <c r="O68" t="e">
        <v>#N/A</v>
      </c>
    </row>
    <row r="69" spans="1:15" x14ac:dyDescent="0.25">
      <c r="A69" t="s">
        <v>5</v>
      </c>
      <c r="B69" t="s">
        <v>23</v>
      </c>
      <c r="C69" s="3" t="str">
        <f>IF($B69="GW1",VLOOKUP($A69,Matches!$A:$AC,2,FALSE),IF($B69="GW2",VLOOKUP($A69,Matches!$A:$AC,9,FALSE),IF($B69="GW3",VLOOKUP($A69,Matches!$A:$AC,16,FALSE))))</f>
        <v>Spurs</v>
      </c>
      <c r="D69" s="6">
        <v>0.15193642979777261</v>
      </c>
      <c r="E69" s="6">
        <v>0.61839094675653938</v>
      </c>
      <c r="F69" s="6">
        <v>-0.46645451695876677</v>
      </c>
      <c r="G69" s="3" t="s">
        <v>0</v>
      </c>
      <c r="H69" t="e">
        <v>#N/A</v>
      </c>
      <c r="I69" t="e">
        <v>#N/A</v>
      </c>
      <c r="J69">
        <v>8.6580087E-2</v>
      </c>
      <c r="K69">
        <v>0.13580246900000001</v>
      </c>
      <c r="L69">
        <v>0.625</v>
      </c>
      <c r="M69">
        <v>0.188311688</v>
      </c>
      <c r="N69" t="e">
        <v>#N/A</v>
      </c>
      <c r="O69" t="e">
        <v>#N/A</v>
      </c>
    </row>
    <row r="70" spans="1:15" x14ac:dyDescent="0.25">
      <c r="A70" t="s">
        <v>5</v>
      </c>
      <c r="B70" t="s">
        <v>23</v>
      </c>
      <c r="C70" s="3" t="str">
        <f>IF($B70="GW1",VLOOKUP($A70,Matches!$A:$AC,2,FALSE),IF($B70="GW2",VLOOKUP($A70,Matches!$A:$AC,9,FALSE),IF($B70="GW3",VLOOKUP($A70,Matches!$A:$AC,16,FALSE))))</f>
        <v>Spurs</v>
      </c>
      <c r="D70" s="6">
        <v>0.15193642979777261</v>
      </c>
      <c r="E70" s="6">
        <v>0.61839094675653938</v>
      </c>
      <c r="F70" s="6">
        <v>-0.46645451695876677</v>
      </c>
      <c r="G70" s="3" t="s">
        <v>0</v>
      </c>
      <c r="H70" t="e">
        <v>#N/A</v>
      </c>
      <c r="I70" t="e">
        <v>#N/A</v>
      </c>
      <c r="J70">
        <v>0.15873015900000001</v>
      </c>
      <c r="K70">
        <v>0.13580246900000001</v>
      </c>
      <c r="L70">
        <v>0.625</v>
      </c>
      <c r="M70">
        <v>0.188311688</v>
      </c>
      <c r="N70" t="e">
        <v>#N/A</v>
      </c>
      <c r="O70" t="e">
        <v>#N/A</v>
      </c>
    </row>
    <row r="71" spans="1:15" x14ac:dyDescent="0.25">
      <c r="A71" t="s">
        <v>5</v>
      </c>
      <c r="B71" t="s">
        <v>23</v>
      </c>
      <c r="C71" s="3" t="str">
        <f>IF($B71="GW1",VLOOKUP($A71,Matches!$A:$AC,2,FALSE),IF($B71="GW2",VLOOKUP($A71,Matches!$A:$AC,9,FALSE),IF($B71="GW3",VLOOKUP($A71,Matches!$A:$AC,16,FALSE))))</f>
        <v>Spurs</v>
      </c>
      <c r="D71" s="6">
        <v>0.15193642979777261</v>
      </c>
      <c r="E71" s="6">
        <v>0.61839094675653938</v>
      </c>
      <c r="F71" s="6">
        <v>-0.46645451695876677</v>
      </c>
      <c r="G71" s="3" t="s">
        <v>0</v>
      </c>
      <c r="H71" t="e">
        <v>#N/A</v>
      </c>
      <c r="I71" t="e">
        <v>#N/A</v>
      </c>
      <c r="J71" t="e">
        <v>#N/A</v>
      </c>
      <c r="K71">
        <v>0.13580246900000001</v>
      </c>
      <c r="L71">
        <v>0.625</v>
      </c>
      <c r="M71">
        <v>0.188311688</v>
      </c>
      <c r="N71" t="e">
        <v>#N/A</v>
      </c>
      <c r="O71" t="e">
        <v>#N/A</v>
      </c>
    </row>
    <row r="72" spans="1:15" x14ac:dyDescent="0.25">
      <c r="A72" t="s">
        <v>5</v>
      </c>
      <c r="B72" t="s">
        <v>23</v>
      </c>
      <c r="C72" s="3" t="str">
        <f>IF($B72="GW1",VLOOKUP($A72,Matches!$A:$AC,2,FALSE),IF($B72="GW2",VLOOKUP($A72,Matches!$A:$AC,9,FALSE),IF($B72="GW3",VLOOKUP($A72,Matches!$A:$AC,16,FALSE))))</f>
        <v>Spurs</v>
      </c>
      <c r="D72" s="6">
        <v>0.15193642979777261</v>
      </c>
      <c r="E72" s="6">
        <v>0.61839094675653938</v>
      </c>
      <c r="F72" s="6">
        <v>-0.46645451695876677</v>
      </c>
      <c r="G72" s="3" t="s">
        <v>0</v>
      </c>
      <c r="H72">
        <v>4.1407867000000001E-2</v>
      </c>
      <c r="I72">
        <v>5.6022409000000002E-2</v>
      </c>
      <c r="J72">
        <v>0.26455026500000001</v>
      </c>
      <c r="K72">
        <v>0.13580246900000001</v>
      </c>
      <c r="L72">
        <v>0.625</v>
      </c>
      <c r="M72">
        <v>0.188311688</v>
      </c>
      <c r="N72" t="e">
        <v>#N/A</v>
      </c>
      <c r="O72" t="e">
        <v>#N/A</v>
      </c>
    </row>
    <row r="73" spans="1:15" x14ac:dyDescent="0.25">
      <c r="A73" t="s">
        <v>5</v>
      </c>
      <c r="B73" t="s">
        <v>23</v>
      </c>
      <c r="C73" s="3" t="str">
        <f>IF($B73="GW1",VLOOKUP($A73,Matches!$A:$AC,2,FALSE),IF($B73="GW2",VLOOKUP($A73,Matches!$A:$AC,9,FALSE),IF($B73="GW3",VLOOKUP($A73,Matches!$A:$AC,16,FALSE))))</f>
        <v>Spurs</v>
      </c>
      <c r="D73" s="6">
        <v>0.15193642979777261</v>
      </c>
      <c r="E73" s="6">
        <v>0.61839094675653938</v>
      </c>
      <c r="F73" s="6">
        <v>-0.46645451695876677</v>
      </c>
      <c r="G73" s="3" t="s">
        <v>0</v>
      </c>
      <c r="H73">
        <v>3.6630036999999997E-2</v>
      </c>
      <c r="I73">
        <v>3.2840722000000003E-2</v>
      </c>
      <c r="J73">
        <v>0.21994941200000001</v>
      </c>
      <c r="K73">
        <v>0.13580246900000001</v>
      </c>
      <c r="L73">
        <v>0.625</v>
      </c>
      <c r="M73">
        <v>0.188311688</v>
      </c>
      <c r="N73" t="e">
        <v>#N/A</v>
      </c>
      <c r="O73" t="e">
        <v>#N/A</v>
      </c>
    </row>
    <row r="74" spans="1:15" x14ac:dyDescent="0.25">
      <c r="A74" t="s">
        <v>5</v>
      </c>
      <c r="B74" t="s">
        <v>23</v>
      </c>
      <c r="C74" s="3" t="str">
        <f>IF($B74="GW1",VLOOKUP($A74,Matches!$A:$AC,2,FALSE),IF($B74="GW2",VLOOKUP($A74,Matches!$A:$AC,9,FALSE),IF($B74="GW3",VLOOKUP($A74,Matches!$A:$AC,16,FALSE))))</f>
        <v>Spurs</v>
      </c>
      <c r="D74" s="6">
        <v>0.15193642979777261</v>
      </c>
      <c r="E74" s="6">
        <v>0.61839094675653938</v>
      </c>
      <c r="F74" s="6">
        <v>-0.46645451695876677</v>
      </c>
      <c r="G74" s="3" t="s">
        <v>0</v>
      </c>
      <c r="H74" t="e">
        <v>#N/A</v>
      </c>
      <c r="I74" t="e">
        <v>#N/A</v>
      </c>
      <c r="J74" t="e">
        <v>#N/A</v>
      </c>
      <c r="K74">
        <v>0.13580246900000001</v>
      </c>
      <c r="L74">
        <v>0.625</v>
      </c>
      <c r="M74">
        <v>0.188311688</v>
      </c>
      <c r="N74" t="e">
        <v>#N/A</v>
      </c>
      <c r="O74" t="e">
        <v>#N/A</v>
      </c>
    </row>
    <row r="75" spans="1:15" x14ac:dyDescent="0.25">
      <c r="A75" t="s">
        <v>5</v>
      </c>
      <c r="B75" t="s">
        <v>23</v>
      </c>
      <c r="C75" s="3" t="str">
        <f>IF($B75="GW1",VLOOKUP($A75,Matches!$A:$AC,2,FALSE),IF($B75="GW2",VLOOKUP($A75,Matches!$A:$AC,9,FALSE),IF($B75="GW3",VLOOKUP($A75,Matches!$A:$AC,16,FALSE))))</f>
        <v>Spurs</v>
      </c>
      <c r="D75" s="6">
        <v>0.15193642979777261</v>
      </c>
      <c r="E75" s="6">
        <v>0.61839094675653938</v>
      </c>
      <c r="F75" s="6">
        <v>-0.46645451695876677</v>
      </c>
      <c r="G75" s="3" t="s">
        <v>0</v>
      </c>
      <c r="H75" t="e">
        <v>#N/A</v>
      </c>
      <c r="I75" t="e">
        <v>#N/A</v>
      </c>
      <c r="J75" t="e">
        <v>#N/A</v>
      </c>
      <c r="K75">
        <v>0.13580246900000001</v>
      </c>
      <c r="L75">
        <v>0.625</v>
      </c>
      <c r="M75">
        <v>0.188311688</v>
      </c>
      <c r="N75" t="e">
        <v>#N/A</v>
      </c>
      <c r="O75" t="e">
        <v>#N/A</v>
      </c>
    </row>
    <row r="76" spans="1:15" x14ac:dyDescent="0.25">
      <c r="A76" t="s">
        <v>5</v>
      </c>
      <c r="B76" t="s">
        <v>23</v>
      </c>
      <c r="C76" s="3" t="str">
        <f>IF($B76="GW1",VLOOKUP($A76,Matches!$A:$AC,2,FALSE),IF($B76="GW2",VLOOKUP($A76,Matches!$A:$AC,9,FALSE),IF($B76="GW3",VLOOKUP($A76,Matches!$A:$AC,16,FALSE))))</f>
        <v>Spurs</v>
      </c>
      <c r="D76" s="6">
        <v>0.15193642979777261</v>
      </c>
      <c r="E76" s="6">
        <v>0.61839094675653938</v>
      </c>
      <c r="F76" s="6">
        <v>-0.46645451695876677</v>
      </c>
      <c r="G76" s="3" t="s">
        <v>0</v>
      </c>
      <c r="H76">
        <v>4.1407867000000001E-2</v>
      </c>
      <c r="I76">
        <v>4.1407867000000001E-2</v>
      </c>
      <c r="J76">
        <v>0.23809523799999999</v>
      </c>
      <c r="K76">
        <v>0.13580246900000001</v>
      </c>
      <c r="L76">
        <v>0.625</v>
      </c>
      <c r="M76">
        <v>0.188311688</v>
      </c>
      <c r="N76" t="e">
        <v>#N/A</v>
      </c>
      <c r="O76" t="e">
        <v>#N/A</v>
      </c>
    </row>
    <row r="77" spans="1:15" x14ac:dyDescent="0.25">
      <c r="A77" t="s">
        <v>5</v>
      </c>
      <c r="B77" t="s">
        <v>23</v>
      </c>
      <c r="C77" s="3" t="str">
        <f>IF($B77="GW1",VLOOKUP($A77,Matches!$A:$AC,2,FALSE),IF($B77="GW2",VLOOKUP($A77,Matches!$A:$AC,9,FALSE),IF($B77="GW3",VLOOKUP($A77,Matches!$A:$AC,16,FALSE))))</f>
        <v>Spurs</v>
      </c>
      <c r="D77" s="6">
        <v>0.15193642979777261</v>
      </c>
      <c r="E77" s="6">
        <v>0.61839094675653938</v>
      </c>
      <c r="F77" s="6">
        <v>-0.46645451695876677</v>
      </c>
      <c r="G77" s="3" t="s">
        <v>0</v>
      </c>
      <c r="H77">
        <v>5.6022409000000002E-2</v>
      </c>
      <c r="I77">
        <v>1.8674136000000001E-2</v>
      </c>
      <c r="J77">
        <v>0.26455026500000001</v>
      </c>
      <c r="K77">
        <v>0.13580246900000001</v>
      </c>
      <c r="L77">
        <v>0.625</v>
      </c>
      <c r="M77">
        <v>0.188311688</v>
      </c>
      <c r="N77" t="e">
        <v>#N/A</v>
      </c>
      <c r="O77" t="e">
        <v>#N/A</v>
      </c>
    </row>
    <row r="78" spans="1:15" x14ac:dyDescent="0.25">
      <c r="A78" t="s">
        <v>5</v>
      </c>
      <c r="B78" t="s">
        <v>23</v>
      </c>
      <c r="C78" s="3" t="str">
        <f>IF($B78="GW1",VLOOKUP($A78,Matches!$A:$AC,2,FALSE),IF($B78="GW2",VLOOKUP($A78,Matches!$A:$AC,9,FALSE),IF($B78="GW3",VLOOKUP($A78,Matches!$A:$AC,16,FALSE))))</f>
        <v>Spurs</v>
      </c>
      <c r="D78" s="6">
        <v>0.15193642979777261</v>
      </c>
      <c r="E78" s="6">
        <v>0.61839094675653938</v>
      </c>
      <c r="F78" s="6">
        <v>-0.46645451695876677</v>
      </c>
      <c r="G78" s="3" t="s">
        <v>0</v>
      </c>
      <c r="H78">
        <v>5.6022409000000002E-2</v>
      </c>
      <c r="I78">
        <v>6.3492063000000001E-2</v>
      </c>
      <c r="J78">
        <v>0.297619048</v>
      </c>
      <c r="K78">
        <v>0.13580246900000001</v>
      </c>
      <c r="L78">
        <v>0.625</v>
      </c>
      <c r="M78">
        <v>0.188311688</v>
      </c>
      <c r="N78" t="e">
        <v>#N/A</v>
      </c>
      <c r="O78" t="e">
        <v>#N/A</v>
      </c>
    </row>
    <row r="79" spans="1:15" x14ac:dyDescent="0.25">
      <c r="A79" t="s">
        <v>5</v>
      </c>
      <c r="B79" t="s">
        <v>23</v>
      </c>
      <c r="C79" s="3" t="str">
        <f>IF($B79="GW1",VLOOKUP($A79,Matches!$A:$AC,2,FALSE),IF($B79="GW2",VLOOKUP($A79,Matches!$A:$AC,9,FALSE),IF($B79="GW3",VLOOKUP($A79,Matches!$A:$AC,16,FALSE))))</f>
        <v>Spurs</v>
      </c>
      <c r="D79" s="6">
        <v>0.15193642979777261</v>
      </c>
      <c r="E79" s="6">
        <v>0.61839094675653938</v>
      </c>
      <c r="F79" s="6">
        <v>-0.46645451695876677</v>
      </c>
      <c r="G79" s="3" t="s">
        <v>0</v>
      </c>
      <c r="H79" t="e">
        <v>#N/A</v>
      </c>
      <c r="I79" t="e">
        <v>#N/A</v>
      </c>
      <c r="J79" t="e">
        <v>#N/A</v>
      </c>
      <c r="K79">
        <v>0.13580246900000001</v>
      </c>
      <c r="L79">
        <v>0.625</v>
      </c>
      <c r="M79">
        <v>0.188311688</v>
      </c>
      <c r="N79" t="e">
        <v>#N/A</v>
      </c>
      <c r="O79" t="e">
        <v>#N/A</v>
      </c>
    </row>
    <row r="80" spans="1:15" x14ac:dyDescent="0.25">
      <c r="A80" t="s">
        <v>5</v>
      </c>
      <c r="B80" t="s">
        <v>23</v>
      </c>
      <c r="C80" s="3" t="str">
        <f>IF($B80="GW1",VLOOKUP($A80,Matches!$A:$AC,2,FALSE),IF($B80="GW2",VLOOKUP($A80,Matches!$A:$AC,9,FALSE),IF($B80="GW3",VLOOKUP($A80,Matches!$A:$AC,16,FALSE))))</f>
        <v>Spurs</v>
      </c>
      <c r="D80" s="6">
        <v>0.15193642979777261</v>
      </c>
      <c r="E80" s="6">
        <v>0.61839094675653938</v>
      </c>
      <c r="F80" s="6">
        <v>-0.46645451695876677</v>
      </c>
      <c r="G80" s="3" t="s">
        <v>0</v>
      </c>
      <c r="H80">
        <v>5.6022409000000002E-2</v>
      </c>
      <c r="I80">
        <v>2.8011204000000001E-2</v>
      </c>
      <c r="J80">
        <v>0.297619048</v>
      </c>
      <c r="K80">
        <v>0.13580246900000001</v>
      </c>
      <c r="L80">
        <v>0.625</v>
      </c>
      <c r="M80">
        <v>0.188311688</v>
      </c>
      <c r="N80" t="e">
        <v>#N/A</v>
      </c>
      <c r="O80" t="e">
        <v>#N/A</v>
      </c>
    </row>
    <row r="81" spans="1:15" x14ac:dyDescent="0.25">
      <c r="A81" t="s">
        <v>5</v>
      </c>
      <c r="B81" t="s">
        <v>23</v>
      </c>
      <c r="C81" s="3" t="str">
        <f>IF($B81="GW1",VLOOKUP($A81,Matches!$A:$AC,2,FALSE),IF($B81="GW2",VLOOKUP($A81,Matches!$A:$AC,9,FALSE),IF($B81="GW3",VLOOKUP($A81,Matches!$A:$AC,16,FALSE))))</f>
        <v>Spurs</v>
      </c>
      <c r="D81" s="6">
        <v>0.15193642979777261</v>
      </c>
      <c r="E81" s="6">
        <v>0.61839094675653938</v>
      </c>
      <c r="F81" s="6">
        <v>-0.46645451695876677</v>
      </c>
      <c r="G81" s="3" t="s">
        <v>0</v>
      </c>
      <c r="H81" t="e">
        <v>#N/A</v>
      </c>
      <c r="I81" t="e">
        <v>#N/A</v>
      </c>
      <c r="J81" t="e">
        <v>#N/A</v>
      </c>
      <c r="K81">
        <v>0.13580246900000001</v>
      </c>
      <c r="L81">
        <v>0.625</v>
      </c>
      <c r="M81">
        <v>0.188311688</v>
      </c>
      <c r="N81" t="e">
        <v>#N/A</v>
      </c>
      <c r="O81" t="e">
        <v>#N/A</v>
      </c>
    </row>
    <row r="82" spans="1:15" x14ac:dyDescent="0.25">
      <c r="A82" t="s">
        <v>5</v>
      </c>
      <c r="B82" t="s">
        <v>23</v>
      </c>
      <c r="C82" s="3" t="str">
        <f>IF($B82="GW1",VLOOKUP($A82,Matches!$A:$AC,2,FALSE),IF($B82="GW2",VLOOKUP($A82,Matches!$A:$AC,9,FALSE),IF($B82="GW3",VLOOKUP($A82,Matches!$A:$AC,16,FALSE))))</f>
        <v>Spurs</v>
      </c>
      <c r="D82" s="6">
        <v>0.15193642979777261</v>
      </c>
      <c r="E82" s="6">
        <v>0.61839094675653938</v>
      </c>
      <c r="F82" s="6">
        <v>-0.46645451695876677</v>
      </c>
      <c r="G82" s="3" t="s">
        <v>0</v>
      </c>
      <c r="H82" t="e">
        <v>#N/A</v>
      </c>
      <c r="I82" t="e">
        <v>#N/A</v>
      </c>
      <c r="J82" t="e">
        <v>#N/A</v>
      </c>
      <c r="K82">
        <v>0.13580246900000001</v>
      </c>
      <c r="L82">
        <v>0.625</v>
      </c>
      <c r="M82">
        <v>0.188311688</v>
      </c>
      <c r="N82" t="e">
        <v>#N/A</v>
      </c>
      <c r="O82" t="e">
        <v>#N/A</v>
      </c>
    </row>
    <row r="83" spans="1:15" x14ac:dyDescent="0.25">
      <c r="A83" t="s">
        <v>5</v>
      </c>
      <c r="B83" t="s">
        <v>23</v>
      </c>
      <c r="C83" s="3" t="str">
        <f>IF($B83="GW1",VLOOKUP($A83,Matches!$A:$AC,2,FALSE),IF($B83="GW2",VLOOKUP($A83,Matches!$A:$AC,9,FALSE),IF($B83="GW3",VLOOKUP($A83,Matches!$A:$AC,16,FALSE))))</f>
        <v>Spurs</v>
      </c>
      <c r="D83" s="6">
        <v>0.15193642979777261</v>
      </c>
      <c r="E83" s="6">
        <v>0.61839094675653938</v>
      </c>
      <c r="F83" s="6">
        <v>-0.46645451695876677</v>
      </c>
      <c r="G83" s="3" t="s">
        <v>0</v>
      </c>
      <c r="H83">
        <v>5.6022409000000002E-2</v>
      </c>
      <c r="I83">
        <v>3.2840722000000003E-2</v>
      </c>
      <c r="J83">
        <v>0.297619048</v>
      </c>
      <c r="K83">
        <v>0.13580246900000001</v>
      </c>
      <c r="L83">
        <v>0.625</v>
      </c>
      <c r="M83">
        <v>0.188311688</v>
      </c>
      <c r="N83" t="e">
        <v>#N/A</v>
      </c>
      <c r="O83" t="e">
        <v>#N/A</v>
      </c>
    </row>
    <row r="84" spans="1:15" x14ac:dyDescent="0.25">
      <c r="A84" t="s">
        <v>5</v>
      </c>
      <c r="B84" t="s">
        <v>23</v>
      </c>
      <c r="C84" s="3" t="str">
        <f>IF($B84="GW1",VLOOKUP($A84,Matches!$A:$AC,2,FALSE),IF($B84="GW2",VLOOKUP($A84,Matches!$A:$AC,9,FALSE),IF($B84="GW3",VLOOKUP($A84,Matches!$A:$AC,16,FALSE))))</f>
        <v>Spurs</v>
      </c>
      <c r="D84" s="6">
        <v>0.15193642979777261</v>
      </c>
      <c r="E84" s="6">
        <v>0.61839094675653938</v>
      </c>
      <c r="F84" s="6">
        <v>-0.46645451695876677</v>
      </c>
      <c r="G84" s="3" t="s">
        <v>0</v>
      </c>
      <c r="H84">
        <v>3.6630036999999997E-2</v>
      </c>
      <c r="I84">
        <v>4.1407867000000001E-2</v>
      </c>
      <c r="J84">
        <v>0.20050125299999999</v>
      </c>
      <c r="K84">
        <v>0.13580246900000001</v>
      </c>
      <c r="L84">
        <v>0.625</v>
      </c>
      <c r="M84">
        <v>0.188311688</v>
      </c>
      <c r="N84" t="e">
        <v>#N/A</v>
      </c>
      <c r="O84" t="e">
        <v>#N/A</v>
      </c>
    </row>
    <row r="85" spans="1:15" x14ac:dyDescent="0.25">
      <c r="A85" t="s">
        <v>5</v>
      </c>
      <c r="B85" t="s">
        <v>23</v>
      </c>
      <c r="C85" s="3" t="str">
        <f>IF($B85="GW1",VLOOKUP($A85,Matches!$A:$AC,2,FALSE),IF($B85="GW2",VLOOKUP($A85,Matches!$A:$AC,9,FALSE),IF($B85="GW3",VLOOKUP($A85,Matches!$A:$AC,16,FALSE))))</f>
        <v>Spurs</v>
      </c>
      <c r="D85" s="6">
        <v>0.15193642979777261</v>
      </c>
      <c r="E85" s="6">
        <v>0.61839094675653938</v>
      </c>
      <c r="F85" s="6">
        <v>-0.46645451695876677</v>
      </c>
      <c r="G85" s="3" t="s">
        <v>0</v>
      </c>
      <c r="H85">
        <v>3.6630036999999997E-2</v>
      </c>
      <c r="I85">
        <v>4.1407867000000001E-2</v>
      </c>
      <c r="J85">
        <v>0.297619048</v>
      </c>
      <c r="K85">
        <v>0.13580246900000001</v>
      </c>
      <c r="L85">
        <v>0.625</v>
      </c>
      <c r="M85">
        <v>0.188311688</v>
      </c>
      <c r="N85" t="e">
        <v>#N/A</v>
      </c>
      <c r="O85" t="e">
        <v>#N/A</v>
      </c>
    </row>
    <row r="86" spans="1:15" x14ac:dyDescent="0.25">
      <c r="A86" t="s">
        <v>5</v>
      </c>
      <c r="B86" t="s">
        <v>23</v>
      </c>
      <c r="C86" s="3" t="str">
        <f>IF($B86="GW1",VLOOKUP($A86,Matches!$A:$AC,2,FALSE),IF($B86="GW2",VLOOKUP($A86,Matches!$A:$AC,9,FALSE),IF($B86="GW3",VLOOKUP($A86,Matches!$A:$AC,16,FALSE))))</f>
        <v>Spurs</v>
      </c>
      <c r="D86" s="6">
        <v>0.15193642979777261</v>
      </c>
      <c r="E86" s="6">
        <v>0.61839094675653938</v>
      </c>
      <c r="F86" s="6">
        <v>-0.46645451695876677</v>
      </c>
      <c r="G86" s="3" t="s">
        <v>0</v>
      </c>
      <c r="H86">
        <v>0.15873015900000001</v>
      </c>
      <c r="I86">
        <v>8.6580087E-2</v>
      </c>
      <c r="J86">
        <v>0.14652014699999999</v>
      </c>
      <c r="K86">
        <v>0.13580246900000001</v>
      </c>
      <c r="L86">
        <v>0.625</v>
      </c>
      <c r="M86">
        <v>0.188311688</v>
      </c>
      <c r="N86" t="e">
        <v>#N/A</v>
      </c>
      <c r="O86" t="e">
        <v>#N/A</v>
      </c>
    </row>
    <row r="87" spans="1:15" x14ac:dyDescent="0.25">
      <c r="A87" t="s">
        <v>5</v>
      </c>
      <c r="B87" t="s">
        <v>23</v>
      </c>
      <c r="C87" s="3" t="str">
        <f>IF($B87="GW1",VLOOKUP($A87,Matches!$A:$AC,2,FALSE),IF($B87="GW2",VLOOKUP($A87,Matches!$A:$AC,9,FALSE),IF($B87="GW3",VLOOKUP($A87,Matches!$A:$AC,16,FALSE))))</f>
        <v>Spurs</v>
      </c>
      <c r="D87" s="6">
        <v>0.15193642979777261</v>
      </c>
      <c r="E87" s="6">
        <v>0.61839094675653938</v>
      </c>
      <c r="F87" s="6">
        <v>-0.46645451695876677</v>
      </c>
      <c r="G87" s="3" t="s">
        <v>0</v>
      </c>
      <c r="H87" t="e">
        <v>#N/A</v>
      </c>
      <c r="I87" t="e">
        <v>#N/A</v>
      </c>
      <c r="J87" t="e">
        <v>#N/A</v>
      </c>
      <c r="K87">
        <v>0.13580246900000001</v>
      </c>
      <c r="L87">
        <v>0.625</v>
      </c>
      <c r="M87">
        <v>0.188311688</v>
      </c>
      <c r="N87" t="e">
        <v>#N/A</v>
      </c>
      <c r="O87" t="e">
        <v>#N/A</v>
      </c>
    </row>
    <row r="88" spans="1:15" x14ac:dyDescent="0.25">
      <c r="A88" t="s">
        <v>5</v>
      </c>
      <c r="B88" t="s">
        <v>23</v>
      </c>
      <c r="C88" s="3" t="str">
        <f>IF($B88="GW1",VLOOKUP($A88,Matches!$A:$AC,2,FALSE),IF($B88="GW2",VLOOKUP($A88,Matches!$A:$AC,9,FALSE),IF($B88="GW3",VLOOKUP($A88,Matches!$A:$AC,16,FALSE))))</f>
        <v>Spurs</v>
      </c>
      <c r="D88" s="6">
        <v>0.15193642979777261</v>
      </c>
      <c r="E88" s="6">
        <v>0.61839094675653938</v>
      </c>
      <c r="F88" s="6">
        <v>-0.46645451695876677</v>
      </c>
      <c r="G88" s="3" t="s">
        <v>0</v>
      </c>
      <c r="H88">
        <v>0.21164021199999999</v>
      </c>
      <c r="I88">
        <v>8.6580087E-2</v>
      </c>
      <c r="J88">
        <v>0.20050125299999999</v>
      </c>
      <c r="K88">
        <v>0.13580246900000001</v>
      </c>
      <c r="L88">
        <v>0.625</v>
      </c>
      <c r="M88">
        <v>0.188311688</v>
      </c>
      <c r="N88" t="e">
        <v>#N/A</v>
      </c>
      <c r="O88" t="e">
        <v>#N/A</v>
      </c>
    </row>
    <row r="89" spans="1:15" x14ac:dyDescent="0.25">
      <c r="A89" t="s">
        <v>5</v>
      </c>
      <c r="B89" t="s">
        <v>23</v>
      </c>
      <c r="C89" s="3" t="str">
        <f>IF($B89="GW1",VLOOKUP($A89,Matches!$A:$AC,2,FALSE),IF($B89="GW2",VLOOKUP($A89,Matches!$A:$AC,9,FALSE),IF($B89="GW3",VLOOKUP($A89,Matches!$A:$AC,16,FALSE))))</f>
        <v>Spurs</v>
      </c>
      <c r="D89" s="6">
        <v>0.15193642979777261</v>
      </c>
      <c r="E89" s="6">
        <v>0.61839094675653938</v>
      </c>
      <c r="F89" s="6">
        <v>-0.46645451695876677</v>
      </c>
      <c r="G89" s="3" t="s">
        <v>0</v>
      </c>
      <c r="H89" t="e">
        <v>#N/A</v>
      </c>
      <c r="I89" t="e">
        <v>#N/A</v>
      </c>
      <c r="J89" t="e">
        <v>#N/A</v>
      </c>
      <c r="K89">
        <v>0.13580246900000001</v>
      </c>
      <c r="L89">
        <v>0.625</v>
      </c>
      <c r="M89">
        <v>0.188311688</v>
      </c>
      <c r="N89" t="e">
        <v>#N/A</v>
      </c>
      <c r="O89" t="e">
        <v>#N/A</v>
      </c>
    </row>
    <row r="90" spans="1:15" x14ac:dyDescent="0.25">
      <c r="A90" t="s">
        <v>5</v>
      </c>
      <c r="B90" t="s">
        <v>23</v>
      </c>
      <c r="C90" s="3" t="str">
        <f>IF($B90="GW1",VLOOKUP($A90,Matches!$A:$AC,2,FALSE),IF($B90="GW2",VLOOKUP($A90,Matches!$A:$AC,9,FALSE),IF($B90="GW3",VLOOKUP($A90,Matches!$A:$AC,16,FALSE))))</f>
        <v>Spurs</v>
      </c>
      <c r="D90" s="6">
        <v>0.15193642979777261</v>
      </c>
      <c r="E90" s="6">
        <v>0.61839094675653938</v>
      </c>
      <c r="F90" s="6">
        <v>-0.46645451695876677</v>
      </c>
      <c r="G90" s="3" t="s">
        <v>0</v>
      </c>
      <c r="H90" t="e">
        <v>#N/A</v>
      </c>
      <c r="I90" t="e">
        <v>#N/A</v>
      </c>
      <c r="J90" t="e">
        <v>#N/A</v>
      </c>
      <c r="K90">
        <v>0.13580246900000001</v>
      </c>
      <c r="L90">
        <v>0.625</v>
      </c>
      <c r="M90">
        <v>0.188311688</v>
      </c>
      <c r="N90" t="e">
        <v>#N/A</v>
      </c>
      <c r="O90" t="e">
        <v>#N/A</v>
      </c>
    </row>
    <row r="91" spans="1:15" x14ac:dyDescent="0.25">
      <c r="A91" t="s">
        <v>5</v>
      </c>
      <c r="B91" t="s">
        <v>23</v>
      </c>
      <c r="C91" s="3" t="str">
        <f>IF($B91="GW1",VLOOKUP($A91,Matches!$A:$AC,2,FALSE),IF($B91="GW2",VLOOKUP($A91,Matches!$A:$AC,9,FALSE),IF($B91="GW3",VLOOKUP($A91,Matches!$A:$AC,16,FALSE))))</f>
        <v>Spurs</v>
      </c>
      <c r="D91" s="6">
        <v>0.15193642979777261</v>
      </c>
      <c r="E91" s="6">
        <v>0.61839094675653938</v>
      </c>
      <c r="F91" s="6">
        <v>-0.46645451695876677</v>
      </c>
      <c r="G91" s="3" t="s">
        <v>0</v>
      </c>
      <c r="H91">
        <v>6.3492063000000001E-2</v>
      </c>
      <c r="I91">
        <v>6.3492063000000001E-2</v>
      </c>
      <c r="J91">
        <v>0.297619048</v>
      </c>
      <c r="K91">
        <v>0.13580246900000001</v>
      </c>
      <c r="L91">
        <v>0.625</v>
      </c>
      <c r="M91">
        <v>0.188311688</v>
      </c>
      <c r="N91" t="e">
        <v>#N/A</v>
      </c>
      <c r="O91" t="e">
        <v>#N/A</v>
      </c>
    </row>
    <row r="92" spans="1:15" x14ac:dyDescent="0.25">
      <c r="A92" t="s">
        <v>5</v>
      </c>
      <c r="B92" t="s">
        <v>23</v>
      </c>
      <c r="C92" s="3" t="str">
        <f>IF($B92="GW1",VLOOKUP($A92,Matches!$A:$AC,2,FALSE),IF($B92="GW2",VLOOKUP($A92,Matches!$A:$AC,9,FALSE),IF($B92="GW3",VLOOKUP($A92,Matches!$A:$AC,16,FALSE))))</f>
        <v>Spurs</v>
      </c>
      <c r="D92" s="6">
        <v>0.15193642979777261</v>
      </c>
      <c r="E92" s="6">
        <v>0.61839094675653938</v>
      </c>
      <c r="F92" s="6">
        <v>-0.46645451695876677</v>
      </c>
      <c r="G92" s="3" t="s">
        <v>0</v>
      </c>
      <c r="H92">
        <v>0.15873015900000001</v>
      </c>
      <c r="I92">
        <v>6.3492063000000001E-2</v>
      </c>
      <c r="J92">
        <v>0.20050125299999999</v>
      </c>
      <c r="K92">
        <v>0.13580246900000001</v>
      </c>
      <c r="L92">
        <v>0.625</v>
      </c>
      <c r="M92">
        <v>0.188311688</v>
      </c>
      <c r="N92" t="e">
        <v>#N/A</v>
      </c>
      <c r="O92" t="e">
        <v>#N/A</v>
      </c>
    </row>
    <row r="93" spans="1:15" x14ac:dyDescent="0.25">
      <c r="A93" t="s">
        <v>5</v>
      </c>
      <c r="B93" t="s">
        <v>23</v>
      </c>
      <c r="C93" s="3" t="str">
        <f>IF($B93="GW1",VLOOKUP($A93,Matches!$A:$AC,2,FALSE),IF($B93="GW2",VLOOKUP($A93,Matches!$A:$AC,9,FALSE),IF($B93="GW3",VLOOKUP($A93,Matches!$A:$AC,16,FALSE))))</f>
        <v>Spurs</v>
      </c>
      <c r="D93" s="6">
        <v>0.15193642979777261</v>
      </c>
      <c r="E93" s="6">
        <v>0.61839094675653938</v>
      </c>
      <c r="F93" s="6">
        <v>-0.46645451695876677</v>
      </c>
      <c r="G93" s="3" t="s">
        <v>0</v>
      </c>
      <c r="H93">
        <v>0.10025062699999999</v>
      </c>
      <c r="I93">
        <v>8.6580087E-2</v>
      </c>
      <c r="J93">
        <v>0.346320346</v>
      </c>
      <c r="K93">
        <v>0.13580246900000001</v>
      </c>
      <c r="L93">
        <v>0.625</v>
      </c>
      <c r="M93">
        <v>0.188311688</v>
      </c>
      <c r="N93" t="e">
        <v>#N/A</v>
      </c>
      <c r="O93" t="e">
        <v>#N/A</v>
      </c>
    </row>
    <row r="94" spans="1:15" x14ac:dyDescent="0.25">
      <c r="A94" t="s">
        <v>5</v>
      </c>
      <c r="B94" t="s">
        <v>23</v>
      </c>
      <c r="C94" s="3" t="str">
        <f>IF($B94="GW1",VLOOKUP($A94,Matches!$A:$AC,2,FALSE),IF($B94="GW2",VLOOKUP($A94,Matches!$A:$AC,9,FALSE),IF($B94="GW3",VLOOKUP($A94,Matches!$A:$AC,16,FALSE))))</f>
        <v>Spurs</v>
      </c>
      <c r="D94" s="6">
        <v>0.15193642979777261</v>
      </c>
      <c r="E94" s="6">
        <v>0.61839094675653938</v>
      </c>
      <c r="F94" s="6">
        <v>-0.46645451695876677</v>
      </c>
      <c r="G94" s="3" t="s">
        <v>0</v>
      </c>
      <c r="H94">
        <v>0.126984127</v>
      </c>
      <c r="I94">
        <v>8.6580087E-2</v>
      </c>
      <c r="J94">
        <v>0.15873015900000001</v>
      </c>
      <c r="K94">
        <v>0.13580246900000001</v>
      </c>
      <c r="L94">
        <v>0.625</v>
      </c>
      <c r="M94">
        <v>0.188311688</v>
      </c>
      <c r="N94" t="e">
        <v>#N/A</v>
      </c>
      <c r="O94" t="e">
        <v>#N/A</v>
      </c>
    </row>
    <row r="95" spans="1:15" x14ac:dyDescent="0.25">
      <c r="A95" t="s">
        <v>5</v>
      </c>
      <c r="B95" t="s">
        <v>23</v>
      </c>
      <c r="C95" s="3" t="str">
        <f>IF($B95="GW1",VLOOKUP($A95,Matches!$A:$AC,2,FALSE),IF($B95="GW2",VLOOKUP($A95,Matches!$A:$AC,9,FALSE),IF($B95="GW3",VLOOKUP($A95,Matches!$A:$AC,16,FALSE))))</f>
        <v>Spurs</v>
      </c>
      <c r="D95" s="6">
        <v>0.15193642979777261</v>
      </c>
      <c r="E95" s="6">
        <v>0.61839094675653938</v>
      </c>
      <c r="F95" s="6">
        <v>-0.46645451695876677</v>
      </c>
      <c r="G95" s="3" t="s">
        <v>0</v>
      </c>
      <c r="H95">
        <v>9.5238094999999995E-2</v>
      </c>
      <c r="I95">
        <v>8.6580087E-2</v>
      </c>
      <c r="J95">
        <v>0.26455026500000001</v>
      </c>
      <c r="K95">
        <v>0.13580246900000001</v>
      </c>
      <c r="L95">
        <v>0.625</v>
      </c>
      <c r="M95">
        <v>0.188311688</v>
      </c>
      <c r="N95" t="e">
        <v>#N/A</v>
      </c>
      <c r="O95" t="e">
        <v>#N/A</v>
      </c>
    </row>
    <row r="96" spans="1:15" x14ac:dyDescent="0.25">
      <c r="A96" t="s">
        <v>5</v>
      </c>
      <c r="B96" t="s">
        <v>23</v>
      </c>
      <c r="C96" s="3" t="str">
        <f>IF($B96="GW1",VLOOKUP($A96,Matches!$A:$AC,2,FALSE),IF($B96="GW2",VLOOKUP($A96,Matches!$A:$AC,9,FALSE),IF($B96="GW3",VLOOKUP($A96,Matches!$A:$AC,16,FALSE))))</f>
        <v>Spurs</v>
      </c>
      <c r="D96" s="6">
        <v>0.15193642979777261</v>
      </c>
      <c r="E96" s="6">
        <v>0.61839094675653938</v>
      </c>
      <c r="F96" s="6">
        <v>-0.46645451695876677</v>
      </c>
      <c r="G96" s="3" t="s">
        <v>0</v>
      </c>
      <c r="H96">
        <v>0.126984127</v>
      </c>
      <c r="I96">
        <v>6.3492063000000001E-2</v>
      </c>
      <c r="J96">
        <v>0.15873015900000001</v>
      </c>
      <c r="K96">
        <v>0.13580246900000001</v>
      </c>
      <c r="L96">
        <v>0.625</v>
      </c>
      <c r="M96">
        <v>0.188311688</v>
      </c>
      <c r="N96" t="e">
        <v>#N/A</v>
      </c>
      <c r="O96" t="e">
        <v>#N/A</v>
      </c>
    </row>
    <row r="97" spans="1:15" x14ac:dyDescent="0.25">
      <c r="A97" t="s">
        <v>5</v>
      </c>
      <c r="B97" t="s">
        <v>23</v>
      </c>
      <c r="C97" s="3" t="str">
        <f>IF($B97="GW1",VLOOKUP($A97,Matches!$A:$AC,2,FALSE),IF($B97="GW2",VLOOKUP($A97,Matches!$A:$AC,9,FALSE),IF($B97="GW3",VLOOKUP($A97,Matches!$A:$AC,16,FALSE))))</f>
        <v>Spurs</v>
      </c>
      <c r="D97" s="6">
        <v>0.15193642979777261</v>
      </c>
      <c r="E97" s="6">
        <v>0.61839094675653938</v>
      </c>
      <c r="F97" s="6">
        <v>-0.46645451695876677</v>
      </c>
      <c r="G97" s="3" t="s">
        <v>0</v>
      </c>
      <c r="H97">
        <v>0.10025062699999999</v>
      </c>
      <c r="I97">
        <v>6.3492063000000001E-2</v>
      </c>
      <c r="J97">
        <v>0.23809523799999999</v>
      </c>
      <c r="K97">
        <v>0.13580246900000001</v>
      </c>
      <c r="L97">
        <v>0.625</v>
      </c>
      <c r="M97">
        <v>0.188311688</v>
      </c>
      <c r="N97" t="e">
        <v>#N/A</v>
      </c>
      <c r="O97" t="e">
        <v>#N/A</v>
      </c>
    </row>
    <row r="98" spans="1:15" x14ac:dyDescent="0.25">
      <c r="A98" t="s">
        <v>5</v>
      </c>
      <c r="B98" t="s">
        <v>23</v>
      </c>
      <c r="C98" s="3" t="str">
        <f>IF($B98="GW1",VLOOKUP($A98,Matches!$A:$AC,2,FALSE),IF($B98="GW2",VLOOKUP($A98,Matches!$A:$AC,9,FALSE),IF($B98="GW3",VLOOKUP($A98,Matches!$A:$AC,16,FALSE))))</f>
        <v>Spurs</v>
      </c>
      <c r="D98" s="6">
        <v>0.15193642979777261</v>
      </c>
      <c r="E98" s="6">
        <v>0.61839094675653938</v>
      </c>
      <c r="F98" s="6">
        <v>-0.46645451695876677</v>
      </c>
      <c r="G98" s="3" t="s">
        <v>0</v>
      </c>
      <c r="H98" t="e">
        <v>#N/A</v>
      </c>
      <c r="I98" t="e">
        <v>#N/A</v>
      </c>
      <c r="J98" t="e">
        <v>#N/A</v>
      </c>
      <c r="K98">
        <v>0.13580246900000001</v>
      </c>
      <c r="L98">
        <v>0.625</v>
      </c>
      <c r="M98">
        <v>0.188311688</v>
      </c>
      <c r="N98" t="e">
        <v>#N/A</v>
      </c>
      <c r="O98" t="e">
        <v>#N/A</v>
      </c>
    </row>
    <row r="99" spans="1:15" x14ac:dyDescent="0.25">
      <c r="A99" t="s">
        <v>5</v>
      </c>
      <c r="B99" t="s">
        <v>23</v>
      </c>
      <c r="C99" s="3" t="str">
        <f>IF($B99="GW1",VLOOKUP($A99,Matches!$A:$AC,2,FALSE),IF($B99="GW2",VLOOKUP($A99,Matches!$A:$AC,9,FALSE),IF($B99="GW3",VLOOKUP($A99,Matches!$A:$AC,16,FALSE))))</f>
        <v>Spurs</v>
      </c>
      <c r="D99" s="6">
        <v>0.15193642979777261</v>
      </c>
      <c r="E99" s="6">
        <v>0.61839094675653938</v>
      </c>
      <c r="F99" s="6">
        <v>-0.46645451695876677</v>
      </c>
      <c r="G99" s="3" t="s">
        <v>0</v>
      </c>
      <c r="H99">
        <v>0.126984127</v>
      </c>
      <c r="I99">
        <v>6.3492063000000001E-2</v>
      </c>
      <c r="J99">
        <v>0.23809523799999999</v>
      </c>
      <c r="K99">
        <v>0.13580246900000001</v>
      </c>
      <c r="L99">
        <v>0.625</v>
      </c>
      <c r="M99">
        <v>0.188311688</v>
      </c>
      <c r="N99" t="e">
        <v>#N/A</v>
      </c>
      <c r="O99" t="e">
        <v>#N/A</v>
      </c>
    </row>
    <row r="100" spans="1:15" x14ac:dyDescent="0.25">
      <c r="A100" t="s">
        <v>5</v>
      </c>
      <c r="B100" t="s">
        <v>23</v>
      </c>
      <c r="C100" s="3" t="str">
        <f>IF($B100="GW1",VLOOKUP($A100,Matches!$A:$AC,2,FALSE),IF($B100="GW2",VLOOKUP($A100,Matches!$A:$AC,9,FALSE),IF($B100="GW3",VLOOKUP($A100,Matches!$A:$AC,16,FALSE))))</f>
        <v>Spurs</v>
      </c>
      <c r="D100" s="6">
        <v>0.15193642979777261</v>
      </c>
      <c r="E100" s="6">
        <v>0.61839094675653938</v>
      </c>
      <c r="F100" s="6">
        <v>-0.46645451695876677</v>
      </c>
      <c r="G100" s="3" t="s">
        <v>0</v>
      </c>
      <c r="H100" t="e">
        <v>#N/A</v>
      </c>
      <c r="I100" t="e">
        <v>#N/A</v>
      </c>
      <c r="J100" t="e">
        <v>#N/A</v>
      </c>
      <c r="K100">
        <v>0.13580246900000001</v>
      </c>
      <c r="L100">
        <v>0.625</v>
      </c>
      <c r="M100">
        <v>0.188311688</v>
      </c>
      <c r="N100" t="e">
        <v>#N/A</v>
      </c>
      <c r="O100" t="e">
        <v>#N/A</v>
      </c>
    </row>
    <row r="101" spans="1:15" x14ac:dyDescent="0.25">
      <c r="A101" t="s">
        <v>5</v>
      </c>
      <c r="B101" t="s">
        <v>23</v>
      </c>
      <c r="C101" s="3" t="str">
        <f>IF($B101="GW1",VLOOKUP($A101,Matches!$A:$AC,2,FALSE),IF($B101="GW2",VLOOKUP($A101,Matches!$A:$AC,9,FALSE),IF($B101="GW3",VLOOKUP($A101,Matches!$A:$AC,16,FALSE))))</f>
        <v>Spurs</v>
      </c>
      <c r="D101" s="6">
        <v>0.15193642979777261</v>
      </c>
      <c r="E101" s="6">
        <v>0.61839094675653938</v>
      </c>
      <c r="F101" s="6">
        <v>-0.46645451695876677</v>
      </c>
      <c r="G101" s="3" t="s">
        <v>0</v>
      </c>
      <c r="H101">
        <v>0.173160173</v>
      </c>
      <c r="I101">
        <v>7.3260072999999995E-2</v>
      </c>
      <c r="J101">
        <v>0.23809523799999999</v>
      </c>
      <c r="K101">
        <v>0.13580246900000001</v>
      </c>
      <c r="L101">
        <v>0.625</v>
      </c>
      <c r="M101">
        <v>0.188311688</v>
      </c>
      <c r="N101" t="e">
        <v>#N/A</v>
      </c>
      <c r="O101" t="e">
        <v>#N/A</v>
      </c>
    </row>
    <row r="102" spans="1:15" x14ac:dyDescent="0.25">
      <c r="A102" t="s">
        <v>5</v>
      </c>
      <c r="B102" t="s">
        <v>23</v>
      </c>
      <c r="C102" s="3" t="str">
        <f>IF($B102="GW1",VLOOKUP($A102,Matches!$A:$AC,2,FALSE),IF($B102="GW2",VLOOKUP($A102,Matches!$A:$AC,9,FALSE),IF($B102="GW3",VLOOKUP($A102,Matches!$A:$AC,16,FALSE))))</f>
        <v>Spurs</v>
      </c>
      <c r="D102" s="6">
        <v>0.15193642979777261</v>
      </c>
      <c r="E102" s="6">
        <v>0.61839094675653938</v>
      </c>
      <c r="F102" s="6">
        <v>-0.46645451695876677</v>
      </c>
      <c r="G102" s="3" t="s">
        <v>0</v>
      </c>
      <c r="H102" t="e">
        <v>#N/A</v>
      </c>
      <c r="I102" t="e">
        <v>#N/A</v>
      </c>
      <c r="J102" t="e">
        <v>#N/A</v>
      </c>
      <c r="K102">
        <v>0.13580246900000001</v>
      </c>
      <c r="L102">
        <v>0.625</v>
      </c>
      <c r="M102">
        <v>0.188311688</v>
      </c>
      <c r="N102" t="e">
        <v>#N/A</v>
      </c>
      <c r="O102" t="e">
        <v>#N/A</v>
      </c>
    </row>
    <row r="103" spans="1:15" x14ac:dyDescent="0.25">
      <c r="A103" t="s">
        <v>5</v>
      </c>
      <c r="B103" t="s">
        <v>23</v>
      </c>
      <c r="C103" s="3" t="str">
        <f>IF($B103="GW1",VLOOKUP($A103,Matches!$A:$AC,2,FALSE),IF($B103="GW2",VLOOKUP($A103,Matches!$A:$AC,9,FALSE),IF($B103="GW3",VLOOKUP($A103,Matches!$A:$AC,16,FALSE))))</f>
        <v>Spurs</v>
      </c>
      <c r="D103" s="6">
        <v>0.15193642979777261</v>
      </c>
      <c r="E103" s="6">
        <v>0.61839094675653938</v>
      </c>
      <c r="F103" s="6">
        <v>-0.46645451695876677</v>
      </c>
      <c r="G103" s="3" t="s">
        <v>0</v>
      </c>
      <c r="H103">
        <v>0.173160173</v>
      </c>
      <c r="I103">
        <v>8.6580087E-2</v>
      </c>
      <c r="J103">
        <v>0.297619048</v>
      </c>
      <c r="K103">
        <v>0.13580246900000001</v>
      </c>
      <c r="L103">
        <v>0.625</v>
      </c>
      <c r="M103">
        <v>0.188311688</v>
      </c>
      <c r="N103" t="e">
        <v>#N/A</v>
      </c>
      <c r="O103" t="e">
        <v>#N/A</v>
      </c>
    </row>
    <row r="104" spans="1:15" x14ac:dyDescent="0.25">
      <c r="A104" t="s">
        <v>5</v>
      </c>
      <c r="B104" t="s">
        <v>23</v>
      </c>
      <c r="C104" s="3" t="str">
        <f>IF($B104="GW1",VLOOKUP($A104,Matches!$A:$AC,2,FALSE),IF($B104="GW2",VLOOKUP($A104,Matches!$A:$AC,9,FALSE),IF($B104="GW3",VLOOKUP($A104,Matches!$A:$AC,16,FALSE))))</f>
        <v>Spurs</v>
      </c>
      <c r="D104" s="6">
        <v>0.15193642979777261</v>
      </c>
      <c r="E104" s="6">
        <v>0.61839094675653938</v>
      </c>
      <c r="F104" s="6">
        <v>-0.46645451695876677</v>
      </c>
      <c r="G104" s="3" t="s">
        <v>0</v>
      </c>
      <c r="H104">
        <v>0.15873015900000001</v>
      </c>
      <c r="I104">
        <v>8.6580087E-2</v>
      </c>
      <c r="J104">
        <v>0.26455026500000001</v>
      </c>
      <c r="K104">
        <v>0.13580246900000001</v>
      </c>
      <c r="L104">
        <v>0.625</v>
      </c>
      <c r="M104">
        <v>0.188311688</v>
      </c>
      <c r="N104" t="e">
        <v>#N/A</v>
      </c>
      <c r="O104" t="e">
        <v>#N/A</v>
      </c>
    </row>
    <row r="105" spans="1:15" x14ac:dyDescent="0.25">
      <c r="A105" t="s">
        <v>5</v>
      </c>
      <c r="B105" t="s">
        <v>23</v>
      </c>
      <c r="C105" s="3" t="str">
        <f>IF($B105="GW1",VLOOKUP($A105,Matches!$A:$AC,2,FALSE),IF($B105="GW2",VLOOKUP($A105,Matches!$A:$AC,9,FALSE),IF($B105="GW3",VLOOKUP($A105,Matches!$A:$AC,16,FALSE))))</f>
        <v>Spurs</v>
      </c>
      <c r="D105" s="6">
        <v>0.15193642979777261</v>
      </c>
      <c r="E105" s="6">
        <v>0.61839094675653938</v>
      </c>
      <c r="F105" s="6">
        <v>-0.46645451695876677</v>
      </c>
      <c r="G105" s="3" t="s">
        <v>0</v>
      </c>
      <c r="H105" t="e">
        <v>#N/A</v>
      </c>
      <c r="I105" t="e">
        <v>#N/A</v>
      </c>
      <c r="J105" t="e">
        <v>#N/A</v>
      </c>
      <c r="K105">
        <v>0.13580246900000001</v>
      </c>
      <c r="L105">
        <v>0.625</v>
      </c>
      <c r="M105">
        <v>0.188311688</v>
      </c>
      <c r="N105" t="e">
        <v>#N/A</v>
      </c>
      <c r="O105" t="e">
        <v>#N/A</v>
      </c>
    </row>
    <row r="106" spans="1:15" x14ac:dyDescent="0.25">
      <c r="A106" t="s">
        <v>6</v>
      </c>
      <c r="B106" t="s">
        <v>23</v>
      </c>
      <c r="C106" s="3" t="str">
        <f>IF($B106="GW1",VLOOKUP($A106,Matches!$A:$AC,2,FALSE),IF($B106="GW2",VLOOKUP($A106,Matches!$A:$AC,9,FALSE),IF($B106="GW3",VLOOKUP($A106,Matches!$A:$AC,16,FALSE))))</f>
        <v>Liverpool</v>
      </c>
      <c r="D106" s="6">
        <v>0.10823565065861392</v>
      </c>
      <c r="E106" s="6">
        <v>0.74682598954443602</v>
      </c>
      <c r="F106" s="6">
        <v>-0.63859033888582206</v>
      </c>
      <c r="G106" s="3" t="s">
        <v>0</v>
      </c>
      <c r="H106" t="e">
        <v>#N/A</v>
      </c>
      <c r="I106" t="e">
        <v>#N/A</v>
      </c>
      <c r="J106" t="e">
        <v>#N/A</v>
      </c>
      <c r="K106">
        <v>7.4074074000000004E-2</v>
      </c>
      <c r="L106">
        <v>0.73221757300000001</v>
      </c>
      <c r="M106">
        <v>0.29039301299999998</v>
      </c>
      <c r="N106" t="e">
        <v>#N/A</v>
      </c>
      <c r="O106" t="e">
        <v>#N/A</v>
      </c>
    </row>
    <row r="107" spans="1:15" x14ac:dyDescent="0.25">
      <c r="A107" t="s">
        <v>6</v>
      </c>
      <c r="B107" t="s">
        <v>23</v>
      </c>
      <c r="C107" s="3" t="str">
        <f>IF($B107="GW1",VLOOKUP($A107,Matches!$A:$AC,2,FALSE),IF($B107="GW2",VLOOKUP($A107,Matches!$A:$AC,9,FALSE),IF($B107="GW3",VLOOKUP($A107,Matches!$A:$AC,16,FALSE))))</f>
        <v>Liverpool</v>
      </c>
      <c r="D107" s="6">
        <v>0.10823565065861392</v>
      </c>
      <c r="E107" s="6">
        <v>0.74682598954443602</v>
      </c>
      <c r="F107" s="6">
        <v>-0.63859033888582206</v>
      </c>
      <c r="G107" s="3" t="s">
        <v>0</v>
      </c>
      <c r="H107" t="e">
        <v>#N/A</v>
      </c>
      <c r="I107" t="e">
        <v>#N/A</v>
      </c>
      <c r="J107">
        <v>0.14652014699999999</v>
      </c>
      <c r="K107">
        <v>7.4074074000000004E-2</v>
      </c>
      <c r="L107">
        <v>0.73221757300000001</v>
      </c>
      <c r="M107">
        <v>0.29039301299999998</v>
      </c>
      <c r="N107">
        <v>0.807102502</v>
      </c>
      <c r="O107">
        <v>0.28011204499999998</v>
      </c>
    </row>
    <row r="108" spans="1:15" x14ac:dyDescent="0.25">
      <c r="A108" t="s">
        <v>6</v>
      </c>
      <c r="B108" t="s">
        <v>23</v>
      </c>
      <c r="C108" s="3" t="str">
        <f>IF($B108="GW1",VLOOKUP($A108,Matches!$A:$AC,2,FALSE),IF($B108="GW2",VLOOKUP($A108,Matches!$A:$AC,9,FALSE),IF($B108="GW3",VLOOKUP($A108,Matches!$A:$AC,16,FALSE))))</f>
        <v>Liverpool</v>
      </c>
      <c r="D108" s="6">
        <v>0.10823565065861392</v>
      </c>
      <c r="E108" s="6">
        <v>0.74682598954443602</v>
      </c>
      <c r="F108" s="6">
        <v>-0.63859033888582206</v>
      </c>
      <c r="G108" s="3" t="s">
        <v>0</v>
      </c>
      <c r="H108" t="e">
        <v>#N/A</v>
      </c>
      <c r="I108" t="e">
        <v>#N/A</v>
      </c>
      <c r="J108" t="e">
        <v>#N/A</v>
      </c>
      <c r="K108">
        <v>7.4074074000000004E-2</v>
      </c>
      <c r="L108">
        <v>0.73221757300000001</v>
      </c>
      <c r="M108">
        <v>0.29039301299999998</v>
      </c>
      <c r="N108" t="e">
        <v>#N/A</v>
      </c>
      <c r="O108" t="e">
        <v>#N/A</v>
      </c>
    </row>
    <row r="109" spans="1:15" x14ac:dyDescent="0.25">
      <c r="A109" t="s">
        <v>6</v>
      </c>
      <c r="B109" t="s">
        <v>23</v>
      </c>
      <c r="C109" s="3" t="str">
        <f>IF($B109="GW1",VLOOKUP($A109,Matches!$A:$AC,2,FALSE),IF($B109="GW2",VLOOKUP($A109,Matches!$A:$AC,9,FALSE),IF($B109="GW3",VLOOKUP($A109,Matches!$A:$AC,16,FALSE))))</f>
        <v>Liverpool</v>
      </c>
      <c r="D109" s="6">
        <v>0.10823565065861392</v>
      </c>
      <c r="E109" s="6">
        <v>0.74682598954443602</v>
      </c>
      <c r="F109" s="6">
        <v>-0.63859033888582206</v>
      </c>
      <c r="G109" s="3" t="s">
        <v>0</v>
      </c>
      <c r="H109" t="e">
        <v>#N/A</v>
      </c>
      <c r="I109" t="e">
        <v>#N/A</v>
      </c>
      <c r="J109">
        <v>0.23809523799999999</v>
      </c>
      <c r="K109">
        <v>7.4074074000000004E-2</v>
      </c>
      <c r="L109">
        <v>0.73221757300000001</v>
      </c>
      <c r="M109">
        <v>0.29039301299999998</v>
      </c>
      <c r="N109" t="e">
        <v>#N/A</v>
      </c>
      <c r="O109" t="e">
        <v>#N/A</v>
      </c>
    </row>
    <row r="110" spans="1:15" x14ac:dyDescent="0.25">
      <c r="A110" t="s">
        <v>6</v>
      </c>
      <c r="B110" t="s">
        <v>23</v>
      </c>
      <c r="C110" s="3" t="str">
        <f>IF($B110="GW1",VLOOKUP($A110,Matches!$A:$AC,2,FALSE),IF($B110="GW2",VLOOKUP($A110,Matches!$A:$AC,9,FALSE),IF($B110="GW3",VLOOKUP($A110,Matches!$A:$AC,16,FALSE))))</f>
        <v>Liverpool</v>
      </c>
      <c r="D110" s="6">
        <v>0.10823565065861392</v>
      </c>
      <c r="E110" s="6">
        <v>0.74682598954443602</v>
      </c>
      <c r="F110" s="6">
        <v>-0.63859033888582206</v>
      </c>
      <c r="G110" s="3" t="s">
        <v>0</v>
      </c>
      <c r="H110" t="e">
        <v>#N/A</v>
      </c>
      <c r="I110" t="e">
        <v>#N/A</v>
      </c>
      <c r="J110">
        <v>0.23809523799999999</v>
      </c>
      <c r="K110">
        <v>7.4074074000000004E-2</v>
      </c>
      <c r="L110">
        <v>0.73221757300000001</v>
      </c>
      <c r="M110">
        <v>0.29039301299999998</v>
      </c>
      <c r="N110" t="e">
        <v>#N/A</v>
      </c>
      <c r="O110" t="e">
        <v>#N/A</v>
      </c>
    </row>
    <row r="111" spans="1:15" x14ac:dyDescent="0.25">
      <c r="A111" t="s">
        <v>6</v>
      </c>
      <c r="B111" t="s">
        <v>23</v>
      </c>
      <c r="C111" s="3" t="str">
        <f>IF($B111="GW1",VLOOKUP($A111,Matches!$A:$AC,2,FALSE),IF($B111="GW2",VLOOKUP($A111,Matches!$A:$AC,9,FALSE),IF($B111="GW3",VLOOKUP($A111,Matches!$A:$AC,16,FALSE))))</f>
        <v>Liverpool</v>
      </c>
      <c r="D111" s="6">
        <v>0.10823565065861392</v>
      </c>
      <c r="E111" s="6">
        <v>0.74682598954443602</v>
      </c>
      <c r="F111" s="6">
        <v>-0.63859033888582206</v>
      </c>
      <c r="G111" s="3" t="s">
        <v>0</v>
      </c>
      <c r="H111" t="e">
        <v>#N/A</v>
      </c>
      <c r="I111" t="e">
        <v>#N/A</v>
      </c>
      <c r="J111" t="e">
        <v>#N/A</v>
      </c>
      <c r="K111">
        <v>7.4074074000000004E-2</v>
      </c>
      <c r="L111">
        <v>0.73221757300000001</v>
      </c>
      <c r="M111">
        <v>0.29039301299999998</v>
      </c>
      <c r="N111" t="e">
        <v>#N/A</v>
      </c>
      <c r="O111" t="e">
        <v>#N/A</v>
      </c>
    </row>
    <row r="112" spans="1:15" x14ac:dyDescent="0.25">
      <c r="A112" t="s">
        <v>6</v>
      </c>
      <c r="B112" t="s">
        <v>23</v>
      </c>
      <c r="C112" s="3" t="str">
        <f>IF($B112="GW1",VLOOKUP($A112,Matches!$A:$AC,2,FALSE),IF($B112="GW2",VLOOKUP($A112,Matches!$A:$AC,9,FALSE),IF($B112="GW3",VLOOKUP($A112,Matches!$A:$AC,16,FALSE))))</f>
        <v>Liverpool</v>
      </c>
      <c r="D112" s="6">
        <v>0.10823565065861392</v>
      </c>
      <c r="E112" s="6">
        <v>0.74682598954443602</v>
      </c>
      <c r="F112" s="6">
        <v>-0.63859033888582206</v>
      </c>
      <c r="G112" s="3" t="s">
        <v>0</v>
      </c>
      <c r="H112">
        <v>6.3492063000000001E-2</v>
      </c>
      <c r="I112">
        <v>5.0125312999999998E-2</v>
      </c>
      <c r="J112">
        <v>0.33184005300000002</v>
      </c>
      <c r="K112">
        <v>7.4074074000000004E-2</v>
      </c>
      <c r="L112">
        <v>0.73221757300000001</v>
      </c>
      <c r="M112">
        <v>0.29039301299999998</v>
      </c>
      <c r="N112" t="e">
        <v>#N/A</v>
      </c>
      <c r="O112" t="e">
        <v>#N/A</v>
      </c>
    </row>
    <row r="113" spans="1:15" x14ac:dyDescent="0.25">
      <c r="A113" t="s">
        <v>6</v>
      </c>
      <c r="B113" t="s">
        <v>23</v>
      </c>
      <c r="C113" s="3" t="str">
        <f>IF($B113="GW1",VLOOKUP($A113,Matches!$A:$AC,2,FALSE),IF($B113="GW2",VLOOKUP($A113,Matches!$A:$AC,9,FALSE),IF($B113="GW3",VLOOKUP($A113,Matches!$A:$AC,16,FALSE))))</f>
        <v>Liverpool</v>
      </c>
      <c r="D113" s="6">
        <v>0.10823565065861392</v>
      </c>
      <c r="E113" s="6">
        <v>0.74682598954443602</v>
      </c>
      <c r="F113" s="6">
        <v>-0.63859033888582206</v>
      </c>
      <c r="G113" s="3" t="s">
        <v>0</v>
      </c>
      <c r="H113">
        <v>4.1407867000000001E-2</v>
      </c>
      <c r="I113">
        <v>4.5351474000000003E-2</v>
      </c>
      <c r="J113">
        <v>0.29304029300000001</v>
      </c>
      <c r="K113">
        <v>7.4074074000000004E-2</v>
      </c>
      <c r="L113">
        <v>0.73221757300000001</v>
      </c>
      <c r="M113">
        <v>0.29039301299999998</v>
      </c>
      <c r="N113" t="e">
        <v>#N/A</v>
      </c>
      <c r="O113" t="e">
        <v>#N/A</v>
      </c>
    </row>
    <row r="114" spans="1:15" x14ac:dyDescent="0.25">
      <c r="A114" t="s">
        <v>6</v>
      </c>
      <c r="B114" t="s">
        <v>23</v>
      </c>
      <c r="C114" s="3" t="str">
        <f>IF($B114="GW1",VLOOKUP($A114,Matches!$A:$AC,2,FALSE),IF($B114="GW2",VLOOKUP($A114,Matches!$A:$AC,9,FALSE),IF($B114="GW3",VLOOKUP($A114,Matches!$A:$AC,16,FALSE))))</f>
        <v>Liverpool</v>
      </c>
      <c r="D114" s="6">
        <v>0.10823565065861392</v>
      </c>
      <c r="E114" s="6">
        <v>0.74682598954443602</v>
      </c>
      <c r="F114" s="6">
        <v>-0.63859033888582206</v>
      </c>
      <c r="G114" s="3" t="s">
        <v>0</v>
      </c>
      <c r="H114">
        <v>6.3492063000000001E-2</v>
      </c>
      <c r="I114">
        <v>9.5238094999999995E-2</v>
      </c>
      <c r="J114">
        <v>0.23809523799999999</v>
      </c>
      <c r="K114">
        <v>7.4074074000000004E-2</v>
      </c>
      <c r="L114">
        <v>0.73221757300000001</v>
      </c>
      <c r="M114">
        <v>0.29039301299999998</v>
      </c>
      <c r="N114" t="e">
        <v>#N/A</v>
      </c>
      <c r="O114" t="e">
        <v>#N/A</v>
      </c>
    </row>
    <row r="115" spans="1:15" x14ac:dyDescent="0.25">
      <c r="A115" t="s">
        <v>6</v>
      </c>
      <c r="B115" t="s">
        <v>23</v>
      </c>
      <c r="C115" s="3" t="str">
        <f>IF($B115="GW1",VLOOKUP($A115,Matches!$A:$AC,2,FALSE),IF($B115="GW2",VLOOKUP($A115,Matches!$A:$AC,9,FALSE),IF($B115="GW3",VLOOKUP($A115,Matches!$A:$AC,16,FALSE))))</f>
        <v>Liverpool</v>
      </c>
      <c r="D115" s="6">
        <v>0.10823565065861392</v>
      </c>
      <c r="E115" s="6">
        <v>0.74682598954443602</v>
      </c>
      <c r="F115" s="6">
        <v>-0.63859033888582206</v>
      </c>
      <c r="G115" s="3" t="s">
        <v>0</v>
      </c>
      <c r="H115" t="e">
        <v>#N/A</v>
      </c>
      <c r="I115" t="e">
        <v>#N/A</v>
      </c>
      <c r="J115" t="e">
        <v>#N/A</v>
      </c>
      <c r="K115">
        <v>7.4074074000000004E-2</v>
      </c>
      <c r="L115">
        <v>0.73221757300000001</v>
      </c>
      <c r="M115">
        <v>0.29039301299999998</v>
      </c>
      <c r="N115" t="e">
        <v>#N/A</v>
      </c>
      <c r="O115" t="e">
        <v>#N/A</v>
      </c>
    </row>
    <row r="116" spans="1:15" x14ac:dyDescent="0.25">
      <c r="A116" t="s">
        <v>6</v>
      </c>
      <c r="B116" t="s">
        <v>23</v>
      </c>
      <c r="C116" s="3" t="str">
        <f>IF($B116="GW1",VLOOKUP($A116,Matches!$A:$AC,2,FALSE),IF($B116="GW2",VLOOKUP($A116,Matches!$A:$AC,9,FALSE),IF($B116="GW3",VLOOKUP($A116,Matches!$A:$AC,16,FALSE))))</f>
        <v>Liverpool</v>
      </c>
      <c r="D116" s="6">
        <v>0.10823565065861392</v>
      </c>
      <c r="E116" s="6">
        <v>0.74682598954443602</v>
      </c>
      <c r="F116" s="6">
        <v>-0.63859033888582206</v>
      </c>
      <c r="G116" s="3" t="s">
        <v>0</v>
      </c>
      <c r="H116" t="e">
        <v>#N/A</v>
      </c>
      <c r="I116" t="e">
        <v>#N/A</v>
      </c>
      <c r="J116" t="e">
        <v>#N/A</v>
      </c>
      <c r="K116">
        <v>7.4074074000000004E-2</v>
      </c>
      <c r="L116">
        <v>0.73221757300000001</v>
      </c>
      <c r="M116">
        <v>0.29039301299999998</v>
      </c>
      <c r="N116" t="e">
        <v>#N/A</v>
      </c>
      <c r="O116" t="e">
        <v>#N/A</v>
      </c>
    </row>
    <row r="117" spans="1:15" x14ac:dyDescent="0.25">
      <c r="A117" t="s">
        <v>6</v>
      </c>
      <c r="B117" t="s">
        <v>23</v>
      </c>
      <c r="C117" s="3" t="str">
        <f>IF($B117="GW1",VLOOKUP($A117,Matches!$A:$AC,2,FALSE),IF($B117="GW2",VLOOKUP($A117,Matches!$A:$AC,9,FALSE),IF($B117="GW3",VLOOKUP($A117,Matches!$A:$AC,16,FALSE))))</f>
        <v>Liverpool</v>
      </c>
      <c r="D117" s="6">
        <v>0.10823565065861392</v>
      </c>
      <c r="E117" s="6">
        <v>0.74682598954443602</v>
      </c>
      <c r="F117" s="6">
        <v>-0.63859033888582206</v>
      </c>
      <c r="G117" s="3" t="s">
        <v>0</v>
      </c>
      <c r="H117">
        <v>6.3492063000000001E-2</v>
      </c>
      <c r="I117">
        <v>7.3260072999999995E-2</v>
      </c>
      <c r="J117">
        <v>0.23809523799999999</v>
      </c>
      <c r="K117">
        <v>7.4074074000000004E-2</v>
      </c>
      <c r="L117">
        <v>0.73221757300000001</v>
      </c>
      <c r="M117">
        <v>0.29039301299999998</v>
      </c>
      <c r="N117" t="e">
        <v>#N/A</v>
      </c>
      <c r="O117" t="e">
        <v>#N/A</v>
      </c>
    </row>
    <row r="118" spans="1:15" x14ac:dyDescent="0.25">
      <c r="A118" t="s">
        <v>6</v>
      </c>
      <c r="B118" t="s">
        <v>23</v>
      </c>
      <c r="C118" s="3" t="str">
        <f>IF($B118="GW1",VLOOKUP($A118,Matches!$A:$AC,2,FALSE),IF($B118="GW2",VLOOKUP($A118,Matches!$A:$AC,9,FALSE),IF($B118="GW3",VLOOKUP($A118,Matches!$A:$AC,16,FALSE))))</f>
        <v>Liverpool</v>
      </c>
      <c r="D118" s="6">
        <v>0.10823565065861392</v>
      </c>
      <c r="E118" s="6">
        <v>0.74682598954443602</v>
      </c>
      <c r="F118" s="6">
        <v>-0.63859033888582206</v>
      </c>
      <c r="G118" s="3" t="s">
        <v>0</v>
      </c>
      <c r="H118">
        <v>5.0125312999999998E-2</v>
      </c>
      <c r="I118">
        <v>7.3260072999999995E-2</v>
      </c>
      <c r="J118">
        <v>0.307219662</v>
      </c>
      <c r="K118">
        <v>7.4074074000000004E-2</v>
      </c>
      <c r="L118">
        <v>0.73221757300000001</v>
      </c>
      <c r="M118">
        <v>0.29039301299999998</v>
      </c>
      <c r="N118" t="e">
        <v>#N/A</v>
      </c>
      <c r="O118" t="e">
        <v>#N/A</v>
      </c>
    </row>
    <row r="119" spans="1:15" x14ac:dyDescent="0.25">
      <c r="A119" t="s">
        <v>6</v>
      </c>
      <c r="B119" t="s">
        <v>23</v>
      </c>
      <c r="C119" s="3" t="str">
        <f>IF($B119="GW1",VLOOKUP($A119,Matches!$A:$AC,2,FALSE),IF($B119="GW2",VLOOKUP($A119,Matches!$A:$AC,9,FALSE),IF($B119="GW3",VLOOKUP($A119,Matches!$A:$AC,16,FALSE))))</f>
        <v>Liverpool</v>
      </c>
      <c r="D119" s="6">
        <v>0.10823565065861392</v>
      </c>
      <c r="E119" s="6">
        <v>0.74682598954443602</v>
      </c>
      <c r="F119" s="6">
        <v>-0.63859033888582206</v>
      </c>
      <c r="G119" s="3" t="s">
        <v>0</v>
      </c>
      <c r="H119">
        <v>5.0125312999999998E-2</v>
      </c>
      <c r="I119">
        <v>3.6630036999999997E-2</v>
      </c>
      <c r="J119">
        <v>0.29304029300000001</v>
      </c>
      <c r="K119">
        <v>7.4074074000000004E-2</v>
      </c>
      <c r="L119">
        <v>0.73221757300000001</v>
      </c>
      <c r="M119">
        <v>0.29039301299999998</v>
      </c>
      <c r="N119" t="e">
        <v>#N/A</v>
      </c>
      <c r="O119" t="e">
        <v>#N/A</v>
      </c>
    </row>
    <row r="120" spans="1:15" x14ac:dyDescent="0.25">
      <c r="A120" t="s">
        <v>6</v>
      </c>
      <c r="B120" t="s">
        <v>23</v>
      </c>
      <c r="C120" s="3" t="str">
        <f>IF($B120="GW1",VLOOKUP($A120,Matches!$A:$AC,2,FALSE),IF($B120="GW2",VLOOKUP($A120,Matches!$A:$AC,9,FALSE),IF($B120="GW3",VLOOKUP($A120,Matches!$A:$AC,16,FALSE))))</f>
        <v>Liverpool</v>
      </c>
      <c r="D120" s="6">
        <v>0.10823565065861392</v>
      </c>
      <c r="E120" s="6">
        <v>0.74682598954443602</v>
      </c>
      <c r="F120" s="6">
        <v>-0.63859033888582206</v>
      </c>
      <c r="G120" s="3" t="s">
        <v>0</v>
      </c>
      <c r="H120" t="e">
        <v>#N/A</v>
      </c>
      <c r="I120" t="e">
        <v>#N/A</v>
      </c>
      <c r="J120" t="e">
        <v>#N/A</v>
      </c>
      <c r="K120">
        <v>7.4074074000000004E-2</v>
      </c>
      <c r="L120">
        <v>0.73221757300000001</v>
      </c>
      <c r="M120">
        <v>0.29039301299999998</v>
      </c>
      <c r="N120" t="e">
        <v>#N/A</v>
      </c>
      <c r="O120" t="e">
        <v>#N/A</v>
      </c>
    </row>
    <row r="121" spans="1:15" x14ac:dyDescent="0.25">
      <c r="A121" t="s">
        <v>6</v>
      </c>
      <c r="B121" t="s">
        <v>23</v>
      </c>
      <c r="C121" s="3" t="str">
        <f>IF($B121="GW1",VLOOKUP($A121,Matches!$A:$AC,2,FALSE),IF($B121="GW2",VLOOKUP($A121,Matches!$A:$AC,9,FALSE),IF($B121="GW3",VLOOKUP($A121,Matches!$A:$AC,16,FALSE))))</f>
        <v>Liverpool</v>
      </c>
      <c r="D121" s="6">
        <v>0.10823565065861392</v>
      </c>
      <c r="E121" s="6">
        <v>0.74682598954443602</v>
      </c>
      <c r="F121" s="6">
        <v>-0.63859033888582206</v>
      </c>
      <c r="G121" s="3" t="s">
        <v>0</v>
      </c>
      <c r="H121" t="e">
        <v>#N/A</v>
      </c>
      <c r="I121" t="e">
        <v>#N/A</v>
      </c>
      <c r="J121" t="e">
        <v>#N/A</v>
      </c>
      <c r="K121">
        <v>7.4074074000000004E-2</v>
      </c>
      <c r="L121">
        <v>0.73221757300000001</v>
      </c>
      <c r="M121">
        <v>0.29039301299999998</v>
      </c>
      <c r="N121" t="e">
        <v>#N/A</v>
      </c>
      <c r="O121" t="e">
        <v>#N/A</v>
      </c>
    </row>
    <row r="122" spans="1:15" x14ac:dyDescent="0.25">
      <c r="A122" t="s">
        <v>6</v>
      </c>
      <c r="B122" t="s">
        <v>23</v>
      </c>
      <c r="C122" s="3" t="str">
        <f>IF($B122="GW1",VLOOKUP($A122,Matches!$A:$AC,2,FALSE),IF($B122="GW2",VLOOKUP($A122,Matches!$A:$AC,9,FALSE),IF($B122="GW3",VLOOKUP($A122,Matches!$A:$AC,16,FALSE))))</f>
        <v>Liverpool</v>
      </c>
      <c r="D122" s="6">
        <v>0.10823565065861392</v>
      </c>
      <c r="E122" s="6">
        <v>0.74682598954443602</v>
      </c>
      <c r="F122" s="6">
        <v>-0.63859033888582206</v>
      </c>
      <c r="G122" s="3" t="s">
        <v>0</v>
      </c>
      <c r="H122">
        <v>0.21164021199999999</v>
      </c>
      <c r="I122">
        <v>9.5238094999999995E-2</v>
      </c>
      <c r="J122">
        <v>0.253968254</v>
      </c>
      <c r="K122">
        <v>7.4074074000000004E-2</v>
      </c>
      <c r="L122">
        <v>0.73221757300000001</v>
      </c>
      <c r="M122">
        <v>0.29039301299999998</v>
      </c>
      <c r="N122" t="e">
        <v>#N/A</v>
      </c>
      <c r="O122" t="e">
        <v>#N/A</v>
      </c>
    </row>
    <row r="123" spans="1:15" x14ac:dyDescent="0.25">
      <c r="A123" t="s">
        <v>6</v>
      </c>
      <c r="B123" t="s">
        <v>23</v>
      </c>
      <c r="C123" s="3" t="str">
        <f>IF($B123="GW1",VLOOKUP($A123,Matches!$A:$AC,2,FALSE),IF($B123="GW2",VLOOKUP($A123,Matches!$A:$AC,9,FALSE),IF($B123="GW3",VLOOKUP($A123,Matches!$A:$AC,16,FALSE))))</f>
        <v>Liverpool</v>
      </c>
      <c r="D123" s="6">
        <v>0.10823565065861392</v>
      </c>
      <c r="E123" s="6">
        <v>0.74682598954443602</v>
      </c>
      <c r="F123" s="6">
        <v>-0.63859033888582206</v>
      </c>
      <c r="G123" s="3" t="s">
        <v>0</v>
      </c>
      <c r="H123">
        <v>0.21164021199999999</v>
      </c>
      <c r="I123">
        <v>0.11904761899999999</v>
      </c>
      <c r="J123">
        <v>0.253968254</v>
      </c>
      <c r="K123">
        <v>7.4074074000000004E-2</v>
      </c>
      <c r="L123">
        <v>0.73221757300000001</v>
      </c>
      <c r="M123">
        <v>0.29039301299999998</v>
      </c>
      <c r="N123" t="e">
        <v>#N/A</v>
      </c>
      <c r="O123" t="e">
        <v>#N/A</v>
      </c>
    </row>
    <row r="124" spans="1:15" x14ac:dyDescent="0.25">
      <c r="A124" t="s">
        <v>6</v>
      </c>
      <c r="B124" t="s">
        <v>23</v>
      </c>
      <c r="C124" s="3" t="str">
        <f>IF($B124="GW1",VLOOKUP($A124,Matches!$A:$AC,2,FALSE),IF($B124="GW2",VLOOKUP($A124,Matches!$A:$AC,9,FALSE),IF($B124="GW3",VLOOKUP($A124,Matches!$A:$AC,16,FALSE))))</f>
        <v>Liverpool</v>
      </c>
      <c r="D124" s="6">
        <v>0.10823565065861392</v>
      </c>
      <c r="E124" s="6">
        <v>0.74682598954443602</v>
      </c>
      <c r="F124" s="6">
        <v>-0.63859033888582206</v>
      </c>
      <c r="G124" s="3" t="s">
        <v>0</v>
      </c>
      <c r="H124">
        <v>0.14652014699999999</v>
      </c>
      <c r="I124">
        <v>0.105820106</v>
      </c>
      <c r="J124">
        <v>0.19047618999999999</v>
      </c>
      <c r="K124">
        <v>7.4074074000000004E-2</v>
      </c>
      <c r="L124">
        <v>0.73221757300000001</v>
      </c>
      <c r="M124">
        <v>0.29039301299999998</v>
      </c>
      <c r="N124" t="e">
        <v>#N/A</v>
      </c>
      <c r="O124" t="e">
        <v>#N/A</v>
      </c>
    </row>
    <row r="125" spans="1:15" x14ac:dyDescent="0.25">
      <c r="A125" t="s">
        <v>6</v>
      </c>
      <c r="B125" t="s">
        <v>23</v>
      </c>
      <c r="C125" s="3" t="str">
        <f>IF($B125="GW1",VLOOKUP($A125,Matches!$A:$AC,2,FALSE),IF($B125="GW2",VLOOKUP($A125,Matches!$A:$AC,9,FALSE),IF($B125="GW3",VLOOKUP($A125,Matches!$A:$AC,16,FALSE))))</f>
        <v>Liverpool</v>
      </c>
      <c r="D125" s="6">
        <v>0.10823565065861392</v>
      </c>
      <c r="E125" s="6">
        <v>0.74682598954443602</v>
      </c>
      <c r="F125" s="6">
        <v>-0.63859033888582206</v>
      </c>
      <c r="G125" s="3" t="s">
        <v>0</v>
      </c>
      <c r="H125">
        <v>5.0125312999999998E-2</v>
      </c>
      <c r="I125">
        <v>5.0125312999999998E-2</v>
      </c>
      <c r="J125">
        <v>0.33184005300000002</v>
      </c>
      <c r="K125">
        <v>7.4074074000000004E-2</v>
      </c>
      <c r="L125">
        <v>0.73221757300000001</v>
      </c>
      <c r="M125">
        <v>0.29039301299999998</v>
      </c>
      <c r="N125" t="e">
        <v>#N/A</v>
      </c>
      <c r="O125" t="e">
        <v>#N/A</v>
      </c>
    </row>
    <row r="126" spans="1:15" x14ac:dyDescent="0.25">
      <c r="A126" t="s">
        <v>6</v>
      </c>
      <c r="B126" t="s">
        <v>23</v>
      </c>
      <c r="C126" s="3" t="str">
        <f>IF($B126="GW1",VLOOKUP($A126,Matches!$A:$AC,2,FALSE),IF($B126="GW2",VLOOKUP($A126,Matches!$A:$AC,9,FALSE),IF($B126="GW3",VLOOKUP($A126,Matches!$A:$AC,16,FALSE))))</f>
        <v>Liverpool</v>
      </c>
      <c r="D126" s="6">
        <v>0.10823565065861392</v>
      </c>
      <c r="E126" s="6">
        <v>0.74682598954443602</v>
      </c>
      <c r="F126" s="6">
        <v>-0.63859033888582206</v>
      </c>
      <c r="G126" s="3" t="s">
        <v>0</v>
      </c>
      <c r="H126">
        <v>0.19047618999999999</v>
      </c>
      <c r="I126">
        <v>0.11904761899999999</v>
      </c>
      <c r="J126">
        <v>0.19047618999999999</v>
      </c>
      <c r="K126">
        <v>7.4074074000000004E-2</v>
      </c>
      <c r="L126">
        <v>0.73221757300000001</v>
      </c>
      <c r="M126">
        <v>0.29039301299999998</v>
      </c>
      <c r="N126" t="e">
        <v>#N/A</v>
      </c>
      <c r="O126" t="e">
        <v>#N/A</v>
      </c>
    </row>
    <row r="127" spans="1:15" x14ac:dyDescent="0.25">
      <c r="A127" t="s">
        <v>6</v>
      </c>
      <c r="B127" t="s">
        <v>23</v>
      </c>
      <c r="C127" s="3" t="str">
        <f>IF($B127="GW1",VLOOKUP($A127,Matches!$A:$AC,2,FALSE),IF($B127="GW2",VLOOKUP($A127,Matches!$A:$AC,9,FALSE),IF($B127="GW3",VLOOKUP($A127,Matches!$A:$AC,16,FALSE))))</f>
        <v>Liverpool</v>
      </c>
      <c r="D127" s="6">
        <v>0.10823565065861392</v>
      </c>
      <c r="E127" s="6">
        <v>0.74682598954443602</v>
      </c>
      <c r="F127" s="6">
        <v>-0.63859033888582206</v>
      </c>
      <c r="G127" s="3" t="s">
        <v>0</v>
      </c>
      <c r="H127" t="e">
        <v>#N/A</v>
      </c>
      <c r="I127" t="e">
        <v>#N/A</v>
      </c>
      <c r="J127" t="e">
        <v>#N/A</v>
      </c>
      <c r="K127">
        <v>7.4074074000000004E-2</v>
      </c>
      <c r="L127">
        <v>0.73221757300000001</v>
      </c>
      <c r="M127">
        <v>0.29039301299999998</v>
      </c>
      <c r="N127" t="e">
        <v>#N/A</v>
      </c>
      <c r="O127" t="e">
        <v>#N/A</v>
      </c>
    </row>
    <row r="128" spans="1:15" x14ac:dyDescent="0.25">
      <c r="A128" t="s">
        <v>6</v>
      </c>
      <c r="B128" t="s">
        <v>23</v>
      </c>
      <c r="C128" s="3" t="str">
        <f>IF($B128="GW1",VLOOKUP($A128,Matches!$A:$AC,2,FALSE),IF($B128="GW2",VLOOKUP($A128,Matches!$A:$AC,9,FALSE),IF($B128="GW3",VLOOKUP($A128,Matches!$A:$AC,16,FALSE))))</f>
        <v>Liverpool</v>
      </c>
      <c r="D128" s="6">
        <v>0.10823565065861392</v>
      </c>
      <c r="E128" s="6">
        <v>0.74682598954443602</v>
      </c>
      <c r="F128" s="6">
        <v>-0.63859033888582206</v>
      </c>
      <c r="G128" s="3" t="s">
        <v>0</v>
      </c>
      <c r="H128" t="e">
        <v>#N/A</v>
      </c>
      <c r="I128" t="e">
        <v>#N/A</v>
      </c>
      <c r="J128" t="e">
        <v>#N/A</v>
      </c>
      <c r="K128">
        <v>7.4074074000000004E-2</v>
      </c>
      <c r="L128">
        <v>0.73221757300000001</v>
      </c>
      <c r="M128">
        <v>0.29039301299999998</v>
      </c>
      <c r="N128" t="e">
        <v>#N/A</v>
      </c>
      <c r="O128" t="e">
        <v>#N/A</v>
      </c>
    </row>
    <row r="129" spans="1:15" x14ac:dyDescent="0.25">
      <c r="A129" t="s">
        <v>6</v>
      </c>
      <c r="B129" t="s">
        <v>23</v>
      </c>
      <c r="C129" s="3" t="str">
        <f>IF($B129="GW1",VLOOKUP($A129,Matches!$A:$AC,2,FALSE),IF($B129="GW2",VLOOKUP($A129,Matches!$A:$AC,9,FALSE),IF($B129="GW3",VLOOKUP($A129,Matches!$A:$AC,16,FALSE))))</f>
        <v>Liverpool</v>
      </c>
      <c r="D129" s="6">
        <v>0.10823565065861392</v>
      </c>
      <c r="E129" s="6">
        <v>0.74682598954443602</v>
      </c>
      <c r="F129" s="6">
        <v>-0.63859033888582206</v>
      </c>
      <c r="G129" s="3" t="s">
        <v>0</v>
      </c>
      <c r="H129">
        <v>0.14652014699999999</v>
      </c>
      <c r="I129">
        <v>9.5238094999999995E-2</v>
      </c>
      <c r="J129">
        <v>0.29304029300000001</v>
      </c>
      <c r="K129">
        <v>7.4074074000000004E-2</v>
      </c>
      <c r="L129">
        <v>0.73221757300000001</v>
      </c>
      <c r="M129">
        <v>0.29039301299999998</v>
      </c>
      <c r="N129" t="e">
        <v>#N/A</v>
      </c>
      <c r="O129" t="e">
        <v>#N/A</v>
      </c>
    </row>
    <row r="130" spans="1:15" x14ac:dyDescent="0.25">
      <c r="A130" t="s">
        <v>6</v>
      </c>
      <c r="B130" t="s">
        <v>23</v>
      </c>
      <c r="C130" s="3" t="str">
        <f>IF($B130="GW1",VLOOKUP($A130,Matches!$A:$AC,2,FALSE),IF($B130="GW2",VLOOKUP($A130,Matches!$A:$AC,9,FALSE),IF($B130="GW3",VLOOKUP($A130,Matches!$A:$AC,16,FALSE))))</f>
        <v>Liverpool</v>
      </c>
      <c r="D130" s="6">
        <v>0.10823565065861392</v>
      </c>
      <c r="E130" s="6">
        <v>0.74682598954443602</v>
      </c>
      <c r="F130" s="6">
        <v>-0.63859033888582206</v>
      </c>
      <c r="G130" s="3" t="s">
        <v>0</v>
      </c>
      <c r="H130">
        <v>0.13605442200000001</v>
      </c>
      <c r="I130">
        <v>7.3260072999999995E-2</v>
      </c>
      <c r="J130">
        <v>0.36350418000000001</v>
      </c>
      <c r="K130">
        <v>7.4074074000000004E-2</v>
      </c>
      <c r="L130">
        <v>0.73221757300000001</v>
      </c>
      <c r="M130">
        <v>0.29039301299999998</v>
      </c>
      <c r="N130" t="e">
        <v>#N/A</v>
      </c>
      <c r="O130" t="e">
        <v>#N/A</v>
      </c>
    </row>
    <row r="131" spans="1:15" x14ac:dyDescent="0.25">
      <c r="A131" t="s">
        <v>6</v>
      </c>
      <c r="B131" t="s">
        <v>23</v>
      </c>
      <c r="C131" s="3" t="str">
        <f>IF($B131="GW1",VLOOKUP($A131,Matches!$A:$AC,2,FALSE),IF($B131="GW2",VLOOKUP($A131,Matches!$A:$AC,9,FALSE),IF($B131="GW3",VLOOKUP($A131,Matches!$A:$AC,16,FALSE))))</f>
        <v>Liverpool</v>
      </c>
      <c r="D131" s="6">
        <v>0.10823565065861392</v>
      </c>
      <c r="E131" s="6">
        <v>0.74682598954443602</v>
      </c>
      <c r="F131" s="6">
        <v>-0.63859033888582206</v>
      </c>
      <c r="G131" s="3" t="s">
        <v>0</v>
      </c>
      <c r="H131" t="e">
        <v>#N/A</v>
      </c>
      <c r="I131" t="e">
        <v>#N/A</v>
      </c>
      <c r="J131" t="e">
        <v>#N/A</v>
      </c>
      <c r="K131">
        <v>7.4074074000000004E-2</v>
      </c>
      <c r="L131">
        <v>0.73221757300000001</v>
      </c>
      <c r="M131">
        <v>0.29039301299999998</v>
      </c>
      <c r="N131" t="e">
        <v>#N/A</v>
      </c>
      <c r="O131" t="e">
        <v>#N/A</v>
      </c>
    </row>
    <row r="132" spans="1:15" x14ac:dyDescent="0.25">
      <c r="A132" t="s">
        <v>6</v>
      </c>
      <c r="B132" t="s">
        <v>23</v>
      </c>
      <c r="C132" s="3" t="str">
        <f>IF($B132="GW1",VLOOKUP($A132,Matches!$A:$AC,2,FALSE),IF($B132="GW2",VLOOKUP($A132,Matches!$A:$AC,9,FALSE),IF($B132="GW3",VLOOKUP($A132,Matches!$A:$AC,16,FALSE))))</f>
        <v>Liverpool</v>
      </c>
      <c r="D132" s="6">
        <v>0.10823565065861392</v>
      </c>
      <c r="E132" s="6">
        <v>0.74682598954443602</v>
      </c>
      <c r="F132" s="6">
        <v>-0.63859033888582206</v>
      </c>
      <c r="G132" s="3" t="s">
        <v>0</v>
      </c>
      <c r="H132">
        <v>0.126984127</v>
      </c>
      <c r="I132">
        <v>0.105820106</v>
      </c>
      <c r="J132">
        <v>0.23809523799999999</v>
      </c>
      <c r="K132">
        <v>7.4074074000000004E-2</v>
      </c>
      <c r="L132">
        <v>0.73221757300000001</v>
      </c>
      <c r="M132">
        <v>0.29039301299999998</v>
      </c>
      <c r="N132" t="e">
        <v>#N/A</v>
      </c>
      <c r="O132" t="e">
        <v>#N/A</v>
      </c>
    </row>
    <row r="133" spans="1:15" x14ac:dyDescent="0.25">
      <c r="A133" t="s">
        <v>6</v>
      </c>
      <c r="B133" t="s">
        <v>23</v>
      </c>
      <c r="C133" s="3" t="str">
        <f>IF($B133="GW1",VLOOKUP($A133,Matches!$A:$AC,2,FALSE),IF($B133="GW2",VLOOKUP($A133,Matches!$A:$AC,9,FALSE),IF($B133="GW3",VLOOKUP($A133,Matches!$A:$AC,16,FALSE))))</f>
        <v>Liverpool</v>
      </c>
      <c r="D133" s="6">
        <v>0.10823565065861392</v>
      </c>
      <c r="E133" s="6">
        <v>0.74682598954443602</v>
      </c>
      <c r="F133" s="6">
        <v>-0.63859033888582206</v>
      </c>
      <c r="G133" s="3" t="s">
        <v>0</v>
      </c>
      <c r="H133" t="e">
        <v>#N/A</v>
      </c>
      <c r="I133" t="e">
        <v>#N/A</v>
      </c>
      <c r="J133" t="e">
        <v>#N/A</v>
      </c>
      <c r="K133">
        <v>7.4074074000000004E-2</v>
      </c>
      <c r="L133">
        <v>0.73221757300000001</v>
      </c>
      <c r="M133">
        <v>0.29039301299999998</v>
      </c>
      <c r="N133" t="e">
        <v>#N/A</v>
      </c>
      <c r="O133" t="e">
        <v>#N/A</v>
      </c>
    </row>
    <row r="134" spans="1:15" x14ac:dyDescent="0.25">
      <c r="A134" t="s">
        <v>6</v>
      </c>
      <c r="B134" t="s">
        <v>23</v>
      </c>
      <c r="C134" s="3" t="str">
        <f>IF($B134="GW1",VLOOKUP($A134,Matches!$A:$AC,2,FALSE),IF($B134="GW2",VLOOKUP($A134,Matches!$A:$AC,9,FALSE),IF($B134="GW3",VLOOKUP($A134,Matches!$A:$AC,16,FALSE))))</f>
        <v>Liverpool</v>
      </c>
      <c r="D134" s="6">
        <v>0.10823565065861392</v>
      </c>
      <c r="E134" s="6">
        <v>0.74682598954443602</v>
      </c>
      <c r="F134" s="6">
        <v>-0.63859033888582206</v>
      </c>
      <c r="G134" s="3" t="s">
        <v>0</v>
      </c>
      <c r="H134" t="e">
        <v>#N/A</v>
      </c>
      <c r="I134" t="e">
        <v>#N/A</v>
      </c>
      <c r="J134" t="e">
        <v>#N/A</v>
      </c>
      <c r="K134">
        <v>7.4074074000000004E-2</v>
      </c>
      <c r="L134">
        <v>0.73221757300000001</v>
      </c>
      <c r="M134">
        <v>0.29039301299999998</v>
      </c>
      <c r="N134" t="e">
        <v>#N/A</v>
      </c>
      <c r="O134" t="e">
        <v>#N/A</v>
      </c>
    </row>
    <row r="135" spans="1:15" x14ac:dyDescent="0.25">
      <c r="A135" t="s">
        <v>6</v>
      </c>
      <c r="B135" t="s">
        <v>23</v>
      </c>
      <c r="C135" s="3" t="str">
        <f>IF($B135="GW1",VLOOKUP($A135,Matches!$A:$AC,2,FALSE),IF($B135="GW2",VLOOKUP($A135,Matches!$A:$AC,9,FALSE),IF($B135="GW3",VLOOKUP($A135,Matches!$A:$AC,16,FALSE))))</f>
        <v>Liverpool</v>
      </c>
      <c r="D135" s="6">
        <v>0.10823565065861392</v>
      </c>
      <c r="E135" s="6">
        <v>0.74682598954443602</v>
      </c>
      <c r="F135" s="6">
        <v>-0.63859033888582206</v>
      </c>
      <c r="G135" s="3" t="s">
        <v>0</v>
      </c>
      <c r="H135" t="e">
        <v>#N/A</v>
      </c>
      <c r="I135" t="e">
        <v>#N/A</v>
      </c>
      <c r="J135" t="e">
        <v>#N/A</v>
      </c>
      <c r="K135">
        <v>7.4074074000000004E-2</v>
      </c>
      <c r="L135">
        <v>0.73221757300000001</v>
      </c>
      <c r="M135">
        <v>0.29039301299999998</v>
      </c>
      <c r="N135" t="e">
        <v>#N/A</v>
      </c>
      <c r="O135" t="e">
        <v>#N/A</v>
      </c>
    </row>
    <row r="136" spans="1:15" x14ac:dyDescent="0.25">
      <c r="A136" t="s">
        <v>6</v>
      </c>
      <c r="B136" t="s">
        <v>23</v>
      </c>
      <c r="C136" s="3" t="str">
        <f>IF($B136="GW1",VLOOKUP($A136,Matches!$A:$AC,2,FALSE),IF($B136="GW2",VLOOKUP($A136,Matches!$A:$AC,9,FALSE),IF($B136="GW3",VLOOKUP($A136,Matches!$A:$AC,16,FALSE))))</f>
        <v>Liverpool</v>
      </c>
      <c r="D136" s="6">
        <v>0.10823565065861392</v>
      </c>
      <c r="E136" s="6">
        <v>0.74682598954443602</v>
      </c>
      <c r="F136" s="6">
        <v>-0.63859033888582206</v>
      </c>
      <c r="G136" s="3" t="s">
        <v>0</v>
      </c>
      <c r="H136">
        <v>9.5238094999999995E-2</v>
      </c>
      <c r="I136">
        <v>8.6580087E-2</v>
      </c>
      <c r="J136">
        <v>0.253968254</v>
      </c>
      <c r="K136">
        <v>7.4074074000000004E-2</v>
      </c>
      <c r="L136">
        <v>0.73221757300000001</v>
      </c>
      <c r="M136">
        <v>0.29039301299999998</v>
      </c>
      <c r="N136" t="e">
        <v>#N/A</v>
      </c>
      <c r="O136" t="e">
        <v>#N/A</v>
      </c>
    </row>
    <row r="137" spans="1:15" x14ac:dyDescent="0.25">
      <c r="A137" t="s">
        <v>6</v>
      </c>
      <c r="B137" t="s">
        <v>23</v>
      </c>
      <c r="C137" s="3" t="str">
        <f>IF($B137="GW1",VLOOKUP($A137,Matches!$A:$AC,2,FALSE),IF($B137="GW2",VLOOKUP($A137,Matches!$A:$AC,9,FALSE),IF($B137="GW3",VLOOKUP($A137,Matches!$A:$AC,16,FALSE))))</f>
        <v>Liverpool</v>
      </c>
      <c r="D137" s="6">
        <v>0.10823565065861392</v>
      </c>
      <c r="E137" s="6">
        <v>0.74682598954443602</v>
      </c>
      <c r="F137" s="6">
        <v>-0.63859033888582206</v>
      </c>
      <c r="G137" s="3" t="s">
        <v>0</v>
      </c>
      <c r="H137">
        <v>0.253968254</v>
      </c>
      <c r="I137">
        <v>6.3492063000000001E-2</v>
      </c>
      <c r="J137">
        <v>0.253968254</v>
      </c>
      <c r="K137">
        <v>7.4074074000000004E-2</v>
      </c>
      <c r="L137">
        <v>0.73221757300000001</v>
      </c>
      <c r="M137">
        <v>0.29039301299999998</v>
      </c>
      <c r="N137" t="e">
        <v>#N/A</v>
      </c>
      <c r="O137" t="e">
        <v>#N/A</v>
      </c>
    </row>
    <row r="138" spans="1:15" x14ac:dyDescent="0.25">
      <c r="A138" t="s">
        <v>6</v>
      </c>
      <c r="B138" t="s">
        <v>23</v>
      </c>
      <c r="C138" s="3" t="str">
        <f>IF($B138="GW1",VLOOKUP($A138,Matches!$A:$AC,2,FALSE),IF($B138="GW2",VLOOKUP($A138,Matches!$A:$AC,9,FALSE),IF($B138="GW3",VLOOKUP($A138,Matches!$A:$AC,16,FALSE))))</f>
        <v>Liverpool</v>
      </c>
      <c r="D138" s="6">
        <v>0.10823565065861392</v>
      </c>
      <c r="E138" s="6">
        <v>0.74682598954443602</v>
      </c>
      <c r="F138" s="6">
        <v>-0.63859033888582206</v>
      </c>
      <c r="G138" s="3" t="s">
        <v>0</v>
      </c>
      <c r="H138" t="e">
        <v>#N/A</v>
      </c>
      <c r="I138" t="e">
        <v>#N/A</v>
      </c>
      <c r="J138" t="e">
        <v>#N/A</v>
      </c>
      <c r="K138">
        <v>7.4074074000000004E-2</v>
      </c>
      <c r="L138">
        <v>0.73221757300000001</v>
      </c>
      <c r="M138">
        <v>0.29039301299999998</v>
      </c>
      <c r="N138" t="e">
        <v>#N/A</v>
      </c>
      <c r="O138" t="e">
        <v>#N/A</v>
      </c>
    </row>
    <row r="139" spans="1:15" x14ac:dyDescent="0.25">
      <c r="A139" t="s">
        <v>6</v>
      </c>
      <c r="B139" t="s">
        <v>23</v>
      </c>
      <c r="C139" s="3" t="str">
        <f>IF($B139="GW1",VLOOKUP($A139,Matches!$A:$AC,2,FALSE),IF($B139="GW2",VLOOKUP($A139,Matches!$A:$AC,9,FALSE),IF($B139="GW3",VLOOKUP($A139,Matches!$A:$AC,16,FALSE))))</f>
        <v>Liverpool</v>
      </c>
      <c r="D139" s="6">
        <v>0.10823565065861392</v>
      </c>
      <c r="E139" s="6">
        <v>0.74682598954443602</v>
      </c>
      <c r="F139" s="6">
        <v>-0.63859033888582206</v>
      </c>
      <c r="G139" s="3" t="s">
        <v>0</v>
      </c>
      <c r="H139" t="e">
        <v>#N/A</v>
      </c>
      <c r="I139" t="e">
        <v>#N/A</v>
      </c>
      <c r="J139" t="e">
        <v>#N/A</v>
      </c>
      <c r="K139">
        <v>7.4074074000000004E-2</v>
      </c>
      <c r="L139">
        <v>0.73221757300000001</v>
      </c>
      <c r="M139">
        <v>0.29039301299999998</v>
      </c>
      <c r="N139" t="e">
        <v>#N/A</v>
      </c>
      <c r="O139" t="e">
        <v>#N/A</v>
      </c>
    </row>
    <row r="140" spans="1:15" x14ac:dyDescent="0.25">
      <c r="A140" t="s">
        <v>6</v>
      </c>
      <c r="B140" t="s">
        <v>23</v>
      </c>
      <c r="C140" s="3" t="str">
        <f>IF($B140="GW1",VLOOKUP($A140,Matches!$A:$AC,2,FALSE),IF($B140="GW2",VLOOKUP($A140,Matches!$A:$AC,9,FALSE),IF($B140="GW3",VLOOKUP($A140,Matches!$A:$AC,16,FALSE))))</f>
        <v>Liverpool</v>
      </c>
      <c r="D140" s="6">
        <v>0.10823565065861392</v>
      </c>
      <c r="E140" s="6">
        <v>0.74682598954443602</v>
      </c>
      <c r="F140" s="6">
        <v>-0.63859033888582206</v>
      </c>
      <c r="G140" s="3" t="s">
        <v>0</v>
      </c>
      <c r="H140">
        <v>0.307219662</v>
      </c>
      <c r="I140">
        <v>8.6580087E-2</v>
      </c>
      <c r="J140">
        <v>0.29304029300000001</v>
      </c>
      <c r="K140">
        <v>7.4074074000000004E-2</v>
      </c>
      <c r="L140">
        <v>0.73221757300000001</v>
      </c>
      <c r="M140">
        <v>0.29039301299999998</v>
      </c>
      <c r="N140" t="e">
        <v>#N/A</v>
      </c>
      <c r="O140" t="e">
        <v>#N/A</v>
      </c>
    </row>
    <row r="141" spans="1:15" x14ac:dyDescent="0.25">
      <c r="A141" t="s">
        <v>7</v>
      </c>
      <c r="B141" t="s">
        <v>23</v>
      </c>
      <c r="C141" s="3" t="str">
        <f>IF($B141="GW1",VLOOKUP($A141,Matches!$A:$AC,2,FALSE),IF($B141="GW2",VLOOKUP($A141,Matches!$A:$AC,9,FALSE),IF($B141="GW3",VLOOKUP($A141,Matches!$A:$AC,16,FALSE))))</f>
        <v>Nott'm Forest</v>
      </c>
      <c r="D141" s="6">
        <v>0.2289796666056054</v>
      </c>
      <c r="E141" s="6">
        <v>0.50831088293600368</v>
      </c>
      <c r="F141" s="6">
        <v>-0.27933121633039826</v>
      </c>
      <c r="G141" s="3" t="s">
        <v>0</v>
      </c>
      <c r="H141" t="e">
        <v>#N/A</v>
      </c>
      <c r="I141" t="e">
        <v>#N/A</v>
      </c>
      <c r="J141">
        <v>0.23809523799999999</v>
      </c>
      <c r="K141">
        <v>0.25</v>
      </c>
      <c r="L141">
        <v>0.42257217800000002</v>
      </c>
      <c r="M141">
        <v>7.4074074000000004E-2</v>
      </c>
      <c r="N141">
        <v>0.68027210900000001</v>
      </c>
      <c r="O141">
        <v>0.15873015900000001</v>
      </c>
    </row>
    <row r="142" spans="1:15" x14ac:dyDescent="0.25">
      <c r="A142" t="s">
        <v>7</v>
      </c>
      <c r="B142" t="s">
        <v>23</v>
      </c>
      <c r="C142" s="3" t="str">
        <f>IF($B142="GW1",VLOOKUP($A142,Matches!$A:$AC,2,FALSE),IF($B142="GW2",VLOOKUP($A142,Matches!$A:$AC,9,FALSE),IF($B142="GW3",VLOOKUP($A142,Matches!$A:$AC,16,FALSE))))</f>
        <v>Nott'm Forest</v>
      </c>
      <c r="D142" s="6">
        <v>0.2289796666056054</v>
      </c>
      <c r="E142" s="6">
        <v>0.50831088293600368</v>
      </c>
      <c r="F142" s="6">
        <v>-0.27933121633039826</v>
      </c>
      <c r="G142" s="3" t="s">
        <v>0</v>
      </c>
      <c r="H142" t="e">
        <v>#N/A</v>
      </c>
      <c r="I142" t="e">
        <v>#N/A</v>
      </c>
      <c r="J142">
        <v>0.15873015900000001</v>
      </c>
      <c r="K142">
        <v>0.25</v>
      </c>
      <c r="L142">
        <v>0.42257217800000002</v>
      </c>
      <c r="M142">
        <v>7.4074074000000004E-2</v>
      </c>
      <c r="N142" t="e">
        <v>#N/A</v>
      </c>
      <c r="O142" t="e">
        <v>#N/A</v>
      </c>
    </row>
    <row r="143" spans="1:15" x14ac:dyDescent="0.25">
      <c r="A143" t="s">
        <v>7</v>
      </c>
      <c r="B143" t="s">
        <v>23</v>
      </c>
      <c r="C143" s="3" t="str">
        <f>IF($B143="GW1",VLOOKUP($A143,Matches!$A:$AC,2,FALSE),IF($B143="GW2",VLOOKUP($A143,Matches!$A:$AC,9,FALSE),IF($B143="GW3",VLOOKUP($A143,Matches!$A:$AC,16,FALSE))))</f>
        <v>Nott'm Forest</v>
      </c>
      <c r="D143" s="6">
        <v>0.2289796666056054</v>
      </c>
      <c r="E143" s="6">
        <v>0.50831088293600368</v>
      </c>
      <c r="F143" s="6">
        <v>-0.27933121633039826</v>
      </c>
      <c r="G143" s="3" t="s">
        <v>0</v>
      </c>
      <c r="H143" t="e">
        <v>#N/A</v>
      </c>
      <c r="I143" t="e">
        <v>#N/A</v>
      </c>
      <c r="J143">
        <v>0.126984127</v>
      </c>
      <c r="K143">
        <v>0.25</v>
      </c>
      <c r="L143">
        <v>0.42257217800000002</v>
      </c>
      <c r="M143">
        <v>7.4074074000000004E-2</v>
      </c>
      <c r="N143" t="e">
        <v>#N/A</v>
      </c>
      <c r="O143" t="e">
        <v>#N/A</v>
      </c>
    </row>
    <row r="144" spans="1:15" x14ac:dyDescent="0.25">
      <c r="A144" t="s">
        <v>7</v>
      </c>
      <c r="B144" t="s">
        <v>23</v>
      </c>
      <c r="C144" s="3" t="str">
        <f>IF($B144="GW1",VLOOKUP($A144,Matches!$A:$AC,2,FALSE),IF($B144="GW2",VLOOKUP($A144,Matches!$A:$AC,9,FALSE),IF($B144="GW3",VLOOKUP($A144,Matches!$A:$AC,16,FALSE))))</f>
        <v>Nott'm Forest</v>
      </c>
      <c r="D144" s="6">
        <v>0.2289796666056054</v>
      </c>
      <c r="E144" s="6">
        <v>0.50831088293600368</v>
      </c>
      <c r="F144" s="6">
        <v>-0.27933121633039826</v>
      </c>
      <c r="G144" s="3" t="s">
        <v>0</v>
      </c>
      <c r="H144" t="e">
        <v>#N/A</v>
      </c>
      <c r="I144" t="e">
        <v>#N/A</v>
      </c>
      <c r="J144">
        <v>0.15873015900000001</v>
      </c>
      <c r="K144">
        <v>0.25</v>
      </c>
      <c r="L144">
        <v>0.42257217800000002</v>
      </c>
      <c r="M144">
        <v>7.4074074000000004E-2</v>
      </c>
      <c r="N144" t="e">
        <v>#N/A</v>
      </c>
      <c r="O144" t="e">
        <v>#N/A</v>
      </c>
    </row>
    <row r="145" spans="1:15" x14ac:dyDescent="0.25">
      <c r="A145" t="s">
        <v>7</v>
      </c>
      <c r="B145" t="s">
        <v>23</v>
      </c>
      <c r="C145" s="3" t="str">
        <f>IF($B145="GW1",VLOOKUP($A145,Matches!$A:$AC,2,FALSE),IF($B145="GW2",VLOOKUP($A145,Matches!$A:$AC,9,FALSE),IF($B145="GW3",VLOOKUP($A145,Matches!$A:$AC,16,FALSE))))</f>
        <v>Nott'm Forest</v>
      </c>
      <c r="D145" s="6">
        <v>0.2289796666056054</v>
      </c>
      <c r="E145" s="6">
        <v>0.50831088293600368</v>
      </c>
      <c r="F145" s="6">
        <v>-0.27933121633039826</v>
      </c>
      <c r="G145" s="3" t="s">
        <v>0</v>
      </c>
      <c r="H145" t="e">
        <v>#N/A</v>
      </c>
      <c r="I145" t="e">
        <v>#N/A</v>
      </c>
      <c r="J145" t="e">
        <v>#N/A</v>
      </c>
      <c r="K145">
        <v>0.25</v>
      </c>
      <c r="L145">
        <v>0.42257217800000002</v>
      </c>
      <c r="M145">
        <v>7.4074074000000004E-2</v>
      </c>
      <c r="N145" t="e">
        <v>#N/A</v>
      </c>
      <c r="O145" t="e">
        <v>#N/A</v>
      </c>
    </row>
    <row r="146" spans="1:15" x14ac:dyDescent="0.25">
      <c r="A146" t="s">
        <v>7</v>
      </c>
      <c r="B146" t="s">
        <v>23</v>
      </c>
      <c r="C146" s="3" t="str">
        <f>IF($B146="GW1",VLOOKUP($A146,Matches!$A:$AC,2,FALSE),IF($B146="GW2",VLOOKUP($A146,Matches!$A:$AC,9,FALSE),IF($B146="GW3",VLOOKUP($A146,Matches!$A:$AC,16,FALSE))))</f>
        <v>Nott'm Forest</v>
      </c>
      <c r="D146" s="6">
        <v>0.2289796666056054</v>
      </c>
      <c r="E146" s="6">
        <v>0.50831088293600368</v>
      </c>
      <c r="F146" s="6">
        <v>-0.27933121633039826</v>
      </c>
      <c r="G146" s="3" t="s">
        <v>0</v>
      </c>
      <c r="H146">
        <v>7.3260072999999995E-2</v>
      </c>
      <c r="I146">
        <v>4.5351474000000003E-2</v>
      </c>
      <c r="J146">
        <v>0.27210884400000002</v>
      </c>
      <c r="K146">
        <v>0.25</v>
      </c>
      <c r="L146">
        <v>0.42257217800000002</v>
      </c>
      <c r="M146">
        <v>7.4074074000000004E-2</v>
      </c>
      <c r="N146" t="e">
        <v>#N/A</v>
      </c>
      <c r="O146" t="e">
        <v>#N/A</v>
      </c>
    </row>
    <row r="147" spans="1:15" x14ac:dyDescent="0.25">
      <c r="A147" t="s">
        <v>7</v>
      </c>
      <c r="B147" t="s">
        <v>23</v>
      </c>
      <c r="C147" s="3" t="str">
        <f>IF($B147="GW1",VLOOKUP($A147,Matches!$A:$AC,2,FALSE),IF($B147="GW2",VLOOKUP($A147,Matches!$A:$AC,9,FALSE),IF($B147="GW3",VLOOKUP($A147,Matches!$A:$AC,16,FALSE))))</f>
        <v>Nott'm Forest</v>
      </c>
      <c r="D147" s="6">
        <v>0.2289796666056054</v>
      </c>
      <c r="E147" s="6">
        <v>0.50831088293600368</v>
      </c>
      <c r="F147" s="6">
        <v>-0.27933121633039826</v>
      </c>
      <c r="G147" s="3" t="s">
        <v>0</v>
      </c>
      <c r="H147">
        <v>0.11904761899999999</v>
      </c>
      <c r="I147">
        <v>0.105820106</v>
      </c>
      <c r="J147">
        <v>0.31746031699999999</v>
      </c>
      <c r="K147">
        <v>0.25</v>
      </c>
      <c r="L147">
        <v>0.42257217800000002</v>
      </c>
      <c r="M147">
        <v>7.4074074000000004E-2</v>
      </c>
      <c r="N147" t="e">
        <v>#N/A</v>
      </c>
      <c r="O147" t="e">
        <v>#N/A</v>
      </c>
    </row>
    <row r="148" spans="1:15" x14ac:dyDescent="0.25">
      <c r="A148" t="s">
        <v>7</v>
      </c>
      <c r="B148" t="s">
        <v>23</v>
      </c>
      <c r="C148" s="3" t="str">
        <f>IF($B148="GW1",VLOOKUP($A148,Matches!$A:$AC,2,FALSE),IF($B148="GW2",VLOOKUP($A148,Matches!$A:$AC,9,FALSE),IF($B148="GW3",VLOOKUP($A148,Matches!$A:$AC,16,FALSE))))</f>
        <v>Nott'm Forest</v>
      </c>
      <c r="D148" s="6">
        <v>0.2289796666056054</v>
      </c>
      <c r="E148" s="6">
        <v>0.50831088293600368</v>
      </c>
      <c r="F148" s="6">
        <v>-0.27933121633039826</v>
      </c>
      <c r="G148" s="3" t="s">
        <v>0</v>
      </c>
      <c r="H148">
        <v>5.0125312999999998E-2</v>
      </c>
      <c r="I148">
        <v>7.3260072999999995E-2</v>
      </c>
      <c r="J148">
        <v>0.297619048</v>
      </c>
      <c r="K148">
        <v>0.25</v>
      </c>
      <c r="L148">
        <v>0.42257217800000002</v>
      </c>
      <c r="M148">
        <v>7.4074074000000004E-2</v>
      </c>
      <c r="N148" t="e">
        <v>#N/A</v>
      </c>
      <c r="O148" t="e">
        <v>#N/A</v>
      </c>
    </row>
    <row r="149" spans="1:15" x14ac:dyDescent="0.25">
      <c r="A149" t="s">
        <v>7</v>
      </c>
      <c r="B149" t="s">
        <v>23</v>
      </c>
      <c r="C149" s="3" t="str">
        <f>IF($B149="GW1",VLOOKUP($A149,Matches!$A:$AC,2,FALSE),IF($B149="GW2",VLOOKUP($A149,Matches!$A:$AC,9,FALSE),IF($B149="GW3",VLOOKUP($A149,Matches!$A:$AC,16,FALSE))))</f>
        <v>Nott'm Forest</v>
      </c>
      <c r="D149" s="6">
        <v>0.2289796666056054</v>
      </c>
      <c r="E149" s="6">
        <v>0.50831088293600368</v>
      </c>
      <c r="F149" s="6">
        <v>-0.27933121633039826</v>
      </c>
      <c r="G149" s="3" t="s">
        <v>0</v>
      </c>
      <c r="H149">
        <v>6.3492063000000001E-2</v>
      </c>
      <c r="I149">
        <v>7.3260072999999995E-2</v>
      </c>
      <c r="J149">
        <v>0.15873015900000001</v>
      </c>
      <c r="K149">
        <v>0.25</v>
      </c>
      <c r="L149">
        <v>0.42257217800000002</v>
      </c>
      <c r="M149">
        <v>7.4074074000000004E-2</v>
      </c>
      <c r="N149" t="e">
        <v>#N/A</v>
      </c>
      <c r="O149" t="e">
        <v>#N/A</v>
      </c>
    </row>
    <row r="150" spans="1:15" x14ac:dyDescent="0.25">
      <c r="A150" t="s">
        <v>7</v>
      </c>
      <c r="B150" t="s">
        <v>23</v>
      </c>
      <c r="C150" s="3" t="str">
        <f>IF($B150="GW1",VLOOKUP($A150,Matches!$A:$AC,2,FALSE),IF($B150="GW2",VLOOKUP($A150,Matches!$A:$AC,9,FALSE),IF($B150="GW3",VLOOKUP($A150,Matches!$A:$AC,16,FALSE))))</f>
        <v>Nott'm Forest</v>
      </c>
      <c r="D150" s="6">
        <v>0.2289796666056054</v>
      </c>
      <c r="E150" s="6">
        <v>0.50831088293600368</v>
      </c>
      <c r="F150" s="6">
        <v>-0.27933121633039826</v>
      </c>
      <c r="G150" s="3" t="s">
        <v>0</v>
      </c>
      <c r="H150">
        <v>7.3260072999999995E-2</v>
      </c>
      <c r="I150">
        <v>5.6022409000000002E-2</v>
      </c>
      <c r="J150">
        <v>0.346320346</v>
      </c>
      <c r="K150">
        <v>0.25</v>
      </c>
      <c r="L150">
        <v>0.42257217800000002</v>
      </c>
      <c r="M150">
        <v>7.4074074000000004E-2</v>
      </c>
      <c r="N150" t="e">
        <v>#N/A</v>
      </c>
      <c r="O150" t="e">
        <v>#N/A</v>
      </c>
    </row>
    <row r="151" spans="1:15" x14ac:dyDescent="0.25">
      <c r="A151" t="s">
        <v>7</v>
      </c>
      <c r="B151" t="s">
        <v>23</v>
      </c>
      <c r="C151" s="3" t="str">
        <f>IF($B151="GW1",VLOOKUP($A151,Matches!$A:$AC,2,FALSE),IF($B151="GW2",VLOOKUP($A151,Matches!$A:$AC,9,FALSE),IF($B151="GW3",VLOOKUP($A151,Matches!$A:$AC,16,FALSE))))</f>
        <v>Nott'm Forest</v>
      </c>
      <c r="D151" s="6">
        <v>0.2289796666056054</v>
      </c>
      <c r="E151" s="6">
        <v>0.50831088293600368</v>
      </c>
      <c r="F151" s="6">
        <v>-0.27933121633039826</v>
      </c>
      <c r="G151" s="3" t="s">
        <v>0</v>
      </c>
      <c r="H151">
        <v>7.3260072999999995E-2</v>
      </c>
      <c r="I151">
        <v>3.6630036999999997E-2</v>
      </c>
      <c r="J151">
        <v>0.15873015900000001</v>
      </c>
      <c r="K151">
        <v>0.25</v>
      </c>
      <c r="L151">
        <v>0.42257217800000002</v>
      </c>
      <c r="M151">
        <v>7.4074074000000004E-2</v>
      </c>
      <c r="N151" t="e">
        <v>#N/A</v>
      </c>
      <c r="O151" t="e">
        <v>#N/A</v>
      </c>
    </row>
    <row r="152" spans="1:15" x14ac:dyDescent="0.25">
      <c r="A152" t="s">
        <v>7</v>
      </c>
      <c r="B152" t="s">
        <v>23</v>
      </c>
      <c r="C152" s="3" t="str">
        <f>IF($B152="GW1",VLOOKUP($A152,Matches!$A:$AC,2,FALSE),IF($B152="GW2",VLOOKUP($A152,Matches!$A:$AC,9,FALSE),IF($B152="GW3",VLOOKUP($A152,Matches!$A:$AC,16,FALSE))))</f>
        <v>Nott'm Forest</v>
      </c>
      <c r="D152" s="6">
        <v>0.2289796666056054</v>
      </c>
      <c r="E152" s="6">
        <v>0.50831088293600368</v>
      </c>
      <c r="F152" s="6">
        <v>-0.27933121633039826</v>
      </c>
      <c r="G152" s="3" t="s">
        <v>0</v>
      </c>
      <c r="H152" t="e">
        <v>#N/A</v>
      </c>
      <c r="I152" t="e">
        <v>#N/A</v>
      </c>
      <c r="J152" t="e">
        <v>#N/A</v>
      </c>
      <c r="K152">
        <v>0.25</v>
      </c>
      <c r="L152">
        <v>0.42257217800000002</v>
      </c>
      <c r="M152">
        <v>7.4074074000000004E-2</v>
      </c>
      <c r="N152" t="e">
        <v>#N/A</v>
      </c>
      <c r="O152" t="e">
        <v>#N/A</v>
      </c>
    </row>
    <row r="153" spans="1:15" x14ac:dyDescent="0.25">
      <c r="A153" t="s">
        <v>7</v>
      </c>
      <c r="B153" t="s">
        <v>23</v>
      </c>
      <c r="C153" s="3" t="str">
        <f>IF($B153="GW1",VLOOKUP($A153,Matches!$A:$AC,2,FALSE),IF($B153="GW2",VLOOKUP($A153,Matches!$A:$AC,9,FALSE),IF($B153="GW3",VLOOKUP($A153,Matches!$A:$AC,16,FALSE))))</f>
        <v>Nott'm Forest</v>
      </c>
      <c r="D153" s="6">
        <v>0.2289796666056054</v>
      </c>
      <c r="E153" s="6">
        <v>0.50831088293600368</v>
      </c>
      <c r="F153" s="6">
        <v>-0.27933121633039826</v>
      </c>
      <c r="G153" s="3" t="s">
        <v>0</v>
      </c>
      <c r="H153">
        <v>5.0125312999999998E-2</v>
      </c>
      <c r="I153">
        <v>2.8011204000000001E-2</v>
      </c>
      <c r="J153">
        <v>0.27210884400000002</v>
      </c>
      <c r="K153">
        <v>0.25</v>
      </c>
      <c r="L153">
        <v>0.42257217800000002</v>
      </c>
      <c r="M153">
        <v>7.4074074000000004E-2</v>
      </c>
      <c r="N153" t="e">
        <v>#N/A</v>
      </c>
      <c r="O153" t="e">
        <v>#N/A</v>
      </c>
    </row>
    <row r="154" spans="1:15" x14ac:dyDescent="0.25">
      <c r="A154" t="s">
        <v>7</v>
      </c>
      <c r="B154" t="s">
        <v>23</v>
      </c>
      <c r="C154" s="3" t="str">
        <f>IF($B154="GW1",VLOOKUP($A154,Matches!$A:$AC,2,FALSE),IF($B154="GW2",VLOOKUP($A154,Matches!$A:$AC,9,FALSE),IF($B154="GW3",VLOOKUP($A154,Matches!$A:$AC,16,FALSE))))</f>
        <v>Nott'm Forest</v>
      </c>
      <c r="D154" s="6">
        <v>0.2289796666056054</v>
      </c>
      <c r="E154" s="6">
        <v>0.50831088293600368</v>
      </c>
      <c r="F154" s="6">
        <v>-0.27933121633039826</v>
      </c>
      <c r="G154" s="3" t="s">
        <v>0</v>
      </c>
      <c r="H154">
        <v>7.3260072999999995E-2</v>
      </c>
      <c r="I154">
        <v>5.0125312999999998E-2</v>
      </c>
      <c r="J154">
        <v>0.27210884400000002</v>
      </c>
      <c r="K154">
        <v>0.25</v>
      </c>
      <c r="L154">
        <v>0.42257217800000002</v>
      </c>
      <c r="M154">
        <v>7.4074074000000004E-2</v>
      </c>
      <c r="N154" t="e">
        <v>#N/A</v>
      </c>
      <c r="O154" t="e">
        <v>#N/A</v>
      </c>
    </row>
    <row r="155" spans="1:15" x14ac:dyDescent="0.25">
      <c r="A155" t="s">
        <v>7</v>
      </c>
      <c r="B155" t="s">
        <v>23</v>
      </c>
      <c r="C155" s="3" t="str">
        <f>IF($B155="GW1",VLOOKUP($A155,Matches!$A:$AC,2,FALSE),IF($B155="GW2",VLOOKUP($A155,Matches!$A:$AC,9,FALSE),IF($B155="GW3",VLOOKUP($A155,Matches!$A:$AC,16,FALSE))))</f>
        <v>Nott'm Forest</v>
      </c>
      <c r="D155" s="6">
        <v>0.2289796666056054</v>
      </c>
      <c r="E155" s="6">
        <v>0.50831088293600368</v>
      </c>
      <c r="F155" s="6">
        <v>-0.27933121633039826</v>
      </c>
      <c r="G155" s="3" t="s">
        <v>0</v>
      </c>
      <c r="H155" t="e">
        <v>#N/A</v>
      </c>
      <c r="I155" t="e">
        <v>#N/A</v>
      </c>
      <c r="J155" t="e">
        <v>#N/A</v>
      </c>
      <c r="K155">
        <v>0.25</v>
      </c>
      <c r="L155">
        <v>0.42257217800000002</v>
      </c>
      <c r="M155">
        <v>7.4074074000000004E-2</v>
      </c>
      <c r="N155" t="e">
        <v>#N/A</v>
      </c>
      <c r="O155" t="e">
        <v>#N/A</v>
      </c>
    </row>
    <row r="156" spans="1:15" x14ac:dyDescent="0.25">
      <c r="A156" t="s">
        <v>7</v>
      </c>
      <c r="B156" t="s">
        <v>23</v>
      </c>
      <c r="C156" s="3" t="str">
        <f>IF($B156="GW1",VLOOKUP($A156,Matches!$A:$AC,2,FALSE),IF($B156="GW2",VLOOKUP($A156,Matches!$A:$AC,9,FALSE),IF($B156="GW3",VLOOKUP($A156,Matches!$A:$AC,16,FALSE))))</f>
        <v>Nott'm Forest</v>
      </c>
      <c r="D156" s="6">
        <v>0.2289796666056054</v>
      </c>
      <c r="E156" s="6">
        <v>0.50831088293600368</v>
      </c>
      <c r="F156" s="6">
        <v>-0.27933121633039826</v>
      </c>
      <c r="G156" s="3" t="s">
        <v>0</v>
      </c>
      <c r="H156">
        <v>7.3260072999999995E-2</v>
      </c>
      <c r="I156">
        <v>3.6630036999999997E-2</v>
      </c>
      <c r="J156">
        <v>0.297619048</v>
      </c>
      <c r="K156">
        <v>0.25</v>
      </c>
      <c r="L156">
        <v>0.42257217800000002</v>
      </c>
      <c r="M156">
        <v>7.4074074000000004E-2</v>
      </c>
      <c r="N156" t="e">
        <v>#N/A</v>
      </c>
      <c r="O156" t="e">
        <v>#N/A</v>
      </c>
    </row>
    <row r="157" spans="1:15" x14ac:dyDescent="0.25">
      <c r="A157" t="s">
        <v>7</v>
      </c>
      <c r="B157" t="s">
        <v>23</v>
      </c>
      <c r="C157" s="3" t="str">
        <f>IF($B157="GW1",VLOOKUP($A157,Matches!$A:$AC,2,FALSE),IF($B157="GW2",VLOOKUP($A157,Matches!$A:$AC,9,FALSE),IF($B157="GW3",VLOOKUP($A157,Matches!$A:$AC,16,FALSE))))</f>
        <v>Nott'm Forest</v>
      </c>
      <c r="D157" s="6">
        <v>0.2289796666056054</v>
      </c>
      <c r="E157" s="6">
        <v>0.50831088293600368</v>
      </c>
      <c r="F157" s="6">
        <v>-0.27933121633039826</v>
      </c>
      <c r="G157" s="3" t="s">
        <v>0</v>
      </c>
      <c r="H157" t="e">
        <v>#N/A</v>
      </c>
      <c r="I157" t="e">
        <v>#N/A</v>
      </c>
      <c r="J157" t="e">
        <v>#N/A</v>
      </c>
      <c r="K157">
        <v>0.25</v>
      </c>
      <c r="L157">
        <v>0.42257217800000002</v>
      </c>
      <c r="M157">
        <v>7.4074074000000004E-2</v>
      </c>
      <c r="N157" t="e">
        <v>#N/A</v>
      </c>
      <c r="O157" t="e">
        <v>#N/A</v>
      </c>
    </row>
    <row r="158" spans="1:15" x14ac:dyDescent="0.25">
      <c r="A158" t="s">
        <v>7</v>
      </c>
      <c r="B158" t="s">
        <v>23</v>
      </c>
      <c r="C158" s="3" t="str">
        <f>IF($B158="GW1",VLOOKUP($A158,Matches!$A:$AC,2,FALSE),IF($B158="GW2",VLOOKUP($A158,Matches!$A:$AC,9,FALSE),IF($B158="GW3",VLOOKUP($A158,Matches!$A:$AC,16,FALSE))))</f>
        <v>Nott'm Forest</v>
      </c>
      <c r="D158" s="6">
        <v>0.2289796666056054</v>
      </c>
      <c r="E158" s="6">
        <v>0.50831088293600368</v>
      </c>
      <c r="F158" s="6">
        <v>-0.27933121633039826</v>
      </c>
      <c r="G158" s="3" t="s">
        <v>0</v>
      </c>
      <c r="H158" t="e">
        <v>#N/A</v>
      </c>
      <c r="I158" t="e">
        <v>#N/A</v>
      </c>
      <c r="J158" t="e">
        <v>#N/A</v>
      </c>
      <c r="K158">
        <v>0.25</v>
      </c>
      <c r="L158">
        <v>0.42257217800000002</v>
      </c>
      <c r="M158">
        <v>7.4074074000000004E-2</v>
      </c>
      <c r="N158" t="e">
        <v>#N/A</v>
      </c>
      <c r="O158" t="e">
        <v>#N/A</v>
      </c>
    </row>
    <row r="159" spans="1:15" x14ac:dyDescent="0.25">
      <c r="A159" t="s">
        <v>7</v>
      </c>
      <c r="B159" t="s">
        <v>23</v>
      </c>
      <c r="C159" s="3" t="str">
        <f>IF($B159="GW1",VLOOKUP($A159,Matches!$A:$AC,2,FALSE),IF($B159="GW2",VLOOKUP($A159,Matches!$A:$AC,9,FALSE),IF($B159="GW3",VLOOKUP($A159,Matches!$A:$AC,16,FALSE))))</f>
        <v>Nott'm Forest</v>
      </c>
      <c r="D159" s="6">
        <v>0.2289796666056054</v>
      </c>
      <c r="E159" s="6">
        <v>0.50831088293600368</v>
      </c>
      <c r="F159" s="6">
        <v>-0.27933121633039826</v>
      </c>
      <c r="G159" s="3" t="s">
        <v>0</v>
      </c>
      <c r="H159">
        <v>0.21164021199999999</v>
      </c>
      <c r="I159">
        <v>0.105820106</v>
      </c>
      <c r="J159">
        <v>0.27210884400000002</v>
      </c>
      <c r="K159">
        <v>0.25</v>
      </c>
      <c r="L159">
        <v>0.42257217800000002</v>
      </c>
      <c r="M159">
        <v>7.4074074000000004E-2</v>
      </c>
      <c r="N159" t="e">
        <v>#N/A</v>
      </c>
      <c r="O159" t="e">
        <v>#N/A</v>
      </c>
    </row>
    <row r="160" spans="1:15" x14ac:dyDescent="0.25">
      <c r="A160" t="s">
        <v>7</v>
      </c>
      <c r="B160" t="s">
        <v>23</v>
      </c>
      <c r="C160" s="3" t="str">
        <f>IF($B160="GW1",VLOOKUP($A160,Matches!$A:$AC,2,FALSE),IF($B160="GW2",VLOOKUP($A160,Matches!$A:$AC,9,FALSE),IF($B160="GW3",VLOOKUP($A160,Matches!$A:$AC,16,FALSE))))</f>
        <v>Nott'm Forest</v>
      </c>
      <c r="D160" s="6">
        <v>0.2289796666056054</v>
      </c>
      <c r="E160" s="6">
        <v>0.50831088293600368</v>
      </c>
      <c r="F160" s="6">
        <v>-0.27933121633039826</v>
      </c>
      <c r="G160" s="3" t="s">
        <v>0</v>
      </c>
      <c r="H160">
        <v>0.15873015900000001</v>
      </c>
      <c r="I160">
        <v>0.173160173</v>
      </c>
      <c r="J160">
        <v>0.15873015900000001</v>
      </c>
      <c r="K160">
        <v>0.25</v>
      </c>
      <c r="L160">
        <v>0.42257217800000002</v>
      </c>
      <c r="M160">
        <v>7.4074074000000004E-2</v>
      </c>
      <c r="N160" t="e">
        <v>#N/A</v>
      </c>
      <c r="O160" t="e">
        <v>#N/A</v>
      </c>
    </row>
    <row r="161" spans="1:15" x14ac:dyDescent="0.25">
      <c r="A161" t="s">
        <v>7</v>
      </c>
      <c r="B161" t="s">
        <v>23</v>
      </c>
      <c r="C161" s="3" t="str">
        <f>IF($B161="GW1",VLOOKUP($A161,Matches!$A:$AC,2,FALSE),IF($B161="GW2",VLOOKUP($A161,Matches!$A:$AC,9,FALSE),IF($B161="GW3",VLOOKUP($A161,Matches!$A:$AC,16,FALSE))))</f>
        <v>Nott'm Forest</v>
      </c>
      <c r="D161" s="6">
        <v>0.2289796666056054</v>
      </c>
      <c r="E161" s="6">
        <v>0.50831088293600368</v>
      </c>
      <c r="F161" s="6">
        <v>-0.27933121633039826</v>
      </c>
      <c r="G161" s="3" t="s">
        <v>0</v>
      </c>
      <c r="H161">
        <v>0.19047618999999999</v>
      </c>
      <c r="I161">
        <v>0.11904761899999999</v>
      </c>
      <c r="J161">
        <v>0.23809523799999999</v>
      </c>
      <c r="K161">
        <v>0.25</v>
      </c>
      <c r="L161">
        <v>0.42257217800000002</v>
      </c>
      <c r="M161">
        <v>7.4074074000000004E-2</v>
      </c>
      <c r="N161" t="e">
        <v>#N/A</v>
      </c>
      <c r="O161" t="e">
        <v>#N/A</v>
      </c>
    </row>
    <row r="162" spans="1:15" x14ac:dyDescent="0.25">
      <c r="A162" t="s">
        <v>7</v>
      </c>
      <c r="B162" t="s">
        <v>23</v>
      </c>
      <c r="C162" s="3" t="str">
        <f>IF($B162="GW1",VLOOKUP($A162,Matches!$A:$AC,2,FALSE),IF($B162="GW2",VLOOKUP($A162,Matches!$A:$AC,9,FALSE),IF($B162="GW3",VLOOKUP($A162,Matches!$A:$AC,16,FALSE))))</f>
        <v>Nott'm Forest</v>
      </c>
      <c r="D162" s="6">
        <v>0.2289796666056054</v>
      </c>
      <c r="E162" s="6">
        <v>0.50831088293600368</v>
      </c>
      <c r="F162" s="6">
        <v>-0.27933121633039826</v>
      </c>
      <c r="G162" s="3" t="s">
        <v>0</v>
      </c>
      <c r="H162">
        <v>0.20050125299999999</v>
      </c>
      <c r="I162">
        <v>0.11904761899999999</v>
      </c>
      <c r="J162">
        <v>0.20050125299999999</v>
      </c>
      <c r="K162">
        <v>0.25</v>
      </c>
      <c r="L162">
        <v>0.42257217800000002</v>
      </c>
      <c r="M162">
        <v>7.4074074000000004E-2</v>
      </c>
      <c r="N162" t="e">
        <v>#N/A</v>
      </c>
      <c r="O162" t="e">
        <v>#N/A</v>
      </c>
    </row>
    <row r="163" spans="1:15" x14ac:dyDescent="0.25">
      <c r="A163" t="s">
        <v>7</v>
      </c>
      <c r="B163" t="s">
        <v>23</v>
      </c>
      <c r="C163" s="3" t="str">
        <f>IF($B163="GW1",VLOOKUP($A163,Matches!$A:$AC,2,FALSE),IF($B163="GW2",VLOOKUP($A163,Matches!$A:$AC,9,FALSE),IF($B163="GW3",VLOOKUP($A163,Matches!$A:$AC,16,FALSE))))</f>
        <v>Nott'm Forest</v>
      </c>
      <c r="D163" s="6">
        <v>0.2289796666056054</v>
      </c>
      <c r="E163" s="6">
        <v>0.50831088293600368</v>
      </c>
      <c r="F163" s="6">
        <v>-0.27933121633039826</v>
      </c>
      <c r="G163" s="3" t="s">
        <v>0</v>
      </c>
      <c r="H163">
        <v>8.6580087E-2</v>
      </c>
      <c r="I163">
        <v>9.5238094999999995E-2</v>
      </c>
      <c r="J163">
        <v>0.27210884400000002</v>
      </c>
      <c r="K163">
        <v>0.25</v>
      </c>
      <c r="L163">
        <v>0.42257217800000002</v>
      </c>
      <c r="M163">
        <v>7.4074074000000004E-2</v>
      </c>
      <c r="N163" t="e">
        <v>#N/A</v>
      </c>
      <c r="O163" t="e">
        <v>#N/A</v>
      </c>
    </row>
    <row r="164" spans="1:15" x14ac:dyDescent="0.25">
      <c r="A164" t="s">
        <v>7</v>
      </c>
      <c r="B164" t="s">
        <v>23</v>
      </c>
      <c r="C164" s="3" t="str">
        <f>IF($B164="GW1",VLOOKUP($A164,Matches!$A:$AC,2,FALSE),IF($B164="GW2",VLOOKUP($A164,Matches!$A:$AC,9,FALSE),IF($B164="GW3",VLOOKUP($A164,Matches!$A:$AC,16,FALSE))))</f>
        <v>Nott'm Forest</v>
      </c>
      <c r="D164" s="6">
        <v>0.2289796666056054</v>
      </c>
      <c r="E164" s="6">
        <v>0.50831088293600368</v>
      </c>
      <c r="F164" s="6">
        <v>-0.27933121633039826</v>
      </c>
      <c r="G164" s="3" t="s">
        <v>0</v>
      </c>
      <c r="H164" t="e">
        <v>#N/A</v>
      </c>
      <c r="I164" t="e">
        <v>#N/A</v>
      </c>
      <c r="J164" t="e">
        <v>#N/A</v>
      </c>
      <c r="K164">
        <v>0.25</v>
      </c>
      <c r="L164">
        <v>0.42257217800000002</v>
      </c>
      <c r="M164">
        <v>7.4074074000000004E-2</v>
      </c>
      <c r="N164" t="e">
        <v>#N/A</v>
      </c>
      <c r="O164" t="e">
        <v>#N/A</v>
      </c>
    </row>
    <row r="165" spans="1:15" x14ac:dyDescent="0.25">
      <c r="A165" t="s">
        <v>7</v>
      </c>
      <c r="B165" t="s">
        <v>23</v>
      </c>
      <c r="C165" s="3" t="str">
        <f>IF($B165="GW1",VLOOKUP($A165,Matches!$A:$AC,2,FALSE),IF($B165="GW2",VLOOKUP($A165,Matches!$A:$AC,9,FALSE),IF($B165="GW3",VLOOKUP($A165,Matches!$A:$AC,16,FALSE))))</f>
        <v>Nott'm Forest</v>
      </c>
      <c r="D165" s="6">
        <v>0.2289796666056054</v>
      </c>
      <c r="E165" s="6">
        <v>0.50831088293600368</v>
      </c>
      <c r="F165" s="6">
        <v>-0.27933121633039826</v>
      </c>
      <c r="G165" s="3" t="s">
        <v>0</v>
      </c>
      <c r="H165">
        <v>8.6580087E-2</v>
      </c>
      <c r="I165">
        <v>0.14652014699999999</v>
      </c>
      <c r="J165">
        <v>0.19047618999999999</v>
      </c>
      <c r="K165">
        <v>0.25</v>
      </c>
      <c r="L165">
        <v>0.42257217800000002</v>
      </c>
      <c r="M165">
        <v>7.4074074000000004E-2</v>
      </c>
      <c r="N165" t="e">
        <v>#N/A</v>
      </c>
      <c r="O165" t="e">
        <v>#N/A</v>
      </c>
    </row>
    <row r="166" spans="1:15" x14ac:dyDescent="0.25">
      <c r="A166" t="s">
        <v>7</v>
      </c>
      <c r="B166" t="s">
        <v>23</v>
      </c>
      <c r="C166" s="3" t="str">
        <f>IF($B166="GW1",VLOOKUP($A166,Matches!$A:$AC,2,FALSE),IF($B166="GW2",VLOOKUP($A166,Matches!$A:$AC,9,FALSE),IF($B166="GW3",VLOOKUP($A166,Matches!$A:$AC,16,FALSE))))</f>
        <v>Nott'm Forest</v>
      </c>
      <c r="D166" s="6">
        <v>0.2289796666056054</v>
      </c>
      <c r="E166" s="6">
        <v>0.50831088293600368</v>
      </c>
      <c r="F166" s="6">
        <v>-0.27933121633039826</v>
      </c>
      <c r="G166" s="3" t="s">
        <v>0</v>
      </c>
      <c r="H166" t="e">
        <v>#N/A</v>
      </c>
      <c r="I166" t="e">
        <v>#N/A</v>
      </c>
      <c r="J166" t="e">
        <v>#N/A</v>
      </c>
      <c r="K166">
        <v>0.25</v>
      </c>
      <c r="L166">
        <v>0.42257217800000002</v>
      </c>
      <c r="M166">
        <v>7.4074074000000004E-2</v>
      </c>
      <c r="N166" t="e">
        <v>#N/A</v>
      </c>
      <c r="O166" t="e">
        <v>#N/A</v>
      </c>
    </row>
    <row r="167" spans="1:15" x14ac:dyDescent="0.25">
      <c r="A167" t="s">
        <v>7</v>
      </c>
      <c r="B167" t="s">
        <v>23</v>
      </c>
      <c r="C167" s="3" t="str">
        <f>IF($B167="GW1",VLOOKUP($A167,Matches!$A:$AC,2,FALSE),IF($B167="GW2",VLOOKUP($A167,Matches!$A:$AC,9,FALSE),IF($B167="GW3",VLOOKUP($A167,Matches!$A:$AC,16,FALSE))))</f>
        <v>Nott'm Forest</v>
      </c>
      <c r="D167" s="6">
        <v>0.2289796666056054</v>
      </c>
      <c r="E167" s="6">
        <v>0.50831088293600368</v>
      </c>
      <c r="F167" s="6">
        <v>-0.27933121633039826</v>
      </c>
      <c r="G167" s="3" t="s">
        <v>0</v>
      </c>
      <c r="H167">
        <v>0.105820106</v>
      </c>
      <c r="I167">
        <v>8.6580087E-2</v>
      </c>
      <c r="J167">
        <v>0.297619048</v>
      </c>
      <c r="K167">
        <v>0.25</v>
      </c>
      <c r="L167">
        <v>0.42257217800000002</v>
      </c>
      <c r="M167">
        <v>7.4074074000000004E-2</v>
      </c>
      <c r="N167" t="e">
        <v>#N/A</v>
      </c>
      <c r="O167" t="e">
        <v>#N/A</v>
      </c>
    </row>
    <row r="168" spans="1:15" x14ac:dyDescent="0.25">
      <c r="A168" t="s">
        <v>7</v>
      </c>
      <c r="B168" t="s">
        <v>23</v>
      </c>
      <c r="C168" s="3" t="str">
        <f>IF($B168="GW1",VLOOKUP($A168,Matches!$A:$AC,2,FALSE),IF($B168="GW2",VLOOKUP($A168,Matches!$A:$AC,9,FALSE),IF($B168="GW3",VLOOKUP($A168,Matches!$A:$AC,16,FALSE))))</f>
        <v>Nott'm Forest</v>
      </c>
      <c r="D168" s="6">
        <v>0.2289796666056054</v>
      </c>
      <c r="E168" s="6">
        <v>0.50831088293600368</v>
      </c>
      <c r="F168" s="6">
        <v>-0.27933121633039826</v>
      </c>
      <c r="G168" s="3" t="s">
        <v>0</v>
      </c>
      <c r="H168">
        <v>0.19047618999999999</v>
      </c>
      <c r="I168">
        <v>8.6580087E-2</v>
      </c>
      <c r="J168">
        <v>0.27210884400000002</v>
      </c>
      <c r="K168">
        <v>0.25</v>
      </c>
      <c r="L168">
        <v>0.42257217800000002</v>
      </c>
      <c r="M168">
        <v>7.4074074000000004E-2</v>
      </c>
      <c r="N168" t="e">
        <v>#N/A</v>
      </c>
      <c r="O168" t="e">
        <v>#N/A</v>
      </c>
    </row>
    <row r="169" spans="1:15" x14ac:dyDescent="0.25">
      <c r="A169" t="s">
        <v>7</v>
      </c>
      <c r="B169" t="s">
        <v>23</v>
      </c>
      <c r="C169" s="3" t="str">
        <f>IF($B169="GW1",VLOOKUP($A169,Matches!$A:$AC,2,FALSE),IF($B169="GW2",VLOOKUP($A169,Matches!$A:$AC,9,FALSE),IF($B169="GW3",VLOOKUP($A169,Matches!$A:$AC,16,FALSE))))</f>
        <v>Nott'm Forest</v>
      </c>
      <c r="D169" s="6">
        <v>0.2289796666056054</v>
      </c>
      <c r="E169" s="6">
        <v>0.50831088293600368</v>
      </c>
      <c r="F169" s="6">
        <v>-0.27933121633039826</v>
      </c>
      <c r="G169" s="3" t="s">
        <v>0</v>
      </c>
      <c r="H169">
        <v>0.14652014699999999</v>
      </c>
      <c r="I169">
        <v>7.3260072999999995E-2</v>
      </c>
      <c r="J169">
        <v>0.21994941200000001</v>
      </c>
      <c r="K169">
        <v>0.25</v>
      </c>
      <c r="L169">
        <v>0.42257217800000002</v>
      </c>
      <c r="M169">
        <v>7.4074074000000004E-2</v>
      </c>
      <c r="N169" t="e">
        <v>#N/A</v>
      </c>
      <c r="O169" t="e">
        <v>#N/A</v>
      </c>
    </row>
    <row r="170" spans="1:15" x14ac:dyDescent="0.25">
      <c r="A170" t="s">
        <v>7</v>
      </c>
      <c r="B170" t="s">
        <v>23</v>
      </c>
      <c r="C170" s="3" t="str">
        <f>IF($B170="GW1",VLOOKUP($A170,Matches!$A:$AC,2,FALSE),IF($B170="GW2",VLOOKUP($A170,Matches!$A:$AC,9,FALSE),IF($B170="GW3",VLOOKUP($A170,Matches!$A:$AC,16,FALSE))))</f>
        <v>Nott'm Forest</v>
      </c>
      <c r="D170" s="6">
        <v>0.2289796666056054</v>
      </c>
      <c r="E170" s="6">
        <v>0.50831088293600368</v>
      </c>
      <c r="F170" s="6">
        <v>-0.27933121633039826</v>
      </c>
      <c r="G170" s="3" t="s">
        <v>0</v>
      </c>
      <c r="H170">
        <v>0.105820106</v>
      </c>
      <c r="I170">
        <v>7.3260072999999995E-2</v>
      </c>
      <c r="J170">
        <v>0.31746031699999999</v>
      </c>
      <c r="K170">
        <v>0.25</v>
      </c>
      <c r="L170">
        <v>0.42257217800000002</v>
      </c>
      <c r="M170">
        <v>7.4074074000000004E-2</v>
      </c>
      <c r="N170" t="e">
        <v>#N/A</v>
      </c>
      <c r="O170" t="e">
        <v>#N/A</v>
      </c>
    </row>
    <row r="171" spans="1:15" x14ac:dyDescent="0.25">
      <c r="A171" t="s">
        <v>7</v>
      </c>
      <c r="B171" t="s">
        <v>23</v>
      </c>
      <c r="C171" s="3" t="str">
        <f>IF($B171="GW1",VLOOKUP($A171,Matches!$A:$AC,2,FALSE),IF($B171="GW2",VLOOKUP($A171,Matches!$A:$AC,9,FALSE),IF($B171="GW3",VLOOKUP($A171,Matches!$A:$AC,16,FALSE))))</f>
        <v>Nott'm Forest</v>
      </c>
      <c r="D171" s="6">
        <v>0.2289796666056054</v>
      </c>
      <c r="E171" s="6">
        <v>0.50831088293600368</v>
      </c>
      <c r="F171" s="6">
        <v>-0.27933121633039826</v>
      </c>
      <c r="G171" s="3" t="s">
        <v>0</v>
      </c>
      <c r="H171" t="e">
        <v>#N/A</v>
      </c>
      <c r="I171" t="e">
        <v>#N/A</v>
      </c>
      <c r="J171" t="e">
        <v>#N/A</v>
      </c>
      <c r="K171">
        <v>0.25</v>
      </c>
      <c r="L171">
        <v>0.42257217800000002</v>
      </c>
      <c r="M171">
        <v>7.4074074000000004E-2</v>
      </c>
      <c r="N171" t="e">
        <v>#N/A</v>
      </c>
      <c r="O171" t="e">
        <v>#N/A</v>
      </c>
    </row>
    <row r="172" spans="1:15" x14ac:dyDescent="0.25">
      <c r="A172" t="s">
        <v>7</v>
      </c>
      <c r="B172" t="s">
        <v>23</v>
      </c>
      <c r="C172" s="3" t="str">
        <f>IF($B172="GW1",VLOOKUP($A172,Matches!$A:$AC,2,FALSE),IF($B172="GW2",VLOOKUP($A172,Matches!$A:$AC,9,FALSE),IF($B172="GW3",VLOOKUP($A172,Matches!$A:$AC,16,FALSE))))</f>
        <v>Nott'm Forest</v>
      </c>
      <c r="D172" s="6">
        <v>0.2289796666056054</v>
      </c>
      <c r="E172" s="6">
        <v>0.50831088293600368</v>
      </c>
      <c r="F172" s="6">
        <v>-0.27933121633039826</v>
      </c>
      <c r="G172" s="3" t="s">
        <v>0</v>
      </c>
      <c r="H172" t="e">
        <v>#N/A</v>
      </c>
      <c r="I172" t="e">
        <v>#N/A</v>
      </c>
      <c r="J172" t="e">
        <v>#N/A</v>
      </c>
      <c r="K172">
        <v>0.25</v>
      </c>
      <c r="L172">
        <v>0.42257217800000002</v>
      </c>
      <c r="M172">
        <v>7.4074074000000004E-2</v>
      </c>
      <c r="N172" t="e">
        <v>#N/A</v>
      </c>
      <c r="O172" t="e">
        <v>#N/A</v>
      </c>
    </row>
    <row r="173" spans="1:15" x14ac:dyDescent="0.25">
      <c r="A173" t="s">
        <v>7</v>
      </c>
      <c r="B173" t="s">
        <v>23</v>
      </c>
      <c r="C173" s="3" t="str">
        <f>IF($B173="GW1",VLOOKUP($A173,Matches!$A:$AC,2,FALSE),IF($B173="GW2",VLOOKUP($A173,Matches!$A:$AC,9,FALSE),IF($B173="GW3",VLOOKUP($A173,Matches!$A:$AC,16,FALSE))))</f>
        <v>Nott'm Forest</v>
      </c>
      <c r="D173" s="6">
        <v>0.2289796666056054</v>
      </c>
      <c r="E173" s="6">
        <v>0.50831088293600368</v>
      </c>
      <c r="F173" s="6">
        <v>-0.27933121633039826</v>
      </c>
      <c r="G173" s="3" t="s">
        <v>0</v>
      </c>
      <c r="H173" t="e">
        <v>#N/A</v>
      </c>
      <c r="I173" t="e">
        <v>#N/A</v>
      </c>
      <c r="J173" t="e">
        <v>#N/A</v>
      </c>
      <c r="K173">
        <v>0.25</v>
      </c>
      <c r="L173">
        <v>0.42257217800000002</v>
      </c>
      <c r="M173">
        <v>7.4074074000000004E-2</v>
      </c>
      <c r="N173" t="e">
        <v>#N/A</v>
      </c>
      <c r="O173" t="e">
        <v>#N/A</v>
      </c>
    </row>
    <row r="174" spans="1:15" x14ac:dyDescent="0.25">
      <c r="A174" t="s">
        <v>7</v>
      </c>
      <c r="B174" t="s">
        <v>23</v>
      </c>
      <c r="C174" s="3" t="str">
        <f>IF($B174="GW1",VLOOKUP($A174,Matches!$A:$AC,2,FALSE),IF($B174="GW2",VLOOKUP($A174,Matches!$A:$AC,9,FALSE),IF($B174="GW3",VLOOKUP($A174,Matches!$A:$AC,16,FALSE))))</f>
        <v>Nott'm Forest</v>
      </c>
      <c r="D174" s="6">
        <v>0.2289796666056054</v>
      </c>
      <c r="E174" s="6">
        <v>0.50831088293600368</v>
      </c>
      <c r="F174" s="6">
        <v>-0.27933121633039826</v>
      </c>
      <c r="G174" s="3" t="s">
        <v>0</v>
      </c>
      <c r="H174" t="e">
        <v>#N/A</v>
      </c>
      <c r="I174" t="e">
        <v>#N/A</v>
      </c>
      <c r="J174" t="e">
        <v>#N/A</v>
      </c>
      <c r="K174">
        <v>0.25</v>
      </c>
      <c r="L174">
        <v>0.42257217800000002</v>
      </c>
      <c r="M174">
        <v>7.4074074000000004E-2</v>
      </c>
      <c r="N174" t="e">
        <v>#N/A</v>
      </c>
      <c r="O174" t="e">
        <v>#N/A</v>
      </c>
    </row>
    <row r="175" spans="1:15" x14ac:dyDescent="0.25">
      <c r="A175" t="s">
        <v>7</v>
      </c>
      <c r="B175" t="s">
        <v>23</v>
      </c>
      <c r="C175" s="3" t="str">
        <f>IF($B175="GW1",VLOOKUP($A175,Matches!$A:$AC,2,FALSE),IF($B175="GW2",VLOOKUP($A175,Matches!$A:$AC,9,FALSE),IF($B175="GW3",VLOOKUP($A175,Matches!$A:$AC,16,FALSE))))</f>
        <v>Nott'm Forest</v>
      </c>
      <c r="D175" s="6">
        <v>0.2289796666056054</v>
      </c>
      <c r="E175" s="6">
        <v>0.50831088293600368</v>
      </c>
      <c r="F175" s="6">
        <v>-0.27933121633039826</v>
      </c>
      <c r="G175" s="3" t="s">
        <v>0</v>
      </c>
      <c r="H175">
        <v>0.297619048</v>
      </c>
      <c r="I175">
        <v>8.6580087E-2</v>
      </c>
      <c r="J175">
        <v>0.31746031699999999</v>
      </c>
      <c r="K175">
        <v>0.25</v>
      </c>
      <c r="L175">
        <v>0.42257217800000002</v>
      </c>
      <c r="M175">
        <v>7.4074074000000004E-2</v>
      </c>
      <c r="N175" t="e">
        <v>#N/A</v>
      </c>
      <c r="O175" t="e">
        <v>#N/A</v>
      </c>
    </row>
    <row r="176" spans="1:15" x14ac:dyDescent="0.25">
      <c r="A176" t="s">
        <v>7</v>
      </c>
      <c r="B176" t="s">
        <v>23</v>
      </c>
      <c r="C176" s="3" t="str">
        <f>IF($B176="GW1",VLOOKUP($A176,Matches!$A:$AC,2,FALSE),IF($B176="GW2",VLOOKUP($A176,Matches!$A:$AC,9,FALSE),IF($B176="GW3",VLOOKUP($A176,Matches!$A:$AC,16,FALSE))))</f>
        <v>Nott'm Forest</v>
      </c>
      <c r="D176" s="6">
        <v>0.2289796666056054</v>
      </c>
      <c r="E176" s="6">
        <v>0.50831088293600368</v>
      </c>
      <c r="F176" s="6">
        <v>-0.27933121633039826</v>
      </c>
      <c r="G176" s="3" t="s">
        <v>0</v>
      </c>
      <c r="H176" t="e">
        <v>#N/A</v>
      </c>
      <c r="I176" t="e">
        <v>#N/A</v>
      </c>
      <c r="J176" t="e">
        <v>#N/A</v>
      </c>
      <c r="K176">
        <v>0.25</v>
      </c>
      <c r="L176">
        <v>0.42257217800000002</v>
      </c>
      <c r="M176">
        <v>7.4074074000000004E-2</v>
      </c>
      <c r="N176" t="e">
        <v>#N/A</v>
      </c>
      <c r="O176" t="e">
        <v>#N/A</v>
      </c>
    </row>
    <row r="177" spans="1:15" x14ac:dyDescent="0.25">
      <c r="A177" t="s">
        <v>8</v>
      </c>
      <c r="B177" t="s">
        <v>23</v>
      </c>
      <c r="C177" s="3" t="str">
        <f>IF($B177="GW1",VLOOKUP($A177,Matches!$A:$AC,2,FALSE),IF($B177="GW2",VLOOKUP($A177,Matches!$A:$AC,9,FALSE),IF($B177="GW3",VLOOKUP($A177,Matches!$A:$AC,16,FALSE))))</f>
        <v>Fulham</v>
      </c>
      <c r="D177" s="6">
        <v>0.52764879696074285</v>
      </c>
      <c r="E177" s="6">
        <v>0.22318937618569357</v>
      </c>
      <c r="F177" s="6">
        <v>0.30445942077504928</v>
      </c>
      <c r="G177" s="3" t="s">
        <v>1</v>
      </c>
      <c r="H177" t="e">
        <v>#N/A</v>
      </c>
      <c r="I177" t="e">
        <v>#N/A</v>
      </c>
      <c r="J177">
        <v>0.19047618999999999</v>
      </c>
      <c r="K177">
        <v>0.311926606</v>
      </c>
      <c r="L177">
        <v>0.33734939800000002</v>
      </c>
      <c r="M177">
        <v>4.6104928000000003E-2</v>
      </c>
      <c r="N177" t="e">
        <v>#N/A</v>
      </c>
      <c r="O177" t="e">
        <v>#N/A</v>
      </c>
    </row>
    <row r="178" spans="1:15" x14ac:dyDescent="0.25">
      <c r="A178" t="s">
        <v>8</v>
      </c>
      <c r="B178" t="s">
        <v>23</v>
      </c>
      <c r="C178" s="3" t="str">
        <f>IF($B178="GW1",VLOOKUP($A178,Matches!$A:$AC,2,FALSE),IF($B178="GW2",VLOOKUP($A178,Matches!$A:$AC,9,FALSE),IF($B178="GW3",VLOOKUP($A178,Matches!$A:$AC,16,FALSE))))</f>
        <v>Fulham</v>
      </c>
      <c r="D178" s="6">
        <v>0.52764879696074285</v>
      </c>
      <c r="E178" s="6">
        <v>0.22318937618569357</v>
      </c>
      <c r="F178" s="6">
        <v>0.30445942077504928</v>
      </c>
      <c r="G178" s="3" t="s">
        <v>1</v>
      </c>
      <c r="H178" t="e">
        <v>#N/A</v>
      </c>
      <c r="I178" t="e">
        <v>#N/A</v>
      </c>
      <c r="J178">
        <v>0.19047618999999999</v>
      </c>
      <c r="K178">
        <v>0.311926606</v>
      </c>
      <c r="L178">
        <v>0.33734939800000002</v>
      </c>
      <c r="M178">
        <v>4.6104928000000003E-2</v>
      </c>
      <c r="N178">
        <v>0.52910052900000004</v>
      </c>
      <c r="O178">
        <v>0</v>
      </c>
    </row>
    <row r="179" spans="1:15" x14ac:dyDescent="0.25">
      <c r="A179" t="s">
        <v>8</v>
      </c>
      <c r="B179" t="s">
        <v>23</v>
      </c>
      <c r="C179" s="3" t="str">
        <f>IF($B179="GW1",VLOOKUP($A179,Matches!$A:$AC,2,FALSE),IF($B179="GW2",VLOOKUP($A179,Matches!$A:$AC,9,FALSE),IF($B179="GW3",VLOOKUP($A179,Matches!$A:$AC,16,FALSE))))</f>
        <v>Fulham</v>
      </c>
      <c r="D179" s="6">
        <v>0.52764879696074285</v>
      </c>
      <c r="E179" s="6">
        <v>0.22318937618569357</v>
      </c>
      <c r="F179" s="6">
        <v>0.30445942077504928</v>
      </c>
      <c r="G179" s="3" t="s">
        <v>1</v>
      </c>
      <c r="H179" t="e">
        <v>#N/A</v>
      </c>
      <c r="I179" t="e">
        <v>#N/A</v>
      </c>
      <c r="J179" t="e">
        <v>#N/A</v>
      </c>
      <c r="K179">
        <v>0.311926606</v>
      </c>
      <c r="L179">
        <v>0.33734939800000002</v>
      </c>
      <c r="M179">
        <v>4.6104928000000003E-2</v>
      </c>
      <c r="N179" t="e">
        <v>#N/A</v>
      </c>
      <c r="O179" t="e">
        <v>#N/A</v>
      </c>
    </row>
    <row r="180" spans="1:15" x14ac:dyDescent="0.25">
      <c r="A180" t="s">
        <v>8</v>
      </c>
      <c r="B180" t="s">
        <v>23</v>
      </c>
      <c r="C180" s="3" t="str">
        <f>IF($B180="GW1",VLOOKUP($A180,Matches!$A:$AC,2,FALSE),IF($B180="GW2",VLOOKUP($A180,Matches!$A:$AC,9,FALSE),IF($B180="GW3",VLOOKUP($A180,Matches!$A:$AC,16,FALSE))))</f>
        <v>Fulham</v>
      </c>
      <c r="D180" s="6">
        <v>0.52764879696074285</v>
      </c>
      <c r="E180" s="6">
        <v>0.22318937618569357</v>
      </c>
      <c r="F180" s="6">
        <v>0.30445942077504928</v>
      </c>
      <c r="G180" s="3" t="s">
        <v>1</v>
      </c>
      <c r="H180" t="e">
        <v>#N/A</v>
      </c>
      <c r="I180" t="e">
        <v>#N/A</v>
      </c>
      <c r="J180" t="e">
        <v>#N/A</v>
      </c>
      <c r="K180">
        <v>0.311926606</v>
      </c>
      <c r="L180">
        <v>0.33734939800000002</v>
      </c>
      <c r="M180">
        <v>4.6104928000000003E-2</v>
      </c>
      <c r="N180" t="e">
        <v>#N/A</v>
      </c>
      <c r="O180" t="e">
        <v>#N/A</v>
      </c>
    </row>
    <row r="181" spans="1:15" x14ac:dyDescent="0.25">
      <c r="A181" t="s">
        <v>8</v>
      </c>
      <c r="B181" t="s">
        <v>23</v>
      </c>
      <c r="C181" s="3" t="str">
        <f>IF($B181="GW1",VLOOKUP($A181,Matches!$A:$AC,2,FALSE),IF($B181="GW2",VLOOKUP($A181,Matches!$A:$AC,9,FALSE),IF($B181="GW3",VLOOKUP($A181,Matches!$A:$AC,16,FALSE))))</f>
        <v>Fulham</v>
      </c>
      <c r="D181" s="6">
        <v>0.52764879696074285</v>
      </c>
      <c r="E181" s="6">
        <v>0.22318937618569357</v>
      </c>
      <c r="F181" s="6">
        <v>0.30445942077504928</v>
      </c>
      <c r="G181" s="3" t="s">
        <v>1</v>
      </c>
      <c r="H181" t="e">
        <v>#N/A</v>
      </c>
      <c r="I181" t="e">
        <v>#N/A</v>
      </c>
      <c r="J181" t="e">
        <v>#N/A</v>
      </c>
      <c r="K181">
        <v>0.311926606</v>
      </c>
      <c r="L181">
        <v>0.33734939800000002</v>
      </c>
      <c r="M181">
        <v>4.6104928000000003E-2</v>
      </c>
      <c r="N181" t="e">
        <v>#N/A</v>
      </c>
      <c r="O181" t="e">
        <v>#N/A</v>
      </c>
    </row>
    <row r="182" spans="1:15" x14ac:dyDescent="0.25">
      <c r="A182" t="s">
        <v>8</v>
      </c>
      <c r="B182" t="s">
        <v>23</v>
      </c>
      <c r="C182" s="3" t="str">
        <f>IF($B182="GW1",VLOOKUP($A182,Matches!$A:$AC,2,FALSE),IF($B182="GW2",VLOOKUP($A182,Matches!$A:$AC,9,FALSE),IF($B182="GW3",VLOOKUP($A182,Matches!$A:$AC,16,FALSE))))</f>
        <v>Fulham</v>
      </c>
      <c r="D182" s="6">
        <v>0.52764879696074285</v>
      </c>
      <c r="E182" s="6">
        <v>0.22318937618569357</v>
      </c>
      <c r="F182" s="6">
        <v>0.30445942077504928</v>
      </c>
      <c r="G182" s="3" t="s">
        <v>1</v>
      </c>
      <c r="H182">
        <v>7.9365079000000005E-2</v>
      </c>
      <c r="I182">
        <v>7.3260072999999995E-2</v>
      </c>
      <c r="J182">
        <v>0.173160173</v>
      </c>
      <c r="K182">
        <v>0.311926606</v>
      </c>
      <c r="L182">
        <v>0.33734939800000002</v>
      </c>
      <c r="M182">
        <v>4.6104928000000003E-2</v>
      </c>
      <c r="N182" t="e">
        <v>#N/A</v>
      </c>
      <c r="O182" t="e">
        <v>#N/A</v>
      </c>
    </row>
    <row r="183" spans="1:15" x14ac:dyDescent="0.25">
      <c r="A183" t="s">
        <v>8</v>
      </c>
      <c r="B183" t="s">
        <v>23</v>
      </c>
      <c r="C183" s="3" t="str">
        <f>IF($B183="GW1",VLOOKUP($A183,Matches!$A:$AC,2,FALSE),IF($B183="GW2",VLOOKUP($A183,Matches!$A:$AC,9,FALSE),IF($B183="GW3",VLOOKUP($A183,Matches!$A:$AC,16,FALSE))))</f>
        <v>Fulham</v>
      </c>
      <c r="D183" s="6">
        <v>0.52764879696074285</v>
      </c>
      <c r="E183" s="6">
        <v>0.22318937618569357</v>
      </c>
      <c r="F183" s="6">
        <v>0.30445942077504928</v>
      </c>
      <c r="G183" s="3" t="s">
        <v>1</v>
      </c>
      <c r="H183">
        <v>0.105820106</v>
      </c>
      <c r="I183">
        <v>5.0125312999999998E-2</v>
      </c>
      <c r="J183">
        <v>0.28011204499999998</v>
      </c>
      <c r="K183">
        <v>0.311926606</v>
      </c>
      <c r="L183">
        <v>0.33734939800000002</v>
      </c>
      <c r="M183">
        <v>4.6104928000000003E-2</v>
      </c>
      <c r="N183" t="e">
        <v>#N/A</v>
      </c>
      <c r="O183" t="e">
        <v>#N/A</v>
      </c>
    </row>
    <row r="184" spans="1:15" x14ac:dyDescent="0.25">
      <c r="A184" t="s">
        <v>8</v>
      </c>
      <c r="B184" t="s">
        <v>23</v>
      </c>
      <c r="C184" s="3" t="str">
        <f>IF($B184="GW1",VLOOKUP($A184,Matches!$A:$AC,2,FALSE),IF($B184="GW2",VLOOKUP($A184,Matches!$A:$AC,9,FALSE),IF($B184="GW3",VLOOKUP($A184,Matches!$A:$AC,16,FALSE))))</f>
        <v>Fulham</v>
      </c>
      <c r="D184" s="6">
        <v>0.52764879696074285</v>
      </c>
      <c r="E184" s="6">
        <v>0.22318937618569357</v>
      </c>
      <c r="F184" s="6">
        <v>0.30445942077504928</v>
      </c>
      <c r="G184" s="3" t="s">
        <v>1</v>
      </c>
      <c r="H184">
        <v>0.173160173</v>
      </c>
      <c r="I184">
        <v>0.15873015900000001</v>
      </c>
      <c r="J184">
        <v>0.173160173</v>
      </c>
      <c r="K184">
        <v>0.311926606</v>
      </c>
      <c r="L184">
        <v>0.33734939800000002</v>
      </c>
      <c r="M184">
        <v>4.6104928000000003E-2</v>
      </c>
      <c r="N184" t="e">
        <v>#N/A</v>
      </c>
      <c r="O184" t="e">
        <v>#N/A</v>
      </c>
    </row>
    <row r="185" spans="1:15" x14ac:dyDescent="0.25">
      <c r="A185" t="s">
        <v>8</v>
      </c>
      <c r="B185" t="s">
        <v>23</v>
      </c>
      <c r="C185" s="3" t="str">
        <f>IF($B185="GW1",VLOOKUP($A185,Matches!$A:$AC,2,FALSE),IF($B185="GW2",VLOOKUP($A185,Matches!$A:$AC,9,FALSE),IF($B185="GW3",VLOOKUP($A185,Matches!$A:$AC,16,FALSE))))</f>
        <v>Fulham</v>
      </c>
      <c r="D185" s="6">
        <v>0.52764879696074285</v>
      </c>
      <c r="E185" s="6">
        <v>0.22318937618569357</v>
      </c>
      <c r="F185" s="6">
        <v>0.30445942077504928</v>
      </c>
      <c r="G185" s="3" t="s">
        <v>1</v>
      </c>
      <c r="H185">
        <v>0.105820106</v>
      </c>
      <c r="I185">
        <v>5.6022409000000002E-2</v>
      </c>
      <c r="J185">
        <v>0.26455026500000001</v>
      </c>
      <c r="K185">
        <v>0.311926606</v>
      </c>
      <c r="L185">
        <v>0.33734939800000002</v>
      </c>
      <c r="M185">
        <v>4.6104928000000003E-2</v>
      </c>
      <c r="N185" t="e">
        <v>#N/A</v>
      </c>
      <c r="O185" t="e">
        <v>#N/A</v>
      </c>
    </row>
    <row r="186" spans="1:15" x14ac:dyDescent="0.25">
      <c r="A186" t="s">
        <v>8</v>
      </c>
      <c r="B186" t="s">
        <v>23</v>
      </c>
      <c r="C186" s="3" t="str">
        <f>IF($B186="GW1",VLOOKUP($A186,Matches!$A:$AC,2,FALSE),IF($B186="GW2",VLOOKUP($A186,Matches!$A:$AC,9,FALSE),IF($B186="GW3",VLOOKUP($A186,Matches!$A:$AC,16,FALSE))))</f>
        <v>Fulham</v>
      </c>
      <c r="D186" s="6">
        <v>0.52764879696074285</v>
      </c>
      <c r="E186" s="6">
        <v>0.22318937618569357</v>
      </c>
      <c r="F186" s="6">
        <v>0.30445942077504928</v>
      </c>
      <c r="G186" s="3" t="s">
        <v>1</v>
      </c>
      <c r="H186" t="e">
        <v>#N/A</v>
      </c>
      <c r="I186" t="e">
        <v>#N/A</v>
      </c>
      <c r="J186" t="e">
        <v>#N/A</v>
      </c>
      <c r="K186">
        <v>0.311926606</v>
      </c>
      <c r="L186">
        <v>0.33734939800000002</v>
      </c>
      <c r="M186">
        <v>4.6104928000000003E-2</v>
      </c>
      <c r="N186" t="e">
        <v>#N/A</v>
      </c>
      <c r="O186" t="e">
        <v>#N/A</v>
      </c>
    </row>
    <row r="187" spans="1:15" x14ac:dyDescent="0.25">
      <c r="A187" t="s">
        <v>8</v>
      </c>
      <c r="B187" t="s">
        <v>23</v>
      </c>
      <c r="C187" s="3" t="str">
        <f>IF($B187="GW1",VLOOKUP($A187,Matches!$A:$AC,2,FALSE),IF($B187="GW2",VLOOKUP($A187,Matches!$A:$AC,9,FALSE),IF($B187="GW3",VLOOKUP($A187,Matches!$A:$AC,16,FALSE))))</f>
        <v>Fulham</v>
      </c>
      <c r="D187" s="6">
        <v>0.52764879696074285</v>
      </c>
      <c r="E187" s="6">
        <v>0.22318937618569357</v>
      </c>
      <c r="F187" s="6">
        <v>0.30445942077504928</v>
      </c>
      <c r="G187" s="3" t="s">
        <v>1</v>
      </c>
      <c r="H187" t="e">
        <v>#N/A</v>
      </c>
      <c r="I187" t="e">
        <v>#N/A</v>
      </c>
      <c r="J187" t="e">
        <v>#N/A</v>
      </c>
      <c r="K187">
        <v>0.311926606</v>
      </c>
      <c r="L187">
        <v>0.33734939800000002</v>
      </c>
      <c r="M187">
        <v>4.6104928000000003E-2</v>
      </c>
      <c r="N187" t="e">
        <v>#N/A</v>
      </c>
      <c r="O187" t="e">
        <v>#N/A</v>
      </c>
    </row>
    <row r="188" spans="1:15" x14ac:dyDescent="0.25">
      <c r="A188" t="s">
        <v>8</v>
      </c>
      <c r="B188" t="s">
        <v>23</v>
      </c>
      <c r="C188" s="3" t="str">
        <f>IF($B188="GW1",VLOOKUP($A188,Matches!$A:$AC,2,FALSE),IF($B188="GW2",VLOOKUP($A188,Matches!$A:$AC,9,FALSE),IF($B188="GW3",VLOOKUP($A188,Matches!$A:$AC,16,FALSE))))</f>
        <v>Fulham</v>
      </c>
      <c r="D188" s="6">
        <v>0.52764879696074285</v>
      </c>
      <c r="E188" s="6">
        <v>0.22318937618569357</v>
      </c>
      <c r="F188" s="6">
        <v>0.30445942077504928</v>
      </c>
      <c r="G188" s="3" t="s">
        <v>1</v>
      </c>
      <c r="H188" t="e">
        <v>#N/A</v>
      </c>
      <c r="I188" t="e">
        <v>#N/A</v>
      </c>
      <c r="J188" t="e">
        <v>#N/A</v>
      </c>
      <c r="K188">
        <v>0.311926606</v>
      </c>
      <c r="L188">
        <v>0.33734939800000002</v>
      </c>
      <c r="M188">
        <v>4.6104928000000003E-2</v>
      </c>
      <c r="N188" t="e">
        <v>#N/A</v>
      </c>
      <c r="O188" t="e">
        <v>#N/A</v>
      </c>
    </row>
    <row r="189" spans="1:15" x14ac:dyDescent="0.25">
      <c r="A189" t="s">
        <v>8</v>
      </c>
      <c r="B189" t="s">
        <v>23</v>
      </c>
      <c r="C189" s="3" t="str">
        <f>IF($B189="GW1",VLOOKUP($A189,Matches!$A:$AC,2,FALSE),IF($B189="GW2",VLOOKUP($A189,Matches!$A:$AC,9,FALSE),IF($B189="GW3",VLOOKUP($A189,Matches!$A:$AC,16,FALSE))))</f>
        <v>Fulham</v>
      </c>
      <c r="D189" s="6">
        <v>0.52764879696074285</v>
      </c>
      <c r="E189" s="6">
        <v>0.22318937618569357</v>
      </c>
      <c r="F189" s="6">
        <v>0.30445942077504928</v>
      </c>
      <c r="G189" s="3" t="s">
        <v>1</v>
      </c>
      <c r="H189" t="e">
        <v>#N/A</v>
      </c>
      <c r="I189" t="e">
        <v>#N/A</v>
      </c>
      <c r="J189" t="e">
        <v>#N/A</v>
      </c>
      <c r="K189">
        <v>0.311926606</v>
      </c>
      <c r="L189">
        <v>0.33734939800000002</v>
      </c>
      <c r="M189">
        <v>4.6104928000000003E-2</v>
      </c>
      <c r="N189" t="e">
        <v>#N/A</v>
      </c>
      <c r="O189" t="e">
        <v>#N/A</v>
      </c>
    </row>
    <row r="190" spans="1:15" x14ac:dyDescent="0.25">
      <c r="A190" t="s">
        <v>8</v>
      </c>
      <c r="B190" t="s">
        <v>23</v>
      </c>
      <c r="C190" s="3" t="str">
        <f>IF($B190="GW1",VLOOKUP($A190,Matches!$A:$AC,2,FALSE),IF($B190="GW2",VLOOKUP($A190,Matches!$A:$AC,9,FALSE),IF($B190="GW3",VLOOKUP($A190,Matches!$A:$AC,16,FALSE))))</f>
        <v>Fulham</v>
      </c>
      <c r="D190" s="6">
        <v>0.52764879696074285</v>
      </c>
      <c r="E190" s="6">
        <v>0.22318937618569357</v>
      </c>
      <c r="F190" s="6">
        <v>0.30445942077504928</v>
      </c>
      <c r="G190" s="3" t="s">
        <v>1</v>
      </c>
      <c r="H190">
        <v>6.3492063000000001E-2</v>
      </c>
      <c r="I190">
        <v>6.3492063000000001E-2</v>
      </c>
      <c r="J190">
        <v>0.21994941200000001</v>
      </c>
      <c r="K190">
        <v>0.311926606</v>
      </c>
      <c r="L190">
        <v>0.33734939800000002</v>
      </c>
      <c r="M190">
        <v>4.6104928000000003E-2</v>
      </c>
      <c r="N190" t="e">
        <v>#N/A</v>
      </c>
      <c r="O190" t="e">
        <v>#N/A</v>
      </c>
    </row>
    <row r="191" spans="1:15" x14ac:dyDescent="0.25">
      <c r="A191" t="s">
        <v>8</v>
      </c>
      <c r="B191" t="s">
        <v>23</v>
      </c>
      <c r="C191" s="3" t="str">
        <f>IF($B191="GW1",VLOOKUP($A191,Matches!$A:$AC,2,FALSE),IF($B191="GW2",VLOOKUP($A191,Matches!$A:$AC,9,FALSE),IF($B191="GW3",VLOOKUP($A191,Matches!$A:$AC,16,FALSE))))</f>
        <v>Fulham</v>
      </c>
      <c r="D191" s="6">
        <v>0.52764879696074285</v>
      </c>
      <c r="E191" s="6">
        <v>0.22318937618569357</v>
      </c>
      <c r="F191" s="6">
        <v>0.30445942077504928</v>
      </c>
      <c r="G191" s="3" t="s">
        <v>1</v>
      </c>
      <c r="H191" t="e">
        <v>#N/A</v>
      </c>
      <c r="I191" t="e">
        <v>#N/A</v>
      </c>
      <c r="J191" t="e">
        <v>#N/A</v>
      </c>
      <c r="K191">
        <v>0.311926606</v>
      </c>
      <c r="L191">
        <v>0.33734939800000002</v>
      </c>
      <c r="M191">
        <v>4.6104928000000003E-2</v>
      </c>
      <c r="N191" t="e">
        <v>#N/A</v>
      </c>
      <c r="O191" t="e">
        <v>#N/A</v>
      </c>
    </row>
    <row r="192" spans="1:15" x14ac:dyDescent="0.25">
      <c r="A192" t="s">
        <v>8</v>
      </c>
      <c r="B192" t="s">
        <v>23</v>
      </c>
      <c r="C192" s="3" t="str">
        <f>IF($B192="GW1",VLOOKUP($A192,Matches!$A:$AC,2,FALSE),IF($B192="GW2",VLOOKUP($A192,Matches!$A:$AC,9,FALSE),IF($B192="GW3",VLOOKUP($A192,Matches!$A:$AC,16,FALSE))))</f>
        <v>Fulham</v>
      </c>
      <c r="D192" s="6">
        <v>0.52764879696074285</v>
      </c>
      <c r="E192" s="6">
        <v>0.22318937618569357</v>
      </c>
      <c r="F192" s="6">
        <v>0.30445942077504928</v>
      </c>
      <c r="G192" s="3" t="s">
        <v>1</v>
      </c>
      <c r="H192" t="e">
        <v>#N/A</v>
      </c>
      <c r="I192" t="e">
        <v>#N/A</v>
      </c>
      <c r="J192" t="e">
        <v>#N/A</v>
      </c>
      <c r="K192">
        <v>0.311926606</v>
      </c>
      <c r="L192">
        <v>0.33734939800000002</v>
      </c>
      <c r="M192">
        <v>4.6104928000000003E-2</v>
      </c>
      <c r="N192" t="e">
        <v>#N/A</v>
      </c>
      <c r="O192" t="e">
        <v>#N/A</v>
      </c>
    </row>
    <row r="193" spans="1:15" x14ac:dyDescent="0.25">
      <c r="A193" t="s">
        <v>8</v>
      </c>
      <c r="B193" t="s">
        <v>23</v>
      </c>
      <c r="C193" s="3" t="str">
        <f>IF($B193="GW1",VLOOKUP($A193,Matches!$A:$AC,2,FALSE),IF($B193="GW2",VLOOKUP($A193,Matches!$A:$AC,9,FALSE),IF($B193="GW3",VLOOKUP($A193,Matches!$A:$AC,16,FALSE))))</f>
        <v>Fulham</v>
      </c>
      <c r="D193" s="6">
        <v>0.52764879696074285</v>
      </c>
      <c r="E193" s="6">
        <v>0.22318937618569357</v>
      </c>
      <c r="F193" s="6">
        <v>0.30445942077504928</v>
      </c>
      <c r="G193" s="3" t="s">
        <v>1</v>
      </c>
      <c r="H193" t="e">
        <v>#N/A</v>
      </c>
      <c r="I193" t="e">
        <v>#N/A</v>
      </c>
      <c r="J193" t="e">
        <v>#N/A</v>
      </c>
      <c r="K193">
        <v>0.311926606</v>
      </c>
      <c r="L193">
        <v>0.33734939800000002</v>
      </c>
      <c r="M193">
        <v>4.6104928000000003E-2</v>
      </c>
      <c r="N193" t="e">
        <v>#N/A</v>
      </c>
      <c r="O193" t="e">
        <v>#N/A</v>
      </c>
    </row>
    <row r="194" spans="1:15" x14ac:dyDescent="0.25">
      <c r="A194" t="s">
        <v>8</v>
      </c>
      <c r="B194" t="s">
        <v>23</v>
      </c>
      <c r="C194" s="3" t="str">
        <f>IF($B194="GW1",VLOOKUP($A194,Matches!$A:$AC,2,FALSE),IF($B194="GW2",VLOOKUP($A194,Matches!$A:$AC,9,FALSE),IF($B194="GW3",VLOOKUP($A194,Matches!$A:$AC,16,FALSE))))</f>
        <v>Fulham</v>
      </c>
      <c r="D194" s="6">
        <v>0.52764879696074285</v>
      </c>
      <c r="E194" s="6">
        <v>0.22318937618569357</v>
      </c>
      <c r="F194" s="6">
        <v>0.30445942077504928</v>
      </c>
      <c r="G194" s="3" t="s">
        <v>1</v>
      </c>
      <c r="H194" t="e">
        <v>#N/A</v>
      </c>
      <c r="I194" t="e">
        <v>#N/A</v>
      </c>
      <c r="J194" t="e">
        <v>#N/A</v>
      </c>
      <c r="K194">
        <v>0.311926606</v>
      </c>
      <c r="L194">
        <v>0.33734939800000002</v>
      </c>
      <c r="M194">
        <v>4.6104928000000003E-2</v>
      </c>
      <c r="N194" t="e">
        <v>#N/A</v>
      </c>
      <c r="O194" t="e">
        <v>#N/A</v>
      </c>
    </row>
    <row r="195" spans="1:15" x14ac:dyDescent="0.25">
      <c r="A195" t="s">
        <v>8</v>
      </c>
      <c r="B195" t="s">
        <v>23</v>
      </c>
      <c r="C195" s="3" t="str">
        <f>IF($B195="GW1",VLOOKUP($A195,Matches!$A:$AC,2,FALSE),IF($B195="GW2",VLOOKUP($A195,Matches!$A:$AC,9,FALSE),IF($B195="GW3",VLOOKUP($A195,Matches!$A:$AC,16,FALSE))))</f>
        <v>Fulham</v>
      </c>
      <c r="D195" s="6">
        <v>0.52764879696074285</v>
      </c>
      <c r="E195" s="6">
        <v>0.22318937618569357</v>
      </c>
      <c r="F195" s="6">
        <v>0.30445942077504928</v>
      </c>
      <c r="G195" s="3" t="s">
        <v>1</v>
      </c>
      <c r="H195" t="e">
        <v>#N/A</v>
      </c>
      <c r="I195" t="e">
        <v>#N/A</v>
      </c>
      <c r="J195" t="e">
        <v>#N/A</v>
      </c>
      <c r="K195">
        <v>0.311926606</v>
      </c>
      <c r="L195">
        <v>0.33734939800000002</v>
      </c>
      <c r="M195">
        <v>4.6104928000000003E-2</v>
      </c>
      <c r="N195" t="e">
        <v>#N/A</v>
      </c>
      <c r="O195" t="e">
        <v>#N/A</v>
      </c>
    </row>
    <row r="196" spans="1:15" x14ac:dyDescent="0.25">
      <c r="A196" t="s">
        <v>8</v>
      </c>
      <c r="B196" t="s">
        <v>23</v>
      </c>
      <c r="C196" s="3" t="str">
        <f>IF($B196="GW1",VLOOKUP($A196,Matches!$A:$AC,2,FALSE),IF($B196="GW2",VLOOKUP($A196,Matches!$A:$AC,9,FALSE),IF($B196="GW3",VLOOKUP($A196,Matches!$A:$AC,16,FALSE))))</f>
        <v>Fulham</v>
      </c>
      <c r="D196" s="6">
        <v>0.52764879696074285</v>
      </c>
      <c r="E196" s="6">
        <v>0.22318937618569357</v>
      </c>
      <c r="F196" s="6">
        <v>0.30445942077504928</v>
      </c>
      <c r="G196" s="3" t="s">
        <v>1</v>
      </c>
      <c r="H196">
        <v>0.33184005300000002</v>
      </c>
      <c r="I196">
        <v>0.21164021199999999</v>
      </c>
      <c r="J196">
        <v>0.173160173</v>
      </c>
      <c r="K196">
        <v>0.311926606</v>
      </c>
      <c r="L196">
        <v>0.33734939800000002</v>
      </c>
      <c r="M196">
        <v>4.6104928000000003E-2</v>
      </c>
      <c r="N196" t="e">
        <v>#N/A</v>
      </c>
      <c r="O196" t="e">
        <v>#N/A</v>
      </c>
    </row>
    <row r="197" spans="1:15" x14ac:dyDescent="0.25">
      <c r="A197" t="s">
        <v>8</v>
      </c>
      <c r="B197" t="s">
        <v>23</v>
      </c>
      <c r="C197" s="3" t="str">
        <f>IF($B197="GW1",VLOOKUP($A197,Matches!$A:$AC,2,FALSE),IF($B197="GW2",VLOOKUP($A197,Matches!$A:$AC,9,FALSE),IF($B197="GW3",VLOOKUP($A197,Matches!$A:$AC,16,FALSE))))</f>
        <v>Fulham</v>
      </c>
      <c r="D197" s="6">
        <v>0.52764879696074285</v>
      </c>
      <c r="E197" s="6">
        <v>0.22318937618569357</v>
      </c>
      <c r="F197" s="6">
        <v>0.30445942077504928</v>
      </c>
      <c r="G197" s="3" t="s">
        <v>1</v>
      </c>
      <c r="H197">
        <v>0.29304029300000001</v>
      </c>
      <c r="I197">
        <v>0.19047618999999999</v>
      </c>
      <c r="J197">
        <v>0.19047618999999999</v>
      </c>
      <c r="K197">
        <v>0.311926606</v>
      </c>
      <c r="L197">
        <v>0.33734939800000002</v>
      </c>
      <c r="M197">
        <v>4.6104928000000003E-2</v>
      </c>
      <c r="N197" t="e">
        <v>#N/A</v>
      </c>
      <c r="O197" t="e">
        <v>#N/A</v>
      </c>
    </row>
    <row r="198" spans="1:15" x14ac:dyDescent="0.25">
      <c r="A198" t="s">
        <v>8</v>
      </c>
      <c r="B198" t="s">
        <v>23</v>
      </c>
      <c r="C198" s="3" t="str">
        <f>IF($B198="GW1",VLOOKUP($A198,Matches!$A:$AC,2,FALSE),IF($B198="GW2",VLOOKUP($A198,Matches!$A:$AC,9,FALSE),IF($B198="GW3",VLOOKUP($A198,Matches!$A:$AC,16,FALSE))))</f>
        <v>Fulham</v>
      </c>
      <c r="D198" s="6">
        <v>0.52764879696074285</v>
      </c>
      <c r="E198" s="6">
        <v>0.22318937618569357</v>
      </c>
      <c r="F198" s="6">
        <v>0.30445942077504928</v>
      </c>
      <c r="G198" s="3" t="s">
        <v>1</v>
      </c>
      <c r="H198" t="e">
        <v>#N/A</v>
      </c>
      <c r="I198" t="e">
        <v>#N/A</v>
      </c>
      <c r="J198" t="e">
        <v>#N/A</v>
      </c>
      <c r="K198">
        <v>0.311926606</v>
      </c>
      <c r="L198">
        <v>0.33734939800000002</v>
      </c>
      <c r="M198">
        <v>4.6104928000000003E-2</v>
      </c>
      <c r="N198" t="e">
        <v>#N/A</v>
      </c>
      <c r="O198" t="e">
        <v>#N/A</v>
      </c>
    </row>
    <row r="199" spans="1:15" x14ac:dyDescent="0.25">
      <c r="A199" t="s">
        <v>8</v>
      </c>
      <c r="B199" t="s">
        <v>23</v>
      </c>
      <c r="C199" s="3" t="str">
        <f>IF($B199="GW1",VLOOKUP($A199,Matches!$A:$AC,2,FALSE),IF($B199="GW2",VLOOKUP($A199,Matches!$A:$AC,9,FALSE),IF($B199="GW3",VLOOKUP($A199,Matches!$A:$AC,16,FALSE))))</f>
        <v>Fulham</v>
      </c>
      <c r="D199" s="6">
        <v>0.52764879696074285</v>
      </c>
      <c r="E199" s="6">
        <v>0.22318937618569357</v>
      </c>
      <c r="F199" s="6">
        <v>0.30445942077504928</v>
      </c>
      <c r="G199" s="3" t="s">
        <v>1</v>
      </c>
      <c r="H199">
        <v>0.26455026500000001</v>
      </c>
      <c r="I199">
        <v>0.19047618999999999</v>
      </c>
      <c r="J199">
        <v>0.33184005300000002</v>
      </c>
      <c r="K199">
        <v>0.311926606</v>
      </c>
      <c r="L199">
        <v>0.33734939800000002</v>
      </c>
      <c r="M199">
        <v>4.6104928000000003E-2</v>
      </c>
      <c r="N199" t="e">
        <v>#N/A</v>
      </c>
      <c r="O199" t="e">
        <v>#N/A</v>
      </c>
    </row>
    <row r="200" spans="1:15" x14ac:dyDescent="0.25">
      <c r="A200" t="s">
        <v>8</v>
      </c>
      <c r="B200" t="s">
        <v>23</v>
      </c>
      <c r="C200" s="3" t="str">
        <f>IF($B200="GW1",VLOOKUP($A200,Matches!$A:$AC,2,FALSE),IF($B200="GW2",VLOOKUP($A200,Matches!$A:$AC,9,FALSE),IF($B200="GW3",VLOOKUP($A200,Matches!$A:$AC,16,FALSE))))</f>
        <v>Fulham</v>
      </c>
      <c r="D200" s="6">
        <v>0.52764879696074285</v>
      </c>
      <c r="E200" s="6">
        <v>0.22318937618569357</v>
      </c>
      <c r="F200" s="6">
        <v>0.30445942077504928</v>
      </c>
      <c r="G200" s="3" t="s">
        <v>1</v>
      </c>
      <c r="H200" t="e">
        <v>#N/A</v>
      </c>
      <c r="I200" t="e">
        <v>#N/A</v>
      </c>
      <c r="J200" t="e">
        <v>#N/A</v>
      </c>
      <c r="K200">
        <v>0.311926606</v>
      </c>
      <c r="L200">
        <v>0.33734939800000002</v>
      </c>
      <c r="M200">
        <v>4.6104928000000003E-2</v>
      </c>
      <c r="N200" t="e">
        <v>#N/A</v>
      </c>
      <c r="O200" t="e">
        <v>#N/A</v>
      </c>
    </row>
    <row r="201" spans="1:15" x14ac:dyDescent="0.25">
      <c r="A201" t="s">
        <v>8</v>
      </c>
      <c r="B201" t="s">
        <v>23</v>
      </c>
      <c r="C201" s="3" t="str">
        <f>IF($B201="GW1",VLOOKUP($A201,Matches!$A:$AC,2,FALSE),IF($B201="GW2",VLOOKUP($A201,Matches!$A:$AC,9,FALSE),IF($B201="GW3",VLOOKUP($A201,Matches!$A:$AC,16,FALSE))))</f>
        <v>Fulham</v>
      </c>
      <c r="D201" s="6">
        <v>0.52764879696074285</v>
      </c>
      <c r="E201" s="6">
        <v>0.22318937618569357</v>
      </c>
      <c r="F201" s="6">
        <v>0.30445942077504928</v>
      </c>
      <c r="G201" s="3" t="s">
        <v>1</v>
      </c>
      <c r="H201">
        <v>0.20050125299999999</v>
      </c>
      <c r="I201">
        <v>0.173160173</v>
      </c>
      <c r="J201">
        <v>0.19047618999999999</v>
      </c>
      <c r="K201">
        <v>0.311926606</v>
      </c>
      <c r="L201">
        <v>0.33734939800000002</v>
      </c>
      <c r="M201">
        <v>4.6104928000000003E-2</v>
      </c>
      <c r="N201" t="e">
        <v>#N/A</v>
      </c>
      <c r="O201" t="e">
        <v>#N/A</v>
      </c>
    </row>
    <row r="202" spans="1:15" x14ac:dyDescent="0.25">
      <c r="A202" t="s">
        <v>8</v>
      </c>
      <c r="B202" t="s">
        <v>23</v>
      </c>
      <c r="C202" s="3" t="str">
        <f>IF($B202="GW1",VLOOKUP($A202,Matches!$A:$AC,2,FALSE),IF($B202="GW2",VLOOKUP($A202,Matches!$A:$AC,9,FALSE),IF($B202="GW3",VLOOKUP($A202,Matches!$A:$AC,16,FALSE))))</f>
        <v>Fulham</v>
      </c>
      <c r="D202" s="6">
        <v>0.52764879696074285</v>
      </c>
      <c r="E202" s="6">
        <v>0.22318937618569357</v>
      </c>
      <c r="F202" s="6">
        <v>0.30445942077504928</v>
      </c>
      <c r="G202" s="3" t="s">
        <v>1</v>
      </c>
      <c r="H202">
        <v>0.11904761899999999</v>
      </c>
      <c r="I202">
        <v>8.6580087E-2</v>
      </c>
      <c r="J202">
        <v>0.19047618999999999</v>
      </c>
      <c r="K202">
        <v>0.311926606</v>
      </c>
      <c r="L202">
        <v>0.33734939800000002</v>
      </c>
      <c r="M202">
        <v>4.6104928000000003E-2</v>
      </c>
      <c r="N202" t="e">
        <v>#N/A</v>
      </c>
      <c r="O202" t="e">
        <v>#N/A</v>
      </c>
    </row>
    <row r="203" spans="1:15" x14ac:dyDescent="0.25">
      <c r="A203" t="s">
        <v>8</v>
      </c>
      <c r="B203" t="s">
        <v>23</v>
      </c>
      <c r="C203" s="3" t="str">
        <f>IF($B203="GW1",VLOOKUP($A203,Matches!$A:$AC,2,FALSE),IF($B203="GW2",VLOOKUP($A203,Matches!$A:$AC,9,FALSE),IF($B203="GW3",VLOOKUP($A203,Matches!$A:$AC,16,FALSE))))</f>
        <v>Fulham</v>
      </c>
      <c r="D203" s="6">
        <v>0.52764879696074285</v>
      </c>
      <c r="E203" s="6">
        <v>0.22318937618569357</v>
      </c>
      <c r="F203" s="6">
        <v>0.30445942077504928</v>
      </c>
      <c r="G203" s="3" t="s">
        <v>1</v>
      </c>
      <c r="H203">
        <v>0.26455026500000001</v>
      </c>
      <c r="I203">
        <v>0.19047618999999999</v>
      </c>
      <c r="J203">
        <v>0.10025062699999999</v>
      </c>
      <c r="K203">
        <v>0.311926606</v>
      </c>
      <c r="L203">
        <v>0.33734939800000002</v>
      </c>
      <c r="M203">
        <v>4.6104928000000003E-2</v>
      </c>
      <c r="N203" t="e">
        <v>#N/A</v>
      </c>
      <c r="O203" t="e">
        <v>#N/A</v>
      </c>
    </row>
    <row r="204" spans="1:15" x14ac:dyDescent="0.25">
      <c r="A204" t="s">
        <v>8</v>
      </c>
      <c r="B204" t="s">
        <v>23</v>
      </c>
      <c r="C204" s="3" t="str">
        <f>IF($B204="GW1",VLOOKUP($A204,Matches!$A:$AC,2,FALSE),IF($B204="GW2",VLOOKUP($A204,Matches!$A:$AC,9,FALSE),IF($B204="GW3",VLOOKUP($A204,Matches!$A:$AC,16,FALSE))))</f>
        <v>Fulham</v>
      </c>
      <c r="D204" s="6">
        <v>0.52764879696074285</v>
      </c>
      <c r="E204" s="6">
        <v>0.22318937618569357</v>
      </c>
      <c r="F204" s="6">
        <v>0.30445942077504928</v>
      </c>
      <c r="G204" s="3" t="s">
        <v>1</v>
      </c>
      <c r="H204" t="e">
        <v>#N/A</v>
      </c>
      <c r="I204" t="e">
        <v>#N/A</v>
      </c>
      <c r="J204" t="e">
        <v>#N/A</v>
      </c>
      <c r="K204">
        <v>0.311926606</v>
      </c>
      <c r="L204">
        <v>0.33734939800000002</v>
      </c>
      <c r="M204">
        <v>4.6104928000000003E-2</v>
      </c>
      <c r="N204" t="e">
        <v>#N/A</v>
      </c>
      <c r="O204" t="e">
        <v>#N/A</v>
      </c>
    </row>
    <row r="205" spans="1:15" x14ac:dyDescent="0.25">
      <c r="A205" t="s">
        <v>8</v>
      </c>
      <c r="B205" t="s">
        <v>23</v>
      </c>
      <c r="C205" s="3" t="str">
        <f>IF($B205="GW1",VLOOKUP($A205,Matches!$A:$AC,2,FALSE),IF($B205="GW2",VLOOKUP($A205,Matches!$A:$AC,9,FALSE),IF($B205="GW3",VLOOKUP($A205,Matches!$A:$AC,16,FALSE))))</f>
        <v>Fulham</v>
      </c>
      <c r="D205" s="6">
        <v>0.52764879696074285</v>
      </c>
      <c r="E205" s="6">
        <v>0.22318937618569357</v>
      </c>
      <c r="F205" s="6">
        <v>0.30445942077504928</v>
      </c>
      <c r="G205" s="3" t="s">
        <v>1</v>
      </c>
      <c r="H205">
        <v>0.15873015900000001</v>
      </c>
      <c r="I205">
        <v>0.173160173</v>
      </c>
      <c r="J205">
        <v>0.19047618999999999</v>
      </c>
      <c r="K205">
        <v>0.311926606</v>
      </c>
      <c r="L205">
        <v>0.33734939800000002</v>
      </c>
      <c r="M205">
        <v>4.6104928000000003E-2</v>
      </c>
      <c r="N205" t="e">
        <v>#N/A</v>
      </c>
      <c r="O205" t="e">
        <v>#N/A</v>
      </c>
    </row>
    <row r="206" spans="1:15" x14ac:dyDescent="0.25">
      <c r="A206" t="s">
        <v>8</v>
      </c>
      <c r="B206" t="s">
        <v>23</v>
      </c>
      <c r="C206" s="3" t="str">
        <f>IF($B206="GW1",VLOOKUP($A206,Matches!$A:$AC,2,FALSE),IF($B206="GW2",VLOOKUP($A206,Matches!$A:$AC,9,FALSE),IF($B206="GW3",VLOOKUP($A206,Matches!$A:$AC,16,FALSE))))</f>
        <v>Fulham</v>
      </c>
      <c r="D206" s="6">
        <v>0.52764879696074285</v>
      </c>
      <c r="E206" s="6">
        <v>0.22318937618569357</v>
      </c>
      <c r="F206" s="6">
        <v>0.30445942077504928</v>
      </c>
      <c r="G206" s="3" t="s">
        <v>1</v>
      </c>
      <c r="H206">
        <v>0.15873015900000001</v>
      </c>
      <c r="I206">
        <v>8.6580087E-2</v>
      </c>
      <c r="J206">
        <v>0.28011204499999998</v>
      </c>
      <c r="K206">
        <v>0.311926606</v>
      </c>
      <c r="L206">
        <v>0.33734939800000002</v>
      </c>
      <c r="M206">
        <v>4.6104928000000003E-2</v>
      </c>
      <c r="N206" t="e">
        <v>#N/A</v>
      </c>
      <c r="O206" t="e">
        <v>#N/A</v>
      </c>
    </row>
    <row r="207" spans="1:15" x14ac:dyDescent="0.25">
      <c r="A207" t="s">
        <v>8</v>
      </c>
      <c r="B207" t="s">
        <v>23</v>
      </c>
      <c r="C207" s="3" t="str">
        <f>IF($B207="GW1",VLOOKUP($A207,Matches!$A:$AC,2,FALSE),IF($B207="GW2",VLOOKUP($A207,Matches!$A:$AC,9,FALSE),IF($B207="GW3",VLOOKUP($A207,Matches!$A:$AC,16,FALSE))))</f>
        <v>Fulham</v>
      </c>
      <c r="D207" s="6">
        <v>0.52764879696074285</v>
      </c>
      <c r="E207" s="6">
        <v>0.22318937618569357</v>
      </c>
      <c r="F207" s="6">
        <v>0.30445942077504928</v>
      </c>
      <c r="G207" s="3" t="s">
        <v>1</v>
      </c>
      <c r="H207" t="e">
        <v>#N/A</v>
      </c>
      <c r="I207" t="e">
        <v>#N/A</v>
      </c>
      <c r="J207" t="e">
        <v>#N/A</v>
      </c>
      <c r="K207">
        <v>0.311926606</v>
      </c>
      <c r="L207">
        <v>0.33734939800000002</v>
      </c>
      <c r="M207">
        <v>4.6104928000000003E-2</v>
      </c>
      <c r="N207" t="e">
        <v>#N/A</v>
      </c>
      <c r="O207" t="e">
        <v>#N/A</v>
      </c>
    </row>
    <row r="208" spans="1:15" x14ac:dyDescent="0.25">
      <c r="A208" t="s">
        <v>8</v>
      </c>
      <c r="B208" t="s">
        <v>23</v>
      </c>
      <c r="C208" s="3" t="str">
        <f>IF($B208="GW1",VLOOKUP($A208,Matches!$A:$AC,2,FALSE),IF($B208="GW2",VLOOKUP($A208,Matches!$A:$AC,9,FALSE),IF($B208="GW3",VLOOKUP($A208,Matches!$A:$AC,16,FALSE))))</f>
        <v>Fulham</v>
      </c>
      <c r="D208" s="6">
        <v>0.52764879696074285</v>
      </c>
      <c r="E208" s="6">
        <v>0.22318937618569357</v>
      </c>
      <c r="F208" s="6">
        <v>0.30445942077504928</v>
      </c>
      <c r="G208" s="3" t="s">
        <v>1</v>
      </c>
      <c r="H208">
        <v>0.23809523799999999</v>
      </c>
      <c r="I208">
        <v>0.15873015900000001</v>
      </c>
      <c r="J208">
        <v>0.26455026500000001</v>
      </c>
      <c r="K208">
        <v>0.311926606</v>
      </c>
      <c r="L208">
        <v>0.33734939800000002</v>
      </c>
      <c r="M208">
        <v>4.6104928000000003E-2</v>
      </c>
      <c r="N208" t="e">
        <v>#N/A</v>
      </c>
      <c r="O208" t="e">
        <v>#N/A</v>
      </c>
    </row>
    <row r="209" spans="1:15" x14ac:dyDescent="0.25">
      <c r="A209" t="s">
        <v>8</v>
      </c>
      <c r="B209" t="s">
        <v>23</v>
      </c>
      <c r="C209" s="3" t="str">
        <f>IF($B209="GW1",VLOOKUP($A209,Matches!$A:$AC,2,FALSE),IF($B209="GW2",VLOOKUP($A209,Matches!$A:$AC,9,FALSE),IF($B209="GW3",VLOOKUP($A209,Matches!$A:$AC,16,FALSE))))</f>
        <v>Fulham</v>
      </c>
      <c r="D209" s="6">
        <v>0.52764879696074285</v>
      </c>
      <c r="E209" s="6">
        <v>0.22318937618569357</v>
      </c>
      <c r="F209" s="6">
        <v>0.30445942077504928</v>
      </c>
      <c r="G209" s="3" t="s">
        <v>1</v>
      </c>
      <c r="H209">
        <v>0.126984127</v>
      </c>
      <c r="I209">
        <v>0.14652014699999999</v>
      </c>
      <c r="J209">
        <v>0.21994941200000001</v>
      </c>
      <c r="K209">
        <v>0.311926606</v>
      </c>
      <c r="L209">
        <v>0.33734939800000002</v>
      </c>
      <c r="M209">
        <v>4.6104928000000003E-2</v>
      </c>
      <c r="N209" t="e">
        <v>#N/A</v>
      </c>
      <c r="O209" t="e">
        <v>#N/A</v>
      </c>
    </row>
    <row r="210" spans="1:15" x14ac:dyDescent="0.25">
      <c r="A210" t="s">
        <v>8</v>
      </c>
      <c r="B210" t="s">
        <v>23</v>
      </c>
      <c r="C210" s="3" t="str">
        <f>IF($B210="GW1",VLOOKUP($A210,Matches!$A:$AC,2,FALSE),IF($B210="GW2",VLOOKUP($A210,Matches!$A:$AC,9,FALSE),IF($B210="GW3",VLOOKUP($A210,Matches!$A:$AC,16,FALSE))))</f>
        <v>Fulham</v>
      </c>
      <c r="D210" s="6">
        <v>0.52764879696074285</v>
      </c>
      <c r="E210" s="6">
        <v>0.22318937618569357</v>
      </c>
      <c r="F210" s="6">
        <v>0.30445942077504928</v>
      </c>
      <c r="G210" s="3" t="s">
        <v>1</v>
      </c>
      <c r="H210" t="e">
        <v>#N/A</v>
      </c>
      <c r="I210" t="e">
        <v>#N/A</v>
      </c>
      <c r="J210" t="e">
        <v>#N/A</v>
      </c>
      <c r="K210">
        <v>0.311926606</v>
      </c>
      <c r="L210">
        <v>0.33734939800000002</v>
      </c>
      <c r="M210">
        <v>4.6104928000000003E-2</v>
      </c>
      <c r="N210" t="e">
        <v>#N/A</v>
      </c>
      <c r="O210" t="e">
        <v>#N/A</v>
      </c>
    </row>
    <row r="211" spans="1:15" x14ac:dyDescent="0.25">
      <c r="A211" t="s">
        <v>8</v>
      </c>
      <c r="B211" t="s">
        <v>23</v>
      </c>
      <c r="C211" s="3" t="str">
        <f>IF($B211="GW1",VLOOKUP($A211,Matches!$A:$AC,2,FALSE),IF($B211="GW2",VLOOKUP($A211,Matches!$A:$AC,9,FALSE),IF($B211="GW3",VLOOKUP($A211,Matches!$A:$AC,16,FALSE))))</f>
        <v>Fulham</v>
      </c>
      <c r="D211" s="6">
        <v>0.52764879696074285</v>
      </c>
      <c r="E211" s="6">
        <v>0.22318937618569357</v>
      </c>
      <c r="F211" s="6">
        <v>0.30445942077504928</v>
      </c>
      <c r="G211" s="3" t="s">
        <v>1</v>
      </c>
      <c r="H211">
        <v>0.23809523799999999</v>
      </c>
      <c r="I211">
        <v>0.15873015900000001</v>
      </c>
      <c r="J211">
        <v>0.19047618999999999</v>
      </c>
      <c r="K211">
        <v>0.311926606</v>
      </c>
      <c r="L211">
        <v>0.33734939800000002</v>
      </c>
      <c r="M211">
        <v>4.6104928000000003E-2</v>
      </c>
      <c r="N211" t="e">
        <v>#N/A</v>
      </c>
      <c r="O211" t="e">
        <v>#N/A</v>
      </c>
    </row>
    <row r="212" spans="1:15" x14ac:dyDescent="0.25">
      <c r="A212" t="s">
        <v>8</v>
      </c>
      <c r="B212" t="s">
        <v>23</v>
      </c>
      <c r="C212" s="3" t="str">
        <f>IF($B212="GW1",VLOOKUP($A212,Matches!$A:$AC,2,FALSE),IF($B212="GW2",VLOOKUP($A212,Matches!$A:$AC,9,FALSE),IF($B212="GW3",VLOOKUP($A212,Matches!$A:$AC,16,FALSE))))</f>
        <v>Fulham</v>
      </c>
      <c r="D212" s="6">
        <v>0.52764879696074285</v>
      </c>
      <c r="E212" s="6">
        <v>0.22318937618569357</v>
      </c>
      <c r="F212" s="6">
        <v>0.30445942077504928</v>
      </c>
      <c r="G212" s="3" t="s">
        <v>1</v>
      </c>
      <c r="H212">
        <v>0.126984127</v>
      </c>
      <c r="I212">
        <v>0.14652014699999999</v>
      </c>
      <c r="J212">
        <v>0.23809523799999999</v>
      </c>
      <c r="K212">
        <v>0.311926606</v>
      </c>
      <c r="L212">
        <v>0.33734939800000002</v>
      </c>
      <c r="M212">
        <v>4.6104928000000003E-2</v>
      </c>
      <c r="N212" t="e">
        <v>#N/A</v>
      </c>
      <c r="O212" t="e">
        <v>#N/A</v>
      </c>
    </row>
    <row r="213" spans="1:15" x14ac:dyDescent="0.25">
      <c r="A213" t="s">
        <v>8</v>
      </c>
      <c r="B213" t="s">
        <v>23</v>
      </c>
      <c r="C213" s="3" t="str">
        <f>IF($B213="GW1",VLOOKUP($A213,Matches!$A:$AC,2,FALSE),IF($B213="GW2",VLOOKUP($A213,Matches!$A:$AC,9,FALSE),IF($B213="GW3",VLOOKUP($A213,Matches!$A:$AC,16,FALSE))))</f>
        <v>Fulham</v>
      </c>
      <c r="D213" s="6">
        <v>0.52764879696074285</v>
      </c>
      <c r="E213" s="6">
        <v>0.22318937618569357</v>
      </c>
      <c r="F213" s="6">
        <v>0.30445942077504928</v>
      </c>
      <c r="G213" s="3" t="s">
        <v>1</v>
      </c>
      <c r="H213" t="e">
        <v>#N/A</v>
      </c>
      <c r="I213" t="e">
        <v>#N/A</v>
      </c>
      <c r="J213" t="e">
        <v>#N/A</v>
      </c>
      <c r="K213">
        <v>0.311926606</v>
      </c>
      <c r="L213">
        <v>0.33734939800000002</v>
      </c>
      <c r="M213">
        <v>4.6104928000000003E-2</v>
      </c>
      <c r="N213" t="e">
        <v>#N/A</v>
      </c>
      <c r="O213" t="e">
        <v>#N/A</v>
      </c>
    </row>
    <row r="214" spans="1:15" x14ac:dyDescent="0.25">
      <c r="A214" t="s">
        <v>8</v>
      </c>
      <c r="B214" t="s">
        <v>23</v>
      </c>
      <c r="C214" s="3" t="str">
        <f>IF($B214="GW1",VLOOKUP($A214,Matches!$A:$AC,2,FALSE),IF($B214="GW2",VLOOKUP($A214,Matches!$A:$AC,9,FALSE),IF($B214="GW3",VLOOKUP($A214,Matches!$A:$AC,16,FALSE))))</f>
        <v>Fulham</v>
      </c>
      <c r="D214" s="6">
        <v>0.52764879696074285</v>
      </c>
      <c r="E214" s="6">
        <v>0.22318937618569357</v>
      </c>
      <c r="F214" s="6">
        <v>0.30445942077504928</v>
      </c>
      <c r="G214" s="3" t="s">
        <v>1</v>
      </c>
      <c r="H214" t="e">
        <v>#N/A</v>
      </c>
      <c r="I214" t="e">
        <v>#N/A</v>
      </c>
      <c r="J214" t="e">
        <v>#N/A</v>
      </c>
      <c r="K214">
        <v>0.311926606</v>
      </c>
      <c r="L214">
        <v>0.33734939800000002</v>
      </c>
      <c r="M214">
        <v>4.6104928000000003E-2</v>
      </c>
      <c r="N214" t="e">
        <v>#N/A</v>
      </c>
      <c r="O214" t="e">
        <v>#N/A</v>
      </c>
    </row>
    <row r="215" spans="1:15" x14ac:dyDescent="0.25">
      <c r="A215" t="s">
        <v>8</v>
      </c>
      <c r="B215" t="s">
        <v>23</v>
      </c>
      <c r="C215" s="3" t="str">
        <f>IF($B215="GW1",VLOOKUP($A215,Matches!$A:$AC,2,FALSE),IF($B215="GW2",VLOOKUP($A215,Matches!$A:$AC,9,FALSE),IF($B215="GW3",VLOOKUP($A215,Matches!$A:$AC,16,FALSE))))</f>
        <v>Fulham</v>
      </c>
      <c r="D215" s="6">
        <v>0.52764879696074285</v>
      </c>
      <c r="E215" s="6">
        <v>0.22318937618569357</v>
      </c>
      <c r="F215" s="6">
        <v>0.30445942077504928</v>
      </c>
      <c r="G215" s="3" t="s">
        <v>1</v>
      </c>
      <c r="H215" t="e">
        <v>#N/A</v>
      </c>
      <c r="I215" t="e">
        <v>#N/A</v>
      </c>
      <c r="J215" t="e">
        <v>#N/A</v>
      </c>
      <c r="K215">
        <v>0.311926606</v>
      </c>
      <c r="L215">
        <v>0.33734939800000002</v>
      </c>
      <c r="M215">
        <v>4.6104928000000003E-2</v>
      </c>
      <c r="N215" t="e">
        <v>#N/A</v>
      </c>
      <c r="O215" t="e">
        <v>#N/A</v>
      </c>
    </row>
    <row r="216" spans="1:15" x14ac:dyDescent="0.25">
      <c r="A216" t="s">
        <v>8</v>
      </c>
      <c r="B216" t="s">
        <v>23</v>
      </c>
      <c r="C216" s="3" t="str">
        <f>IF($B216="GW1",VLOOKUP($A216,Matches!$A:$AC,2,FALSE),IF($B216="GW2",VLOOKUP($A216,Matches!$A:$AC,9,FALSE),IF($B216="GW3",VLOOKUP($A216,Matches!$A:$AC,16,FALSE))))</f>
        <v>Fulham</v>
      </c>
      <c r="D216" s="6">
        <v>0.52764879696074285</v>
      </c>
      <c r="E216" s="6">
        <v>0.22318937618569357</v>
      </c>
      <c r="F216" s="6">
        <v>0.30445942077504928</v>
      </c>
      <c r="G216" s="3" t="s">
        <v>1</v>
      </c>
      <c r="H216" t="e">
        <v>#N/A</v>
      </c>
      <c r="I216" t="e">
        <v>#N/A</v>
      </c>
      <c r="J216" t="e">
        <v>#N/A</v>
      </c>
      <c r="K216">
        <v>0.311926606</v>
      </c>
      <c r="L216">
        <v>0.33734939800000002</v>
      </c>
      <c r="M216">
        <v>4.6104928000000003E-2</v>
      </c>
      <c r="N216" t="e">
        <v>#N/A</v>
      </c>
      <c r="O216" t="e">
        <v>#N/A</v>
      </c>
    </row>
    <row r="217" spans="1:15" x14ac:dyDescent="0.25">
      <c r="A217" t="s">
        <v>8</v>
      </c>
      <c r="B217" t="s">
        <v>23</v>
      </c>
      <c r="C217" s="3" t="str">
        <f>IF($B217="GW1",VLOOKUP($A217,Matches!$A:$AC,2,FALSE),IF($B217="GW2",VLOOKUP($A217,Matches!$A:$AC,9,FALSE),IF($B217="GW3",VLOOKUP($A217,Matches!$A:$AC,16,FALSE))))</f>
        <v>Fulham</v>
      </c>
      <c r="D217" s="6">
        <v>0.52764879696074285</v>
      </c>
      <c r="E217" s="6">
        <v>0.22318937618569357</v>
      </c>
      <c r="F217" s="6">
        <v>0.30445942077504928</v>
      </c>
      <c r="G217" s="3" t="s">
        <v>1</v>
      </c>
      <c r="H217">
        <v>0.39682539700000002</v>
      </c>
      <c r="I217">
        <v>9.5238094999999995E-2</v>
      </c>
      <c r="J217">
        <v>0.11904761899999999</v>
      </c>
      <c r="K217">
        <v>0.311926606</v>
      </c>
      <c r="L217">
        <v>0.33734939800000002</v>
      </c>
      <c r="M217">
        <v>4.6104928000000003E-2</v>
      </c>
      <c r="N217" t="e">
        <v>#N/A</v>
      </c>
      <c r="O217" t="e">
        <v>#N/A</v>
      </c>
    </row>
    <row r="218" spans="1:15" x14ac:dyDescent="0.25">
      <c r="A218" t="s">
        <v>8</v>
      </c>
      <c r="B218" t="s">
        <v>23</v>
      </c>
      <c r="C218" s="3" t="str">
        <f>IF($B218="GW1",VLOOKUP($A218,Matches!$A:$AC,2,FALSE),IF($B218="GW2",VLOOKUP($A218,Matches!$A:$AC,9,FALSE),IF($B218="GW3",VLOOKUP($A218,Matches!$A:$AC,16,FALSE))))</f>
        <v>Fulham</v>
      </c>
      <c r="D218" s="6">
        <v>0.52764879696074285</v>
      </c>
      <c r="E218" s="6">
        <v>0.22318937618569357</v>
      </c>
      <c r="F218" s="6">
        <v>0.30445942077504928</v>
      </c>
      <c r="G218" s="3" t="s">
        <v>1</v>
      </c>
      <c r="H218" t="e">
        <v>#N/A</v>
      </c>
      <c r="I218" t="e">
        <v>#N/A</v>
      </c>
      <c r="J218" t="e">
        <v>#N/A</v>
      </c>
      <c r="K218">
        <v>0.311926606</v>
      </c>
      <c r="L218">
        <v>0.33734939800000002</v>
      </c>
      <c r="M218">
        <v>4.6104928000000003E-2</v>
      </c>
      <c r="N218" t="e">
        <v>#N/A</v>
      </c>
      <c r="O218" t="e">
        <v>#N/A</v>
      </c>
    </row>
    <row r="219" spans="1:15" x14ac:dyDescent="0.25">
      <c r="A219" t="s">
        <v>8</v>
      </c>
      <c r="B219" t="s">
        <v>23</v>
      </c>
      <c r="C219" s="3" t="str">
        <f>IF($B219="GW1",VLOOKUP($A219,Matches!$A:$AC,2,FALSE),IF($B219="GW2",VLOOKUP($A219,Matches!$A:$AC,9,FALSE),IF($B219="GW3",VLOOKUP($A219,Matches!$A:$AC,16,FALSE))))</f>
        <v>Fulham</v>
      </c>
      <c r="D219" s="6">
        <v>0.52764879696074285</v>
      </c>
      <c r="E219" s="6">
        <v>0.22318937618569357</v>
      </c>
      <c r="F219" s="6">
        <v>0.30445942077504928</v>
      </c>
      <c r="G219" s="3" t="s">
        <v>1</v>
      </c>
      <c r="H219" t="e">
        <v>#N/A</v>
      </c>
      <c r="I219" t="e">
        <v>#N/A</v>
      </c>
      <c r="J219" t="e">
        <v>#N/A</v>
      </c>
      <c r="K219">
        <v>0.311926606</v>
      </c>
      <c r="L219">
        <v>0.33734939800000002</v>
      </c>
      <c r="M219">
        <v>4.6104928000000003E-2</v>
      </c>
      <c r="N219" t="e">
        <v>#N/A</v>
      </c>
      <c r="O219" t="e">
        <v>#N/A</v>
      </c>
    </row>
    <row r="220" spans="1:15" x14ac:dyDescent="0.25">
      <c r="A220" t="s">
        <v>8</v>
      </c>
      <c r="B220" t="s">
        <v>23</v>
      </c>
      <c r="C220" s="3" t="str">
        <f>IF($B220="GW1",VLOOKUP($A220,Matches!$A:$AC,2,FALSE),IF($B220="GW2",VLOOKUP($A220,Matches!$A:$AC,9,FALSE),IF($B220="GW3",VLOOKUP($A220,Matches!$A:$AC,16,FALSE))))</f>
        <v>Fulham</v>
      </c>
      <c r="D220" s="6">
        <v>0.52764879696074285</v>
      </c>
      <c r="E220" s="6">
        <v>0.22318937618569357</v>
      </c>
      <c r="F220" s="6">
        <v>0.30445942077504928</v>
      </c>
      <c r="G220" s="3" t="s">
        <v>1</v>
      </c>
      <c r="H220" t="e">
        <v>#N/A</v>
      </c>
      <c r="I220" t="e">
        <v>#N/A</v>
      </c>
      <c r="J220" t="e">
        <v>#N/A</v>
      </c>
      <c r="K220">
        <v>0.311926606</v>
      </c>
      <c r="L220">
        <v>0.33734939800000002</v>
      </c>
      <c r="M220">
        <v>4.6104928000000003E-2</v>
      </c>
      <c r="N220" t="e">
        <v>#N/A</v>
      </c>
      <c r="O220" t="e">
        <v>#N/A</v>
      </c>
    </row>
    <row r="221" spans="1:15" x14ac:dyDescent="0.25">
      <c r="A221" t="s">
        <v>9</v>
      </c>
      <c r="B221" t="s">
        <v>23</v>
      </c>
      <c r="C221" s="3" t="str">
        <f>IF($B221="GW1",VLOOKUP($A221,Matches!$A:$AC,2,FALSE),IF($B221="GW2",VLOOKUP($A221,Matches!$A:$AC,9,FALSE),IF($B221="GW3",VLOOKUP($A221,Matches!$A:$AC,16,FALSE))))</f>
        <v>Crystal Palace</v>
      </c>
      <c r="D221" s="6">
        <v>0.53344713538888289</v>
      </c>
      <c r="E221" s="6">
        <v>0.22115576000176926</v>
      </c>
      <c r="F221" s="6">
        <v>0.3122913753871136</v>
      </c>
      <c r="G221" s="3" t="s">
        <v>1</v>
      </c>
      <c r="H221" t="e">
        <v>#N/A</v>
      </c>
      <c r="I221" t="e">
        <v>#N/A</v>
      </c>
      <c r="J221">
        <v>0.14652014699999999</v>
      </c>
      <c r="K221">
        <v>0.35467980300000002</v>
      </c>
      <c r="L221">
        <v>0.29039301299999998</v>
      </c>
      <c r="M221">
        <v>3.7393558E-2</v>
      </c>
      <c r="N221">
        <v>0.47619047599999997</v>
      </c>
      <c r="O221">
        <v>0</v>
      </c>
    </row>
    <row r="222" spans="1:15" x14ac:dyDescent="0.25">
      <c r="A222" t="s">
        <v>9</v>
      </c>
      <c r="B222" t="s">
        <v>23</v>
      </c>
      <c r="C222" s="3" t="str">
        <f>IF($B222="GW1",VLOOKUP($A222,Matches!$A:$AC,2,FALSE),IF($B222="GW2",VLOOKUP($A222,Matches!$A:$AC,9,FALSE),IF($B222="GW3",VLOOKUP($A222,Matches!$A:$AC,16,FALSE))))</f>
        <v>Crystal Palace</v>
      </c>
      <c r="D222" s="6">
        <v>0.53344713538888289</v>
      </c>
      <c r="E222" s="6">
        <v>0.22115576000176926</v>
      </c>
      <c r="F222" s="6">
        <v>0.3122913753871136</v>
      </c>
      <c r="G222" s="3" t="s">
        <v>1</v>
      </c>
      <c r="H222" t="e">
        <v>#N/A</v>
      </c>
      <c r="I222" t="e">
        <v>#N/A</v>
      </c>
      <c r="J222" t="e">
        <v>#N/A</v>
      </c>
      <c r="K222">
        <v>0.35467980300000002</v>
      </c>
      <c r="L222">
        <v>0.29039301299999998</v>
      </c>
      <c r="M222">
        <v>3.7393558E-2</v>
      </c>
      <c r="N222" t="e">
        <v>#N/A</v>
      </c>
      <c r="O222" t="e">
        <v>#N/A</v>
      </c>
    </row>
    <row r="223" spans="1:15" x14ac:dyDescent="0.25">
      <c r="A223" t="s">
        <v>9</v>
      </c>
      <c r="B223" t="s">
        <v>23</v>
      </c>
      <c r="C223" s="3" t="str">
        <f>IF($B223="GW1",VLOOKUP($A223,Matches!$A:$AC,2,FALSE),IF($B223="GW2",VLOOKUP($A223,Matches!$A:$AC,9,FALSE),IF($B223="GW3",VLOOKUP($A223,Matches!$A:$AC,16,FALSE))))</f>
        <v>Crystal Palace</v>
      </c>
      <c r="D223" s="6">
        <v>0.53344713538888289</v>
      </c>
      <c r="E223" s="6">
        <v>0.22115576000176926</v>
      </c>
      <c r="F223" s="6">
        <v>0.3122913753871136</v>
      </c>
      <c r="G223" s="3" t="s">
        <v>1</v>
      </c>
      <c r="H223" t="e">
        <v>#N/A</v>
      </c>
      <c r="I223" t="e">
        <v>#N/A</v>
      </c>
      <c r="J223" t="e">
        <v>#N/A</v>
      </c>
      <c r="K223">
        <v>0.35467980300000002</v>
      </c>
      <c r="L223">
        <v>0.29039301299999998</v>
      </c>
      <c r="M223">
        <v>3.7393558E-2</v>
      </c>
      <c r="N223" t="e">
        <v>#N/A</v>
      </c>
      <c r="O223" t="e">
        <v>#N/A</v>
      </c>
    </row>
    <row r="224" spans="1:15" x14ac:dyDescent="0.25">
      <c r="A224" t="s">
        <v>9</v>
      </c>
      <c r="B224" t="s">
        <v>23</v>
      </c>
      <c r="C224" s="3" t="str">
        <f>IF($B224="GW1",VLOOKUP($A224,Matches!$A:$AC,2,FALSE),IF($B224="GW2",VLOOKUP($A224,Matches!$A:$AC,9,FALSE),IF($B224="GW3",VLOOKUP($A224,Matches!$A:$AC,16,FALSE))))</f>
        <v>Crystal Palace</v>
      </c>
      <c r="D224" s="6">
        <v>0.53344713538888289</v>
      </c>
      <c r="E224" s="6">
        <v>0.22115576000176926</v>
      </c>
      <c r="F224" s="6">
        <v>0.3122913753871136</v>
      </c>
      <c r="G224" s="3" t="s">
        <v>1</v>
      </c>
      <c r="H224" t="e">
        <v>#N/A</v>
      </c>
      <c r="I224" t="e">
        <v>#N/A</v>
      </c>
      <c r="J224" t="e">
        <v>#N/A</v>
      </c>
      <c r="K224">
        <v>0.35467980300000002</v>
      </c>
      <c r="L224">
        <v>0.29039301299999998</v>
      </c>
      <c r="M224">
        <v>3.7393558E-2</v>
      </c>
      <c r="N224" t="e">
        <v>#N/A</v>
      </c>
      <c r="O224" t="e">
        <v>#N/A</v>
      </c>
    </row>
    <row r="225" spans="1:15" x14ac:dyDescent="0.25">
      <c r="A225" t="s">
        <v>9</v>
      </c>
      <c r="B225" t="s">
        <v>23</v>
      </c>
      <c r="C225" s="3" t="str">
        <f>IF($B225="GW1",VLOOKUP($A225,Matches!$A:$AC,2,FALSE),IF($B225="GW2",VLOOKUP($A225,Matches!$A:$AC,9,FALSE),IF($B225="GW3",VLOOKUP($A225,Matches!$A:$AC,16,FALSE))))</f>
        <v>Crystal Palace</v>
      </c>
      <c r="D225" s="6">
        <v>0.53344713538888289</v>
      </c>
      <c r="E225" s="6">
        <v>0.22115576000176926</v>
      </c>
      <c r="F225" s="6">
        <v>0.3122913753871136</v>
      </c>
      <c r="G225" s="3" t="s">
        <v>1</v>
      </c>
      <c r="H225">
        <v>0.11904761899999999</v>
      </c>
      <c r="I225">
        <v>8.6580087E-2</v>
      </c>
      <c r="J225">
        <v>0.27210884400000002</v>
      </c>
      <c r="K225">
        <v>0.35467980300000002</v>
      </c>
      <c r="L225">
        <v>0.29039301299999998</v>
      </c>
      <c r="M225">
        <v>3.7393558E-2</v>
      </c>
      <c r="N225" t="e">
        <v>#N/A</v>
      </c>
      <c r="O225" t="e">
        <v>#N/A</v>
      </c>
    </row>
    <row r="226" spans="1:15" x14ac:dyDescent="0.25">
      <c r="A226" t="s">
        <v>9</v>
      </c>
      <c r="B226" t="s">
        <v>23</v>
      </c>
      <c r="C226" s="3" t="str">
        <f>IF($B226="GW1",VLOOKUP($A226,Matches!$A:$AC,2,FALSE),IF($B226="GW2",VLOOKUP($A226,Matches!$A:$AC,9,FALSE),IF($B226="GW3",VLOOKUP($A226,Matches!$A:$AC,16,FALSE))))</f>
        <v>Crystal Palace</v>
      </c>
      <c r="D226" s="6">
        <v>0.53344713538888289</v>
      </c>
      <c r="E226" s="6">
        <v>0.22115576000176926</v>
      </c>
      <c r="F226" s="6">
        <v>0.3122913753871136</v>
      </c>
      <c r="G226" s="3" t="s">
        <v>1</v>
      </c>
      <c r="H226">
        <v>0.15873015900000001</v>
      </c>
      <c r="I226">
        <v>0.13605442200000001</v>
      </c>
      <c r="J226">
        <v>0.27210884400000002</v>
      </c>
      <c r="K226">
        <v>0.35467980300000002</v>
      </c>
      <c r="L226">
        <v>0.29039301299999998</v>
      </c>
      <c r="M226">
        <v>3.7393558E-2</v>
      </c>
      <c r="N226" t="e">
        <v>#N/A</v>
      </c>
      <c r="O226" t="e">
        <v>#N/A</v>
      </c>
    </row>
    <row r="227" spans="1:15" x14ac:dyDescent="0.25">
      <c r="A227" t="s">
        <v>9</v>
      </c>
      <c r="B227" t="s">
        <v>23</v>
      </c>
      <c r="C227" s="3" t="str">
        <f>IF($B227="GW1",VLOOKUP($A227,Matches!$A:$AC,2,FALSE),IF($B227="GW2",VLOOKUP($A227,Matches!$A:$AC,9,FALSE),IF($B227="GW3",VLOOKUP($A227,Matches!$A:$AC,16,FALSE))))</f>
        <v>Crystal Palace</v>
      </c>
      <c r="D227" s="6">
        <v>0.53344713538888289</v>
      </c>
      <c r="E227" s="6">
        <v>0.22115576000176926</v>
      </c>
      <c r="F227" s="6">
        <v>0.3122913753871136</v>
      </c>
      <c r="G227" s="3" t="s">
        <v>1</v>
      </c>
      <c r="H227">
        <v>7.9365079000000005E-2</v>
      </c>
      <c r="I227">
        <v>8.6580087E-2</v>
      </c>
      <c r="J227">
        <v>0.23809523799999999</v>
      </c>
      <c r="K227">
        <v>0.35467980300000002</v>
      </c>
      <c r="L227">
        <v>0.29039301299999998</v>
      </c>
      <c r="M227">
        <v>3.7393558E-2</v>
      </c>
      <c r="N227" t="e">
        <v>#N/A</v>
      </c>
      <c r="O227" t="e">
        <v>#N/A</v>
      </c>
    </row>
    <row r="228" spans="1:15" x14ac:dyDescent="0.25">
      <c r="A228" t="s">
        <v>9</v>
      </c>
      <c r="B228" t="s">
        <v>23</v>
      </c>
      <c r="C228" s="3" t="str">
        <f>IF($B228="GW1",VLOOKUP($A228,Matches!$A:$AC,2,FALSE),IF($B228="GW2",VLOOKUP($A228,Matches!$A:$AC,9,FALSE),IF($B228="GW3",VLOOKUP($A228,Matches!$A:$AC,16,FALSE))))</f>
        <v>Crystal Palace</v>
      </c>
      <c r="D228" s="6">
        <v>0.53344713538888289</v>
      </c>
      <c r="E228" s="6">
        <v>0.22115576000176926</v>
      </c>
      <c r="F228" s="6">
        <v>0.3122913753871136</v>
      </c>
      <c r="G228" s="3" t="s">
        <v>1</v>
      </c>
      <c r="H228" t="e">
        <v>#N/A</v>
      </c>
      <c r="I228" t="e">
        <v>#N/A</v>
      </c>
      <c r="J228" t="e">
        <v>#N/A</v>
      </c>
      <c r="K228">
        <v>0.35467980300000002</v>
      </c>
      <c r="L228">
        <v>0.29039301299999998</v>
      </c>
      <c r="M228">
        <v>3.7393558E-2</v>
      </c>
      <c r="N228" t="e">
        <v>#N/A</v>
      </c>
      <c r="O228" t="e">
        <v>#N/A</v>
      </c>
    </row>
    <row r="229" spans="1:15" x14ac:dyDescent="0.25">
      <c r="A229" t="s">
        <v>9</v>
      </c>
      <c r="B229" t="s">
        <v>23</v>
      </c>
      <c r="C229" s="3" t="str">
        <f>IF($B229="GW1",VLOOKUP($A229,Matches!$A:$AC,2,FALSE),IF($B229="GW2",VLOOKUP($A229,Matches!$A:$AC,9,FALSE),IF($B229="GW3",VLOOKUP($A229,Matches!$A:$AC,16,FALSE))))</f>
        <v>Crystal Palace</v>
      </c>
      <c r="D229" s="6">
        <v>0.53344713538888289</v>
      </c>
      <c r="E229" s="6">
        <v>0.22115576000176926</v>
      </c>
      <c r="F229" s="6">
        <v>0.3122913753871136</v>
      </c>
      <c r="G229" s="3" t="s">
        <v>1</v>
      </c>
      <c r="H229">
        <v>9.5238094999999995E-2</v>
      </c>
      <c r="I229">
        <v>0.14652014699999999</v>
      </c>
      <c r="J229">
        <v>0.27210884400000002</v>
      </c>
      <c r="K229">
        <v>0.35467980300000002</v>
      </c>
      <c r="L229">
        <v>0.29039301299999998</v>
      </c>
      <c r="M229">
        <v>3.7393558E-2</v>
      </c>
      <c r="N229" t="e">
        <v>#N/A</v>
      </c>
      <c r="O229" t="e">
        <v>#N/A</v>
      </c>
    </row>
    <row r="230" spans="1:15" x14ac:dyDescent="0.25">
      <c r="A230" t="s">
        <v>9</v>
      </c>
      <c r="B230" t="s">
        <v>23</v>
      </c>
      <c r="C230" s="3" t="str">
        <f>IF($B230="GW1",VLOOKUP($A230,Matches!$A:$AC,2,FALSE),IF($B230="GW2",VLOOKUP($A230,Matches!$A:$AC,9,FALSE),IF($B230="GW3",VLOOKUP($A230,Matches!$A:$AC,16,FALSE))))</f>
        <v>Crystal Palace</v>
      </c>
      <c r="D230" s="6">
        <v>0.53344713538888289</v>
      </c>
      <c r="E230" s="6">
        <v>0.22115576000176926</v>
      </c>
      <c r="F230" s="6">
        <v>0.3122913753871136</v>
      </c>
      <c r="G230" s="3" t="s">
        <v>1</v>
      </c>
      <c r="H230">
        <v>9.5238094999999995E-2</v>
      </c>
      <c r="I230">
        <v>7.3260072999999995E-2</v>
      </c>
      <c r="J230">
        <v>0.173160173</v>
      </c>
      <c r="K230">
        <v>0.35467980300000002</v>
      </c>
      <c r="L230">
        <v>0.29039301299999998</v>
      </c>
      <c r="M230">
        <v>3.7393558E-2</v>
      </c>
      <c r="N230" t="e">
        <v>#N/A</v>
      </c>
      <c r="O230" t="e">
        <v>#N/A</v>
      </c>
    </row>
    <row r="231" spans="1:15" x14ac:dyDescent="0.25">
      <c r="A231" t="s">
        <v>9</v>
      </c>
      <c r="B231" t="s">
        <v>23</v>
      </c>
      <c r="C231" s="3" t="str">
        <f>IF($B231="GW1",VLOOKUP($A231,Matches!$A:$AC,2,FALSE),IF($B231="GW2",VLOOKUP($A231,Matches!$A:$AC,9,FALSE),IF($B231="GW3",VLOOKUP($A231,Matches!$A:$AC,16,FALSE))))</f>
        <v>Crystal Palace</v>
      </c>
      <c r="D231" s="6">
        <v>0.53344713538888289</v>
      </c>
      <c r="E231" s="6">
        <v>0.22115576000176926</v>
      </c>
      <c r="F231" s="6">
        <v>0.3122913753871136</v>
      </c>
      <c r="G231" s="3" t="s">
        <v>1</v>
      </c>
      <c r="H231">
        <v>9.5238094999999995E-2</v>
      </c>
      <c r="I231">
        <v>6.3492063000000001E-2</v>
      </c>
      <c r="J231">
        <v>0.29304029300000001</v>
      </c>
      <c r="K231">
        <v>0.35467980300000002</v>
      </c>
      <c r="L231">
        <v>0.29039301299999998</v>
      </c>
      <c r="M231">
        <v>3.7393558E-2</v>
      </c>
      <c r="N231" t="e">
        <v>#N/A</v>
      </c>
      <c r="O231" t="e">
        <v>#N/A</v>
      </c>
    </row>
    <row r="232" spans="1:15" x14ac:dyDescent="0.25">
      <c r="A232" t="s">
        <v>9</v>
      </c>
      <c r="B232" t="s">
        <v>23</v>
      </c>
      <c r="C232" s="3" t="str">
        <f>IF($B232="GW1",VLOOKUP($A232,Matches!$A:$AC,2,FALSE),IF($B232="GW2",VLOOKUP($A232,Matches!$A:$AC,9,FALSE),IF($B232="GW3",VLOOKUP($A232,Matches!$A:$AC,16,FALSE))))</f>
        <v>Crystal Palace</v>
      </c>
      <c r="D232" s="6">
        <v>0.53344713538888289</v>
      </c>
      <c r="E232" s="6">
        <v>0.22115576000176926</v>
      </c>
      <c r="F232" s="6">
        <v>0.3122913753871136</v>
      </c>
      <c r="G232" s="3" t="s">
        <v>1</v>
      </c>
      <c r="H232" t="e">
        <v>#N/A</v>
      </c>
      <c r="I232" t="e">
        <v>#N/A</v>
      </c>
      <c r="J232" t="e">
        <v>#N/A</v>
      </c>
      <c r="K232">
        <v>0.35467980300000002</v>
      </c>
      <c r="L232">
        <v>0.29039301299999998</v>
      </c>
      <c r="M232">
        <v>3.7393558E-2</v>
      </c>
      <c r="N232" t="e">
        <v>#N/A</v>
      </c>
      <c r="O232" t="e">
        <v>#N/A</v>
      </c>
    </row>
    <row r="233" spans="1:15" x14ac:dyDescent="0.25">
      <c r="A233" t="s">
        <v>9</v>
      </c>
      <c r="B233" t="s">
        <v>23</v>
      </c>
      <c r="C233" s="3" t="str">
        <f>IF($B233="GW1",VLOOKUP($A233,Matches!$A:$AC,2,FALSE),IF($B233="GW2",VLOOKUP($A233,Matches!$A:$AC,9,FALSE),IF($B233="GW3",VLOOKUP($A233,Matches!$A:$AC,16,FALSE))))</f>
        <v>Crystal Palace</v>
      </c>
      <c r="D233" s="6">
        <v>0.53344713538888289</v>
      </c>
      <c r="E233" s="6">
        <v>0.22115576000176926</v>
      </c>
      <c r="F233" s="6">
        <v>0.3122913753871136</v>
      </c>
      <c r="G233" s="3" t="s">
        <v>1</v>
      </c>
      <c r="H233">
        <v>9.5238094999999995E-2</v>
      </c>
      <c r="I233">
        <v>4.5351474000000003E-2</v>
      </c>
      <c r="J233">
        <v>0.15873015900000001</v>
      </c>
      <c r="K233">
        <v>0.35467980300000002</v>
      </c>
      <c r="L233">
        <v>0.29039301299999998</v>
      </c>
      <c r="M233">
        <v>3.7393558E-2</v>
      </c>
      <c r="N233" t="e">
        <v>#N/A</v>
      </c>
      <c r="O233" t="e">
        <v>#N/A</v>
      </c>
    </row>
    <row r="234" spans="1:15" x14ac:dyDescent="0.25">
      <c r="A234" t="s">
        <v>9</v>
      </c>
      <c r="B234" t="s">
        <v>23</v>
      </c>
      <c r="C234" s="3" t="str">
        <f>IF($B234="GW1",VLOOKUP($A234,Matches!$A:$AC,2,FALSE),IF($B234="GW2",VLOOKUP($A234,Matches!$A:$AC,9,FALSE),IF($B234="GW3",VLOOKUP($A234,Matches!$A:$AC,16,FALSE))))</f>
        <v>Crystal Palace</v>
      </c>
      <c r="D234" s="6">
        <v>0.53344713538888289</v>
      </c>
      <c r="E234" s="6">
        <v>0.22115576000176926</v>
      </c>
      <c r="F234" s="6">
        <v>0.3122913753871136</v>
      </c>
      <c r="G234" s="3" t="s">
        <v>1</v>
      </c>
      <c r="H234">
        <v>0.11904761899999999</v>
      </c>
      <c r="I234">
        <v>0.13605442200000001</v>
      </c>
      <c r="J234">
        <v>0.23809523799999999</v>
      </c>
      <c r="K234">
        <v>0.35467980300000002</v>
      </c>
      <c r="L234">
        <v>0.29039301299999998</v>
      </c>
      <c r="M234">
        <v>3.7393558E-2</v>
      </c>
      <c r="N234" t="e">
        <v>#N/A</v>
      </c>
      <c r="O234" t="e">
        <v>#N/A</v>
      </c>
    </row>
    <row r="235" spans="1:15" x14ac:dyDescent="0.25">
      <c r="A235" t="s">
        <v>9</v>
      </c>
      <c r="B235" t="s">
        <v>23</v>
      </c>
      <c r="C235" s="3" t="str">
        <f>IF($B235="GW1",VLOOKUP($A235,Matches!$A:$AC,2,FALSE),IF($B235="GW2",VLOOKUP($A235,Matches!$A:$AC,9,FALSE),IF($B235="GW3",VLOOKUP($A235,Matches!$A:$AC,16,FALSE))))</f>
        <v>Crystal Palace</v>
      </c>
      <c r="D235" s="6">
        <v>0.53344713538888289</v>
      </c>
      <c r="E235" s="6">
        <v>0.22115576000176926</v>
      </c>
      <c r="F235" s="6">
        <v>0.3122913753871136</v>
      </c>
      <c r="G235" s="3" t="s">
        <v>1</v>
      </c>
      <c r="H235" t="e">
        <v>#N/A</v>
      </c>
      <c r="I235" t="e">
        <v>#N/A</v>
      </c>
      <c r="J235" t="e">
        <v>#N/A</v>
      </c>
      <c r="K235">
        <v>0.35467980300000002</v>
      </c>
      <c r="L235">
        <v>0.29039301299999998</v>
      </c>
      <c r="M235">
        <v>3.7393558E-2</v>
      </c>
      <c r="N235" t="e">
        <v>#N/A</v>
      </c>
      <c r="O235" t="e">
        <v>#N/A</v>
      </c>
    </row>
    <row r="236" spans="1:15" x14ac:dyDescent="0.25">
      <c r="A236" t="s">
        <v>9</v>
      </c>
      <c r="B236" t="s">
        <v>23</v>
      </c>
      <c r="C236" s="3" t="str">
        <f>IF($B236="GW1",VLOOKUP($A236,Matches!$A:$AC,2,FALSE),IF($B236="GW2",VLOOKUP($A236,Matches!$A:$AC,9,FALSE),IF($B236="GW3",VLOOKUP($A236,Matches!$A:$AC,16,FALSE))))</f>
        <v>Crystal Palace</v>
      </c>
      <c r="D236" s="6">
        <v>0.53344713538888289</v>
      </c>
      <c r="E236" s="6">
        <v>0.22115576000176926</v>
      </c>
      <c r="F236" s="6">
        <v>0.3122913753871136</v>
      </c>
      <c r="G236" s="3" t="s">
        <v>1</v>
      </c>
      <c r="H236">
        <v>0.453514739</v>
      </c>
      <c r="I236">
        <v>0.27210884400000002</v>
      </c>
      <c r="J236">
        <v>0.19047618999999999</v>
      </c>
      <c r="K236">
        <v>0.35467980300000002</v>
      </c>
      <c r="L236">
        <v>0.29039301299999998</v>
      </c>
      <c r="M236">
        <v>3.7393558E-2</v>
      </c>
      <c r="N236" t="e">
        <v>#N/A</v>
      </c>
      <c r="O236" t="e">
        <v>#N/A</v>
      </c>
    </row>
    <row r="237" spans="1:15" x14ac:dyDescent="0.25">
      <c r="A237" t="s">
        <v>9</v>
      </c>
      <c r="B237" t="s">
        <v>23</v>
      </c>
      <c r="C237" s="3" t="str">
        <f>IF($B237="GW1",VLOOKUP($A237,Matches!$A:$AC,2,FALSE),IF($B237="GW2",VLOOKUP($A237,Matches!$A:$AC,9,FALSE),IF($B237="GW3",VLOOKUP($A237,Matches!$A:$AC,16,FALSE))))</f>
        <v>Crystal Palace</v>
      </c>
      <c r="D237" s="6">
        <v>0.53344713538888289</v>
      </c>
      <c r="E237" s="6">
        <v>0.22115576000176926</v>
      </c>
      <c r="F237" s="6">
        <v>0.3122913753871136</v>
      </c>
      <c r="G237" s="3" t="s">
        <v>1</v>
      </c>
      <c r="H237">
        <v>0.33184005300000002</v>
      </c>
      <c r="I237">
        <v>0.23809523799999999</v>
      </c>
      <c r="J237">
        <v>0.27210884400000002</v>
      </c>
      <c r="K237">
        <v>0.35467980300000002</v>
      </c>
      <c r="L237">
        <v>0.29039301299999998</v>
      </c>
      <c r="M237">
        <v>3.7393558E-2</v>
      </c>
      <c r="N237" t="e">
        <v>#N/A</v>
      </c>
      <c r="O237" t="e">
        <v>#N/A</v>
      </c>
    </row>
    <row r="238" spans="1:15" x14ac:dyDescent="0.25">
      <c r="A238" t="s">
        <v>9</v>
      </c>
      <c r="B238" t="s">
        <v>23</v>
      </c>
      <c r="C238" s="3" t="str">
        <f>IF($B238="GW1",VLOOKUP($A238,Matches!$A:$AC,2,FALSE),IF($B238="GW2",VLOOKUP($A238,Matches!$A:$AC,9,FALSE),IF($B238="GW3",VLOOKUP($A238,Matches!$A:$AC,16,FALSE))))</f>
        <v>Crystal Palace</v>
      </c>
      <c r="D238" s="6">
        <v>0.53344713538888289</v>
      </c>
      <c r="E238" s="6">
        <v>0.22115576000176926</v>
      </c>
      <c r="F238" s="6">
        <v>0.3122913753871136</v>
      </c>
      <c r="G238" s="3" t="s">
        <v>1</v>
      </c>
      <c r="H238">
        <v>0.20050125299999999</v>
      </c>
      <c r="I238">
        <v>0.19047618999999999</v>
      </c>
      <c r="J238">
        <v>0.21164021199999999</v>
      </c>
      <c r="K238">
        <v>0.35467980300000002</v>
      </c>
      <c r="L238">
        <v>0.29039301299999998</v>
      </c>
      <c r="M238">
        <v>3.7393558E-2</v>
      </c>
      <c r="N238" t="e">
        <v>#N/A</v>
      </c>
      <c r="O238" t="e">
        <v>#N/A</v>
      </c>
    </row>
    <row r="239" spans="1:15" x14ac:dyDescent="0.25">
      <c r="A239" t="s">
        <v>9</v>
      </c>
      <c r="B239" t="s">
        <v>23</v>
      </c>
      <c r="C239" s="3" t="str">
        <f>IF($B239="GW1",VLOOKUP($A239,Matches!$A:$AC,2,FALSE),IF($B239="GW2",VLOOKUP($A239,Matches!$A:$AC,9,FALSE),IF($B239="GW3",VLOOKUP($A239,Matches!$A:$AC,16,FALSE))))</f>
        <v>Crystal Palace</v>
      </c>
      <c r="D239" s="6">
        <v>0.53344713538888289</v>
      </c>
      <c r="E239" s="6">
        <v>0.22115576000176926</v>
      </c>
      <c r="F239" s="6">
        <v>0.3122913753871136</v>
      </c>
      <c r="G239" s="3" t="s">
        <v>1</v>
      </c>
      <c r="H239" t="e">
        <v>#N/A</v>
      </c>
      <c r="I239" t="e">
        <v>#N/A</v>
      </c>
      <c r="J239" t="e">
        <v>#N/A</v>
      </c>
      <c r="K239">
        <v>0.35467980300000002</v>
      </c>
      <c r="L239">
        <v>0.29039301299999998</v>
      </c>
      <c r="M239">
        <v>3.7393558E-2</v>
      </c>
      <c r="N239" t="e">
        <v>#N/A</v>
      </c>
      <c r="O239" t="e">
        <v>#N/A</v>
      </c>
    </row>
    <row r="240" spans="1:15" x14ac:dyDescent="0.25">
      <c r="A240" t="s">
        <v>9</v>
      </c>
      <c r="B240" t="s">
        <v>23</v>
      </c>
      <c r="C240" s="3" t="str">
        <f>IF($B240="GW1",VLOOKUP($A240,Matches!$A:$AC,2,FALSE),IF($B240="GW2",VLOOKUP($A240,Matches!$A:$AC,9,FALSE),IF($B240="GW3",VLOOKUP($A240,Matches!$A:$AC,16,FALSE))))</f>
        <v>Crystal Palace</v>
      </c>
      <c r="D240" s="6">
        <v>0.53344713538888289</v>
      </c>
      <c r="E240" s="6">
        <v>0.22115576000176926</v>
      </c>
      <c r="F240" s="6">
        <v>0.3122913753871136</v>
      </c>
      <c r="G240" s="3" t="s">
        <v>1</v>
      </c>
      <c r="H240">
        <v>0.297619048</v>
      </c>
      <c r="I240">
        <v>0.19047618999999999</v>
      </c>
      <c r="J240">
        <v>0.173160173</v>
      </c>
      <c r="K240">
        <v>0.35467980300000002</v>
      </c>
      <c r="L240">
        <v>0.29039301299999998</v>
      </c>
      <c r="M240">
        <v>3.7393558E-2</v>
      </c>
      <c r="N240" t="e">
        <v>#N/A</v>
      </c>
      <c r="O240" t="e">
        <v>#N/A</v>
      </c>
    </row>
    <row r="241" spans="1:15" x14ac:dyDescent="0.25">
      <c r="A241" t="s">
        <v>9</v>
      </c>
      <c r="B241" t="s">
        <v>23</v>
      </c>
      <c r="C241" s="3" t="str">
        <f>IF($B241="GW1",VLOOKUP($A241,Matches!$A:$AC,2,FALSE),IF($B241="GW2",VLOOKUP($A241,Matches!$A:$AC,9,FALSE),IF($B241="GW3",VLOOKUP($A241,Matches!$A:$AC,16,FALSE))))</f>
        <v>Crystal Palace</v>
      </c>
      <c r="D241" s="6">
        <v>0.53344713538888289</v>
      </c>
      <c r="E241" s="6">
        <v>0.22115576000176926</v>
      </c>
      <c r="F241" s="6">
        <v>0.3122913753871136</v>
      </c>
      <c r="G241" s="3" t="s">
        <v>1</v>
      </c>
      <c r="H241">
        <v>0.39682539700000002</v>
      </c>
      <c r="I241">
        <v>0.19047618999999999</v>
      </c>
      <c r="J241">
        <v>0.14652014699999999</v>
      </c>
      <c r="K241">
        <v>0.35467980300000002</v>
      </c>
      <c r="L241">
        <v>0.29039301299999998</v>
      </c>
      <c r="M241">
        <v>3.7393558E-2</v>
      </c>
      <c r="N241" t="e">
        <v>#N/A</v>
      </c>
      <c r="O241" t="e">
        <v>#N/A</v>
      </c>
    </row>
    <row r="242" spans="1:15" x14ac:dyDescent="0.25">
      <c r="A242" t="s">
        <v>9</v>
      </c>
      <c r="B242" t="s">
        <v>23</v>
      </c>
      <c r="C242" s="3" t="str">
        <f>IF($B242="GW1",VLOOKUP($A242,Matches!$A:$AC,2,FALSE),IF($B242="GW2",VLOOKUP($A242,Matches!$A:$AC,9,FALSE),IF($B242="GW3",VLOOKUP($A242,Matches!$A:$AC,16,FALSE))))</f>
        <v>Crystal Palace</v>
      </c>
      <c r="D242" s="6">
        <v>0.53344713538888289</v>
      </c>
      <c r="E242" s="6">
        <v>0.22115576000176926</v>
      </c>
      <c r="F242" s="6">
        <v>0.3122913753871136</v>
      </c>
      <c r="G242" s="3" t="s">
        <v>1</v>
      </c>
      <c r="H242">
        <v>0.11904761899999999</v>
      </c>
      <c r="I242">
        <v>9.5238094999999995E-2</v>
      </c>
      <c r="J242">
        <v>0.27210884400000002</v>
      </c>
      <c r="K242">
        <v>0.35467980300000002</v>
      </c>
      <c r="L242">
        <v>0.29039301299999998</v>
      </c>
      <c r="M242">
        <v>3.7393558E-2</v>
      </c>
      <c r="N242" t="e">
        <v>#N/A</v>
      </c>
      <c r="O242" t="e">
        <v>#N/A</v>
      </c>
    </row>
    <row r="243" spans="1:15" x14ac:dyDescent="0.25">
      <c r="A243" t="s">
        <v>9</v>
      </c>
      <c r="B243" t="s">
        <v>23</v>
      </c>
      <c r="C243" s="3" t="str">
        <f>IF($B243="GW1",VLOOKUP($A243,Matches!$A:$AC,2,FALSE),IF($B243="GW2",VLOOKUP($A243,Matches!$A:$AC,9,FALSE),IF($B243="GW3",VLOOKUP($A243,Matches!$A:$AC,16,FALSE))))</f>
        <v>Crystal Palace</v>
      </c>
      <c r="D243" s="6">
        <v>0.53344713538888289</v>
      </c>
      <c r="E243" s="6">
        <v>0.22115576000176926</v>
      </c>
      <c r="F243" s="6">
        <v>0.3122913753871136</v>
      </c>
      <c r="G243" s="3" t="s">
        <v>1</v>
      </c>
      <c r="H243">
        <v>0.126984127</v>
      </c>
      <c r="I243">
        <v>0.105820106</v>
      </c>
      <c r="J243">
        <v>0.21164021199999999</v>
      </c>
      <c r="K243">
        <v>0.35467980300000002</v>
      </c>
      <c r="L243">
        <v>0.29039301299999998</v>
      </c>
      <c r="M243">
        <v>3.7393558E-2</v>
      </c>
      <c r="N243" t="e">
        <v>#N/A</v>
      </c>
      <c r="O243" t="e">
        <v>#N/A</v>
      </c>
    </row>
    <row r="244" spans="1:15" x14ac:dyDescent="0.25">
      <c r="A244" t="s">
        <v>9</v>
      </c>
      <c r="B244" t="s">
        <v>23</v>
      </c>
      <c r="C244" s="3" t="str">
        <f>IF($B244="GW1",VLOOKUP($A244,Matches!$A:$AC,2,FALSE),IF($B244="GW2",VLOOKUP($A244,Matches!$A:$AC,9,FALSE),IF($B244="GW3",VLOOKUP($A244,Matches!$A:$AC,16,FALSE))))</f>
        <v>Crystal Palace</v>
      </c>
      <c r="D244" s="6">
        <v>0.53344713538888289</v>
      </c>
      <c r="E244" s="6">
        <v>0.22115576000176926</v>
      </c>
      <c r="F244" s="6">
        <v>0.3122913753871136</v>
      </c>
      <c r="G244" s="3" t="s">
        <v>1</v>
      </c>
      <c r="H244">
        <v>0.297619048</v>
      </c>
      <c r="I244">
        <v>0.19047618999999999</v>
      </c>
      <c r="J244">
        <v>0.173160173</v>
      </c>
      <c r="K244">
        <v>0.35467980300000002</v>
      </c>
      <c r="L244">
        <v>0.29039301299999998</v>
      </c>
      <c r="M244">
        <v>3.7393558E-2</v>
      </c>
      <c r="N244" t="e">
        <v>#N/A</v>
      </c>
      <c r="O244" t="e">
        <v>#N/A</v>
      </c>
    </row>
    <row r="245" spans="1:15" x14ac:dyDescent="0.25">
      <c r="A245" t="s">
        <v>9</v>
      </c>
      <c r="B245" t="s">
        <v>23</v>
      </c>
      <c r="C245" s="3" t="str">
        <f>IF($B245="GW1",VLOOKUP($A245,Matches!$A:$AC,2,FALSE),IF($B245="GW2",VLOOKUP($A245,Matches!$A:$AC,9,FALSE),IF($B245="GW3",VLOOKUP($A245,Matches!$A:$AC,16,FALSE))))</f>
        <v>Crystal Palace</v>
      </c>
      <c r="D245" s="6">
        <v>0.53344713538888289</v>
      </c>
      <c r="E245" s="6">
        <v>0.22115576000176926</v>
      </c>
      <c r="F245" s="6">
        <v>0.3122913753871136</v>
      </c>
      <c r="G245" s="3" t="s">
        <v>1</v>
      </c>
      <c r="H245" t="e">
        <v>#N/A</v>
      </c>
      <c r="I245" t="e">
        <v>#N/A</v>
      </c>
      <c r="J245" t="e">
        <v>#N/A</v>
      </c>
      <c r="K245">
        <v>0.35467980300000002</v>
      </c>
      <c r="L245">
        <v>0.29039301299999998</v>
      </c>
      <c r="M245">
        <v>3.7393558E-2</v>
      </c>
      <c r="N245" t="e">
        <v>#N/A</v>
      </c>
      <c r="O245" t="e">
        <v>#N/A</v>
      </c>
    </row>
    <row r="246" spans="1:15" x14ac:dyDescent="0.25">
      <c r="A246" t="s">
        <v>9</v>
      </c>
      <c r="B246" t="s">
        <v>23</v>
      </c>
      <c r="C246" s="3" t="str">
        <f>IF($B246="GW1",VLOOKUP($A246,Matches!$A:$AC,2,FALSE),IF($B246="GW2",VLOOKUP($A246,Matches!$A:$AC,9,FALSE),IF($B246="GW3",VLOOKUP($A246,Matches!$A:$AC,16,FALSE))))</f>
        <v>Crystal Palace</v>
      </c>
      <c r="D246" s="6">
        <v>0.53344713538888289</v>
      </c>
      <c r="E246" s="6">
        <v>0.22115576000176926</v>
      </c>
      <c r="F246" s="6">
        <v>0.3122913753871136</v>
      </c>
      <c r="G246" s="3" t="s">
        <v>1</v>
      </c>
      <c r="H246" t="e">
        <v>#N/A</v>
      </c>
      <c r="I246" t="e">
        <v>#N/A</v>
      </c>
      <c r="J246" t="e">
        <v>#N/A</v>
      </c>
      <c r="K246">
        <v>0.35467980300000002</v>
      </c>
      <c r="L246">
        <v>0.29039301299999998</v>
      </c>
      <c r="M246">
        <v>3.7393558E-2</v>
      </c>
      <c r="N246" t="e">
        <v>#N/A</v>
      </c>
      <c r="O246" t="e">
        <v>#N/A</v>
      </c>
    </row>
    <row r="247" spans="1:15" x14ac:dyDescent="0.25">
      <c r="A247" t="s">
        <v>9</v>
      </c>
      <c r="B247" t="s">
        <v>23</v>
      </c>
      <c r="C247" s="3" t="str">
        <f>IF($B247="GW1",VLOOKUP($A247,Matches!$A:$AC,2,FALSE),IF($B247="GW2",VLOOKUP($A247,Matches!$A:$AC,9,FALSE),IF($B247="GW3",VLOOKUP($A247,Matches!$A:$AC,16,FALSE))))</f>
        <v>Crystal Palace</v>
      </c>
      <c r="D247" s="6">
        <v>0.53344713538888289</v>
      </c>
      <c r="E247" s="6">
        <v>0.22115576000176926</v>
      </c>
      <c r="F247" s="6">
        <v>0.3122913753871136</v>
      </c>
      <c r="G247" s="3" t="s">
        <v>1</v>
      </c>
      <c r="H247" t="e">
        <v>#N/A</v>
      </c>
      <c r="I247" t="e">
        <v>#N/A</v>
      </c>
      <c r="J247" t="e">
        <v>#N/A</v>
      </c>
      <c r="K247">
        <v>0.35467980300000002</v>
      </c>
      <c r="L247">
        <v>0.29039301299999998</v>
      </c>
      <c r="M247">
        <v>3.7393558E-2</v>
      </c>
      <c r="N247" t="e">
        <v>#N/A</v>
      </c>
      <c r="O247" t="e">
        <v>#N/A</v>
      </c>
    </row>
    <row r="248" spans="1:15" x14ac:dyDescent="0.25">
      <c r="A248" t="s">
        <v>9</v>
      </c>
      <c r="B248" t="s">
        <v>23</v>
      </c>
      <c r="C248" s="3" t="str">
        <f>IF($B248="GW1",VLOOKUP($A248,Matches!$A:$AC,2,FALSE),IF($B248="GW2",VLOOKUP($A248,Matches!$A:$AC,9,FALSE),IF($B248="GW3",VLOOKUP($A248,Matches!$A:$AC,16,FALSE))))</f>
        <v>Crystal Palace</v>
      </c>
      <c r="D248" s="6">
        <v>0.53344713538888289</v>
      </c>
      <c r="E248" s="6">
        <v>0.22115576000176926</v>
      </c>
      <c r="F248" s="6">
        <v>0.3122913753871136</v>
      </c>
      <c r="G248" s="3" t="s">
        <v>1</v>
      </c>
      <c r="H248" t="e">
        <v>#N/A</v>
      </c>
      <c r="I248" t="e">
        <v>#N/A</v>
      </c>
      <c r="J248" t="e">
        <v>#N/A</v>
      </c>
      <c r="K248">
        <v>0.35467980300000002</v>
      </c>
      <c r="L248">
        <v>0.29039301299999998</v>
      </c>
      <c r="M248">
        <v>3.7393558E-2</v>
      </c>
      <c r="N248" t="e">
        <v>#N/A</v>
      </c>
      <c r="O248" t="e">
        <v>#N/A</v>
      </c>
    </row>
    <row r="249" spans="1:15" x14ac:dyDescent="0.25">
      <c r="A249" t="s">
        <v>9</v>
      </c>
      <c r="B249" t="s">
        <v>23</v>
      </c>
      <c r="C249" s="3" t="str">
        <f>IF($B249="GW1",VLOOKUP($A249,Matches!$A:$AC,2,FALSE),IF($B249="GW2",VLOOKUP($A249,Matches!$A:$AC,9,FALSE),IF($B249="GW3",VLOOKUP($A249,Matches!$A:$AC,16,FALSE))))</f>
        <v>Crystal Palace</v>
      </c>
      <c r="D249" s="6">
        <v>0.53344713538888289</v>
      </c>
      <c r="E249" s="6">
        <v>0.22115576000176926</v>
      </c>
      <c r="F249" s="6">
        <v>0.3122913753871136</v>
      </c>
      <c r="G249" s="3" t="s">
        <v>1</v>
      </c>
      <c r="H249" t="e">
        <v>#N/A</v>
      </c>
      <c r="I249" t="e">
        <v>#N/A</v>
      </c>
      <c r="J249" t="e">
        <v>#N/A</v>
      </c>
      <c r="K249">
        <v>0.35467980300000002</v>
      </c>
      <c r="L249">
        <v>0.29039301299999998</v>
      </c>
      <c r="M249">
        <v>3.7393558E-2</v>
      </c>
      <c r="N249" t="e">
        <v>#N/A</v>
      </c>
      <c r="O249" t="e">
        <v>#N/A</v>
      </c>
    </row>
    <row r="250" spans="1:15" x14ac:dyDescent="0.25">
      <c r="A250" t="s">
        <v>9</v>
      </c>
      <c r="B250" t="s">
        <v>23</v>
      </c>
      <c r="C250" s="3" t="str">
        <f>IF($B250="GW1",VLOOKUP($A250,Matches!$A:$AC,2,FALSE),IF($B250="GW2",VLOOKUP($A250,Matches!$A:$AC,9,FALSE),IF($B250="GW3",VLOOKUP($A250,Matches!$A:$AC,16,FALSE))))</f>
        <v>Crystal Palace</v>
      </c>
      <c r="D250" s="6">
        <v>0.53344713538888289</v>
      </c>
      <c r="E250" s="6">
        <v>0.22115576000176926</v>
      </c>
      <c r="F250" s="6">
        <v>0.3122913753871136</v>
      </c>
      <c r="G250" s="3" t="s">
        <v>1</v>
      </c>
      <c r="H250">
        <v>0.39682539700000002</v>
      </c>
      <c r="I250">
        <v>0.19047618999999999</v>
      </c>
      <c r="J250">
        <v>0.173160173</v>
      </c>
      <c r="K250">
        <v>0.35467980300000002</v>
      </c>
      <c r="L250">
        <v>0.29039301299999998</v>
      </c>
      <c r="M250">
        <v>3.7393558E-2</v>
      </c>
      <c r="N250" t="e">
        <v>#N/A</v>
      </c>
      <c r="O250" t="e">
        <v>#N/A</v>
      </c>
    </row>
    <row r="251" spans="1:15" x14ac:dyDescent="0.25">
      <c r="A251" t="s">
        <v>9</v>
      </c>
      <c r="B251" t="s">
        <v>23</v>
      </c>
      <c r="C251" s="3" t="str">
        <f>IF($B251="GW1",VLOOKUP($A251,Matches!$A:$AC,2,FALSE),IF($B251="GW2",VLOOKUP($A251,Matches!$A:$AC,9,FALSE),IF($B251="GW3",VLOOKUP($A251,Matches!$A:$AC,16,FALSE))))</f>
        <v>Crystal Palace</v>
      </c>
      <c r="D251" s="6">
        <v>0.53344713538888289</v>
      </c>
      <c r="E251" s="6">
        <v>0.22115576000176926</v>
      </c>
      <c r="F251" s="6">
        <v>0.3122913753871136</v>
      </c>
      <c r="G251" s="3" t="s">
        <v>1</v>
      </c>
      <c r="H251">
        <v>0.39682539700000002</v>
      </c>
      <c r="I251">
        <v>0.11904761899999999</v>
      </c>
      <c r="J251">
        <v>0.21164021199999999</v>
      </c>
      <c r="K251">
        <v>0.35467980300000002</v>
      </c>
      <c r="L251">
        <v>0.29039301299999998</v>
      </c>
      <c r="M251">
        <v>3.7393558E-2</v>
      </c>
      <c r="N251" t="e">
        <v>#N/A</v>
      </c>
      <c r="O251" t="e">
        <v>#N/A</v>
      </c>
    </row>
    <row r="252" spans="1:15" x14ac:dyDescent="0.25">
      <c r="A252" t="s">
        <v>9</v>
      </c>
      <c r="B252" t="s">
        <v>23</v>
      </c>
      <c r="C252" s="3" t="str">
        <f>IF($B252="GW1",VLOOKUP($A252,Matches!$A:$AC,2,FALSE),IF($B252="GW2",VLOOKUP($A252,Matches!$A:$AC,9,FALSE),IF($B252="GW3",VLOOKUP($A252,Matches!$A:$AC,16,FALSE))))</f>
        <v>Crystal Palace</v>
      </c>
      <c r="D252" s="6">
        <v>0.53344713538888289</v>
      </c>
      <c r="E252" s="6">
        <v>0.22115576000176926</v>
      </c>
      <c r="F252" s="6">
        <v>0.3122913753871136</v>
      </c>
      <c r="G252" s="3" t="s">
        <v>1</v>
      </c>
      <c r="H252" t="e">
        <v>#N/A</v>
      </c>
      <c r="I252" t="e">
        <v>#N/A</v>
      </c>
      <c r="J252" t="e">
        <v>#N/A</v>
      </c>
      <c r="K252">
        <v>0.35467980300000002</v>
      </c>
      <c r="L252">
        <v>0.29039301299999998</v>
      </c>
      <c r="M252">
        <v>3.7393558E-2</v>
      </c>
      <c r="N252" t="e">
        <v>#N/A</v>
      </c>
      <c r="O252" t="e">
        <v>#N/A</v>
      </c>
    </row>
    <row r="253" spans="1:15" x14ac:dyDescent="0.25">
      <c r="A253" t="s">
        <v>9</v>
      </c>
      <c r="B253" t="s">
        <v>23</v>
      </c>
      <c r="C253" s="3" t="str">
        <f>IF($B253="GW1",VLOOKUP($A253,Matches!$A:$AC,2,FALSE),IF($B253="GW2",VLOOKUP($A253,Matches!$A:$AC,9,FALSE),IF($B253="GW3",VLOOKUP($A253,Matches!$A:$AC,16,FALSE))))</f>
        <v>Crystal Palace</v>
      </c>
      <c r="D253" s="6">
        <v>0.53344713538888289</v>
      </c>
      <c r="E253" s="6">
        <v>0.22115576000176926</v>
      </c>
      <c r="F253" s="6">
        <v>0.3122913753871136</v>
      </c>
      <c r="G253" s="3" t="s">
        <v>1</v>
      </c>
      <c r="H253" t="e">
        <v>#N/A</v>
      </c>
      <c r="I253" t="e">
        <v>#N/A</v>
      </c>
      <c r="J253" t="e">
        <v>#N/A</v>
      </c>
      <c r="K253">
        <v>0.35467980300000002</v>
      </c>
      <c r="L253">
        <v>0.29039301299999998</v>
      </c>
      <c r="M253">
        <v>3.7393558E-2</v>
      </c>
      <c r="N253" t="e">
        <v>#N/A</v>
      </c>
      <c r="O253" t="e">
        <v>#N/A</v>
      </c>
    </row>
    <row r="254" spans="1:15" x14ac:dyDescent="0.25">
      <c r="A254" t="s">
        <v>10</v>
      </c>
      <c r="B254" t="s">
        <v>23</v>
      </c>
      <c r="C254" s="3" t="str">
        <f>IF($B254="GW1",VLOOKUP($A254,Matches!$A:$AC,2,FALSE),IF($B254="GW2",VLOOKUP($A254,Matches!$A:$AC,9,FALSE),IF($B254="GW3",VLOOKUP($A254,Matches!$A:$AC,16,FALSE))))</f>
        <v>Chelsea</v>
      </c>
      <c r="D254" s="6">
        <v>0.22115576000176926</v>
      </c>
      <c r="E254" s="6">
        <v>0.53344713538888289</v>
      </c>
      <c r="F254" s="6">
        <v>-0.3122913753871136</v>
      </c>
      <c r="G254" s="3" t="s">
        <v>0</v>
      </c>
      <c r="H254" t="e">
        <v>#N/A</v>
      </c>
      <c r="I254" t="e">
        <v>#N/A</v>
      </c>
      <c r="J254">
        <v>0.15873015900000001</v>
      </c>
      <c r="K254">
        <v>0.14586071</v>
      </c>
      <c r="L254">
        <v>0.58900523599999999</v>
      </c>
      <c r="M254">
        <v>0.157303371</v>
      </c>
      <c r="N254">
        <v>0.76190476200000001</v>
      </c>
      <c r="O254">
        <v>0.23809523799999999</v>
      </c>
    </row>
    <row r="255" spans="1:15" x14ac:dyDescent="0.25">
      <c r="A255" t="s">
        <v>10</v>
      </c>
      <c r="B255" t="s">
        <v>23</v>
      </c>
      <c r="C255" s="3" t="str">
        <f>IF($B255="GW1",VLOOKUP($A255,Matches!$A:$AC,2,FALSE),IF($B255="GW2",VLOOKUP($A255,Matches!$A:$AC,9,FALSE),IF($B255="GW3",VLOOKUP($A255,Matches!$A:$AC,16,FALSE))))</f>
        <v>Chelsea</v>
      </c>
      <c r="D255" s="6">
        <v>0.22115576000176926</v>
      </c>
      <c r="E255" s="6">
        <v>0.53344713538888289</v>
      </c>
      <c r="F255" s="6">
        <v>-0.3122913753871136</v>
      </c>
      <c r="G255" s="3" t="s">
        <v>0</v>
      </c>
      <c r="H255" t="e">
        <v>#N/A</v>
      </c>
      <c r="I255" t="e">
        <v>#N/A</v>
      </c>
      <c r="J255" t="e">
        <v>#N/A</v>
      </c>
      <c r="K255">
        <v>0.14586071</v>
      </c>
      <c r="L255">
        <v>0.58900523599999999</v>
      </c>
      <c r="M255">
        <v>0.157303371</v>
      </c>
      <c r="N255" t="e">
        <v>#N/A</v>
      </c>
      <c r="O255" t="e">
        <v>#N/A</v>
      </c>
    </row>
    <row r="256" spans="1:15" x14ac:dyDescent="0.25">
      <c r="A256" t="s">
        <v>10</v>
      </c>
      <c r="B256" t="s">
        <v>23</v>
      </c>
      <c r="C256" s="3" t="str">
        <f>IF($B256="GW1",VLOOKUP($A256,Matches!$A:$AC,2,FALSE),IF($B256="GW2",VLOOKUP($A256,Matches!$A:$AC,9,FALSE),IF($B256="GW3",VLOOKUP($A256,Matches!$A:$AC,16,FALSE))))</f>
        <v>Chelsea</v>
      </c>
      <c r="D256" s="6">
        <v>0.22115576000176926</v>
      </c>
      <c r="E256" s="6">
        <v>0.53344713538888289</v>
      </c>
      <c r="F256" s="6">
        <v>-0.3122913753871136</v>
      </c>
      <c r="G256" s="3" t="s">
        <v>0</v>
      </c>
      <c r="H256" t="e">
        <v>#N/A</v>
      </c>
      <c r="I256" t="e">
        <v>#N/A</v>
      </c>
      <c r="J256">
        <v>0.23809523799999999</v>
      </c>
      <c r="K256">
        <v>0.14586071</v>
      </c>
      <c r="L256">
        <v>0.58900523599999999</v>
      </c>
      <c r="M256">
        <v>0.157303371</v>
      </c>
      <c r="N256" t="e">
        <v>#N/A</v>
      </c>
      <c r="O256" t="e">
        <v>#N/A</v>
      </c>
    </row>
    <row r="257" spans="1:15" x14ac:dyDescent="0.25">
      <c r="A257" t="s">
        <v>10</v>
      </c>
      <c r="B257" t="s">
        <v>23</v>
      </c>
      <c r="C257" s="3" t="str">
        <f>IF($B257="GW1",VLOOKUP($A257,Matches!$A:$AC,2,FALSE),IF($B257="GW2",VLOOKUP($A257,Matches!$A:$AC,9,FALSE),IF($B257="GW3",VLOOKUP($A257,Matches!$A:$AC,16,FALSE))))</f>
        <v>Chelsea</v>
      </c>
      <c r="D257" s="6">
        <v>0.22115576000176926</v>
      </c>
      <c r="E257" s="6">
        <v>0.53344713538888289</v>
      </c>
      <c r="F257" s="6">
        <v>-0.3122913753871136</v>
      </c>
      <c r="G257" s="3" t="s">
        <v>0</v>
      </c>
      <c r="H257">
        <v>0.105820106</v>
      </c>
      <c r="I257">
        <v>0.105820106</v>
      </c>
      <c r="J257">
        <v>0.297619048</v>
      </c>
      <c r="K257">
        <v>0.14586071</v>
      </c>
      <c r="L257">
        <v>0.58900523599999999</v>
      </c>
      <c r="M257">
        <v>0.157303371</v>
      </c>
      <c r="N257" t="e">
        <v>#N/A</v>
      </c>
      <c r="O257" t="e">
        <v>#N/A</v>
      </c>
    </row>
    <row r="258" spans="1:15" x14ac:dyDescent="0.25">
      <c r="A258" t="s">
        <v>10</v>
      </c>
      <c r="B258" t="s">
        <v>23</v>
      </c>
      <c r="C258" s="3" t="str">
        <f>IF($B258="GW1",VLOOKUP($A258,Matches!$A:$AC,2,FALSE),IF($B258="GW2",VLOOKUP($A258,Matches!$A:$AC,9,FALSE),IF($B258="GW3",VLOOKUP($A258,Matches!$A:$AC,16,FALSE))))</f>
        <v>Chelsea</v>
      </c>
      <c r="D258" s="6">
        <v>0.22115576000176926</v>
      </c>
      <c r="E258" s="6">
        <v>0.53344713538888289</v>
      </c>
      <c r="F258" s="6">
        <v>-0.3122913753871136</v>
      </c>
      <c r="G258" s="3" t="s">
        <v>0</v>
      </c>
      <c r="H258">
        <v>5.6022409000000002E-2</v>
      </c>
      <c r="I258">
        <v>4.1407867000000001E-2</v>
      </c>
      <c r="J258">
        <v>0.20050125299999999</v>
      </c>
      <c r="K258">
        <v>0.14586071</v>
      </c>
      <c r="L258">
        <v>0.58900523599999999</v>
      </c>
      <c r="M258">
        <v>0.157303371</v>
      </c>
      <c r="N258" t="e">
        <v>#N/A</v>
      </c>
      <c r="O258" t="e">
        <v>#N/A</v>
      </c>
    </row>
    <row r="259" spans="1:15" x14ac:dyDescent="0.25">
      <c r="A259" t="s">
        <v>10</v>
      </c>
      <c r="B259" t="s">
        <v>23</v>
      </c>
      <c r="C259" s="3" t="str">
        <f>IF($B259="GW1",VLOOKUP($A259,Matches!$A:$AC,2,FALSE),IF($B259="GW2",VLOOKUP($A259,Matches!$A:$AC,9,FALSE),IF($B259="GW3",VLOOKUP($A259,Matches!$A:$AC,16,FALSE))))</f>
        <v>Chelsea</v>
      </c>
      <c r="D259" s="6">
        <v>0.22115576000176926</v>
      </c>
      <c r="E259" s="6">
        <v>0.53344713538888289</v>
      </c>
      <c r="F259" s="6">
        <v>-0.3122913753871136</v>
      </c>
      <c r="G259" s="3" t="s">
        <v>0</v>
      </c>
      <c r="H259">
        <v>6.3492063000000001E-2</v>
      </c>
      <c r="I259">
        <v>8.6580087E-2</v>
      </c>
      <c r="J259">
        <v>0.19047618999999999</v>
      </c>
      <c r="K259">
        <v>0.14586071</v>
      </c>
      <c r="L259">
        <v>0.58900523599999999</v>
      </c>
      <c r="M259">
        <v>0.157303371</v>
      </c>
      <c r="N259" t="e">
        <v>#N/A</v>
      </c>
      <c r="O259" t="e">
        <v>#N/A</v>
      </c>
    </row>
    <row r="260" spans="1:15" x14ac:dyDescent="0.25">
      <c r="A260" t="s">
        <v>10</v>
      </c>
      <c r="B260" t="s">
        <v>23</v>
      </c>
      <c r="C260" s="3" t="str">
        <f>IF($B260="GW1",VLOOKUP($A260,Matches!$A:$AC,2,FALSE),IF($B260="GW2",VLOOKUP($A260,Matches!$A:$AC,9,FALSE),IF($B260="GW3",VLOOKUP($A260,Matches!$A:$AC,16,FALSE))))</f>
        <v>Chelsea</v>
      </c>
      <c r="D260" s="6">
        <v>0.22115576000176926</v>
      </c>
      <c r="E260" s="6">
        <v>0.53344713538888289</v>
      </c>
      <c r="F260" s="6">
        <v>-0.3122913753871136</v>
      </c>
      <c r="G260" s="3" t="s">
        <v>0</v>
      </c>
      <c r="H260">
        <v>5.6022409000000002E-2</v>
      </c>
      <c r="I260">
        <v>0.105820106</v>
      </c>
      <c r="J260">
        <v>0.297619048</v>
      </c>
      <c r="K260">
        <v>0.14586071</v>
      </c>
      <c r="L260">
        <v>0.58900523599999999</v>
      </c>
      <c r="M260">
        <v>0.157303371</v>
      </c>
      <c r="N260" t="e">
        <v>#N/A</v>
      </c>
      <c r="O260" t="e">
        <v>#N/A</v>
      </c>
    </row>
    <row r="261" spans="1:15" x14ac:dyDescent="0.25">
      <c r="A261" t="s">
        <v>10</v>
      </c>
      <c r="B261" t="s">
        <v>23</v>
      </c>
      <c r="C261" s="3" t="str">
        <f>IF($B261="GW1",VLOOKUP($A261,Matches!$A:$AC,2,FALSE),IF($B261="GW2",VLOOKUP($A261,Matches!$A:$AC,9,FALSE),IF($B261="GW3",VLOOKUP($A261,Matches!$A:$AC,16,FALSE))))</f>
        <v>Chelsea</v>
      </c>
      <c r="D261" s="6">
        <v>0.22115576000176926</v>
      </c>
      <c r="E261" s="6">
        <v>0.53344713538888289</v>
      </c>
      <c r="F261" s="6">
        <v>-0.3122913753871136</v>
      </c>
      <c r="G261" s="3" t="s">
        <v>0</v>
      </c>
      <c r="H261">
        <v>6.3492063000000001E-2</v>
      </c>
      <c r="I261">
        <v>2.8011204000000001E-2</v>
      </c>
      <c r="J261">
        <v>0.20050125299999999</v>
      </c>
      <c r="K261">
        <v>0.14586071</v>
      </c>
      <c r="L261">
        <v>0.58900523599999999</v>
      </c>
      <c r="M261">
        <v>0.157303371</v>
      </c>
      <c r="N261" t="e">
        <v>#N/A</v>
      </c>
      <c r="O261" t="e">
        <v>#N/A</v>
      </c>
    </row>
    <row r="262" spans="1:15" x14ac:dyDescent="0.25">
      <c r="A262" t="s">
        <v>10</v>
      </c>
      <c r="B262" t="s">
        <v>23</v>
      </c>
      <c r="C262" s="3" t="str">
        <f>IF($B262="GW1",VLOOKUP($A262,Matches!$A:$AC,2,FALSE),IF($B262="GW2",VLOOKUP($A262,Matches!$A:$AC,9,FALSE),IF($B262="GW3",VLOOKUP($A262,Matches!$A:$AC,16,FALSE))))</f>
        <v>Chelsea</v>
      </c>
      <c r="D262" s="6">
        <v>0.22115576000176926</v>
      </c>
      <c r="E262" s="6">
        <v>0.53344713538888289</v>
      </c>
      <c r="F262" s="6">
        <v>-0.3122913753871136</v>
      </c>
      <c r="G262" s="3" t="s">
        <v>0</v>
      </c>
      <c r="H262">
        <v>6.3492063000000001E-2</v>
      </c>
      <c r="I262">
        <v>2.8011204000000001E-2</v>
      </c>
      <c r="J262">
        <v>0.20050125299999999</v>
      </c>
      <c r="K262">
        <v>0.14586071</v>
      </c>
      <c r="L262">
        <v>0.58900523599999999</v>
      </c>
      <c r="M262">
        <v>0.157303371</v>
      </c>
      <c r="N262" t="e">
        <v>#N/A</v>
      </c>
      <c r="O262" t="e">
        <v>#N/A</v>
      </c>
    </row>
    <row r="263" spans="1:15" x14ac:dyDescent="0.25">
      <c r="A263" t="s">
        <v>10</v>
      </c>
      <c r="B263" t="s">
        <v>23</v>
      </c>
      <c r="C263" s="3" t="str">
        <f>IF($B263="GW1",VLOOKUP($A263,Matches!$A:$AC,2,FALSE),IF($B263="GW2",VLOOKUP($A263,Matches!$A:$AC,9,FALSE),IF($B263="GW3",VLOOKUP($A263,Matches!$A:$AC,16,FALSE))))</f>
        <v>Chelsea</v>
      </c>
      <c r="D263" s="6">
        <v>0.22115576000176926</v>
      </c>
      <c r="E263" s="6">
        <v>0.53344713538888289</v>
      </c>
      <c r="F263" s="6">
        <v>-0.3122913753871136</v>
      </c>
      <c r="G263" s="3" t="s">
        <v>0</v>
      </c>
      <c r="H263" t="e">
        <v>#N/A</v>
      </c>
      <c r="I263" t="e">
        <v>#N/A</v>
      </c>
      <c r="J263" t="e">
        <v>#N/A</v>
      </c>
      <c r="K263">
        <v>0.14586071</v>
      </c>
      <c r="L263">
        <v>0.58900523599999999</v>
      </c>
      <c r="M263">
        <v>0.157303371</v>
      </c>
      <c r="N263" t="e">
        <v>#N/A</v>
      </c>
      <c r="O263" t="e">
        <v>#N/A</v>
      </c>
    </row>
    <row r="264" spans="1:15" x14ac:dyDescent="0.25">
      <c r="A264" t="s">
        <v>10</v>
      </c>
      <c r="B264" t="s">
        <v>23</v>
      </c>
      <c r="C264" s="3" t="str">
        <f>IF($B264="GW1",VLOOKUP($A264,Matches!$A:$AC,2,FALSE),IF($B264="GW2",VLOOKUP($A264,Matches!$A:$AC,9,FALSE),IF($B264="GW3",VLOOKUP($A264,Matches!$A:$AC,16,FALSE))))</f>
        <v>Chelsea</v>
      </c>
      <c r="D264" s="6">
        <v>0.22115576000176926</v>
      </c>
      <c r="E264" s="6">
        <v>0.53344713538888289</v>
      </c>
      <c r="F264" s="6">
        <v>-0.3122913753871136</v>
      </c>
      <c r="G264" s="3" t="s">
        <v>0</v>
      </c>
      <c r="H264">
        <v>3.6630036999999997E-2</v>
      </c>
      <c r="I264">
        <v>5.0125312999999998E-2</v>
      </c>
      <c r="J264">
        <v>0.20050125299999999</v>
      </c>
      <c r="K264">
        <v>0.14586071</v>
      </c>
      <c r="L264">
        <v>0.58900523599999999</v>
      </c>
      <c r="M264">
        <v>0.157303371</v>
      </c>
      <c r="N264" t="e">
        <v>#N/A</v>
      </c>
      <c r="O264" t="e">
        <v>#N/A</v>
      </c>
    </row>
    <row r="265" spans="1:15" x14ac:dyDescent="0.25">
      <c r="A265" t="s">
        <v>10</v>
      </c>
      <c r="B265" t="s">
        <v>23</v>
      </c>
      <c r="C265" s="3" t="str">
        <f>IF($B265="GW1",VLOOKUP($A265,Matches!$A:$AC,2,FALSE),IF($B265="GW2",VLOOKUP($A265,Matches!$A:$AC,9,FALSE),IF($B265="GW3",VLOOKUP($A265,Matches!$A:$AC,16,FALSE))))</f>
        <v>Chelsea</v>
      </c>
      <c r="D265" s="6">
        <v>0.22115576000176926</v>
      </c>
      <c r="E265" s="6">
        <v>0.53344713538888289</v>
      </c>
      <c r="F265" s="6">
        <v>-0.3122913753871136</v>
      </c>
      <c r="G265" s="3" t="s">
        <v>0</v>
      </c>
      <c r="H265" t="e">
        <v>#N/A</v>
      </c>
      <c r="I265" t="e">
        <v>#N/A</v>
      </c>
      <c r="J265" t="e">
        <v>#N/A</v>
      </c>
      <c r="K265">
        <v>0.14586071</v>
      </c>
      <c r="L265">
        <v>0.58900523599999999</v>
      </c>
      <c r="M265">
        <v>0.157303371</v>
      </c>
      <c r="N265" t="e">
        <v>#N/A</v>
      </c>
      <c r="O265" t="e">
        <v>#N/A</v>
      </c>
    </row>
    <row r="266" spans="1:15" x14ac:dyDescent="0.25">
      <c r="A266" t="s">
        <v>10</v>
      </c>
      <c r="B266" t="s">
        <v>23</v>
      </c>
      <c r="C266" s="3" t="str">
        <f>IF($B266="GW1",VLOOKUP($A266,Matches!$A:$AC,2,FALSE),IF($B266="GW2",VLOOKUP($A266,Matches!$A:$AC,9,FALSE),IF($B266="GW3",VLOOKUP($A266,Matches!$A:$AC,16,FALSE))))</f>
        <v>Chelsea</v>
      </c>
      <c r="D266" s="6">
        <v>0.22115576000176926</v>
      </c>
      <c r="E266" s="6">
        <v>0.53344713538888289</v>
      </c>
      <c r="F266" s="6">
        <v>-0.3122913753871136</v>
      </c>
      <c r="G266" s="3" t="s">
        <v>0</v>
      </c>
      <c r="H266" t="e">
        <v>#N/A</v>
      </c>
      <c r="I266" t="e">
        <v>#N/A</v>
      </c>
      <c r="J266" t="e">
        <v>#N/A</v>
      </c>
      <c r="K266">
        <v>0.14586071</v>
      </c>
      <c r="L266">
        <v>0.58900523599999999</v>
      </c>
      <c r="M266">
        <v>0.157303371</v>
      </c>
      <c r="N266" t="e">
        <v>#N/A</v>
      </c>
      <c r="O266" t="e">
        <v>#N/A</v>
      </c>
    </row>
    <row r="267" spans="1:15" x14ac:dyDescent="0.25">
      <c r="A267" t="s">
        <v>10</v>
      </c>
      <c r="B267" t="s">
        <v>23</v>
      </c>
      <c r="C267" s="3" t="str">
        <f>IF($B267="GW1",VLOOKUP($A267,Matches!$A:$AC,2,FALSE),IF($B267="GW2",VLOOKUP($A267,Matches!$A:$AC,9,FALSE),IF($B267="GW3",VLOOKUP($A267,Matches!$A:$AC,16,FALSE))))</f>
        <v>Chelsea</v>
      </c>
      <c r="D267" s="6">
        <v>0.22115576000176926</v>
      </c>
      <c r="E267" s="6">
        <v>0.53344713538888289</v>
      </c>
      <c r="F267" s="6">
        <v>-0.3122913753871136</v>
      </c>
      <c r="G267" s="3" t="s">
        <v>0</v>
      </c>
      <c r="H267">
        <v>0.21994941200000001</v>
      </c>
      <c r="I267">
        <v>0.13605442200000001</v>
      </c>
      <c r="J267">
        <v>0.126984127</v>
      </c>
      <c r="K267">
        <v>0.14586071</v>
      </c>
      <c r="L267">
        <v>0.58900523599999999</v>
      </c>
      <c r="M267">
        <v>0.157303371</v>
      </c>
      <c r="N267" t="e">
        <v>#N/A</v>
      </c>
      <c r="O267" t="e">
        <v>#N/A</v>
      </c>
    </row>
    <row r="268" spans="1:15" x14ac:dyDescent="0.25">
      <c r="A268" t="s">
        <v>10</v>
      </c>
      <c r="B268" t="s">
        <v>23</v>
      </c>
      <c r="C268" s="3" t="str">
        <f>IF($B268="GW1",VLOOKUP($A268,Matches!$A:$AC,2,FALSE),IF($B268="GW2",VLOOKUP($A268,Matches!$A:$AC,9,FALSE),IF($B268="GW3",VLOOKUP($A268,Matches!$A:$AC,16,FALSE))))</f>
        <v>Chelsea</v>
      </c>
      <c r="D268" s="6">
        <v>0.22115576000176926</v>
      </c>
      <c r="E268" s="6">
        <v>0.53344713538888289</v>
      </c>
      <c r="F268" s="6">
        <v>-0.3122913753871136</v>
      </c>
      <c r="G268" s="3" t="s">
        <v>0</v>
      </c>
      <c r="H268">
        <v>0.20050125299999999</v>
      </c>
      <c r="I268">
        <v>0.11904761899999999</v>
      </c>
      <c r="J268">
        <v>0.14652014699999999</v>
      </c>
      <c r="K268">
        <v>0.14586071</v>
      </c>
      <c r="L268">
        <v>0.58900523599999999</v>
      </c>
      <c r="M268">
        <v>0.157303371</v>
      </c>
      <c r="N268" t="e">
        <v>#N/A</v>
      </c>
      <c r="O268" t="e">
        <v>#N/A</v>
      </c>
    </row>
    <row r="269" spans="1:15" x14ac:dyDescent="0.25">
      <c r="A269" t="s">
        <v>10</v>
      </c>
      <c r="B269" t="s">
        <v>23</v>
      </c>
      <c r="C269" s="3" t="str">
        <f>IF($B269="GW1",VLOOKUP($A269,Matches!$A:$AC,2,FALSE),IF($B269="GW2",VLOOKUP($A269,Matches!$A:$AC,9,FALSE),IF($B269="GW3",VLOOKUP($A269,Matches!$A:$AC,16,FALSE))))</f>
        <v>Chelsea</v>
      </c>
      <c r="D269" s="6">
        <v>0.22115576000176926</v>
      </c>
      <c r="E269" s="6">
        <v>0.53344713538888289</v>
      </c>
      <c r="F269" s="6">
        <v>-0.3122913753871136</v>
      </c>
      <c r="G269" s="3" t="s">
        <v>0</v>
      </c>
      <c r="H269" t="e">
        <v>#N/A</v>
      </c>
      <c r="I269" t="e">
        <v>#N/A</v>
      </c>
      <c r="J269" t="e">
        <v>#N/A</v>
      </c>
      <c r="K269">
        <v>0.14586071</v>
      </c>
      <c r="L269">
        <v>0.58900523599999999</v>
      </c>
      <c r="M269">
        <v>0.157303371</v>
      </c>
      <c r="N269" t="e">
        <v>#N/A</v>
      </c>
      <c r="O269" t="e">
        <v>#N/A</v>
      </c>
    </row>
    <row r="270" spans="1:15" x14ac:dyDescent="0.25">
      <c r="A270" t="s">
        <v>10</v>
      </c>
      <c r="B270" t="s">
        <v>23</v>
      </c>
      <c r="C270" s="3" t="str">
        <f>IF($B270="GW1",VLOOKUP($A270,Matches!$A:$AC,2,FALSE),IF($B270="GW2",VLOOKUP($A270,Matches!$A:$AC,9,FALSE),IF($B270="GW3",VLOOKUP($A270,Matches!$A:$AC,16,FALSE))))</f>
        <v>Chelsea</v>
      </c>
      <c r="D270" s="6">
        <v>0.22115576000176926</v>
      </c>
      <c r="E270" s="6">
        <v>0.53344713538888289</v>
      </c>
      <c r="F270" s="6">
        <v>-0.3122913753871136</v>
      </c>
      <c r="G270" s="3" t="s">
        <v>0</v>
      </c>
      <c r="H270">
        <v>0.15873015900000001</v>
      </c>
      <c r="I270">
        <v>0.105820106</v>
      </c>
      <c r="J270">
        <v>0.23809523799999999</v>
      </c>
      <c r="K270">
        <v>0.14586071</v>
      </c>
      <c r="L270">
        <v>0.58900523599999999</v>
      </c>
      <c r="M270">
        <v>0.157303371</v>
      </c>
      <c r="N270" t="e">
        <v>#N/A</v>
      </c>
      <c r="O270" t="e">
        <v>#N/A</v>
      </c>
    </row>
    <row r="271" spans="1:15" x14ac:dyDescent="0.25">
      <c r="A271" t="s">
        <v>10</v>
      </c>
      <c r="B271" t="s">
        <v>23</v>
      </c>
      <c r="C271" s="3" t="str">
        <f>IF($B271="GW1",VLOOKUP($A271,Matches!$A:$AC,2,FALSE),IF($B271="GW2",VLOOKUP($A271,Matches!$A:$AC,9,FALSE),IF($B271="GW3",VLOOKUP($A271,Matches!$A:$AC,16,FALSE))))</f>
        <v>Chelsea</v>
      </c>
      <c r="D271" s="6">
        <v>0.22115576000176926</v>
      </c>
      <c r="E271" s="6">
        <v>0.53344713538888289</v>
      </c>
      <c r="F271" s="6">
        <v>-0.3122913753871136</v>
      </c>
      <c r="G271" s="3" t="s">
        <v>0</v>
      </c>
      <c r="H271">
        <v>7.9365079000000005E-2</v>
      </c>
      <c r="I271">
        <v>8.6580087E-2</v>
      </c>
      <c r="J271">
        <v>0.26455026500000001</v>
      </c>
      <c r="K271">
        <v>0.14586071</v>
      </c>
      <c r="L271">
        <v>0.58900523599999999</v>
      </c>
      <c r="M271">
        <v>0.157303371</v>
      </c>
      <c r="N271" t="e">
        <v>#N/A</v>
      </c>
      <c r="O271" t="e">
        <v>#N/A</v>
      </c>
    </row>
    <row r="272" spans="1:15" x14ac:dyDescent="0.25">
      <c r="A272" t="s">
        <v>10</v>
      </c>
      <c r="B272" t="s">
        <v>23</v>
      </c>
      <c r="C272" s="3" t="str">
        <f>IF($B272="GW1",VLOOKUP($A272,Matches!$A:$AC,2,FALSE),IF($B272="GW2",VLOOKUP($A272,Matches!$A:$AC,9,FALSE),IF($B272="GW3",VLOOKUP($A272,Matches!$A:$AC,16,FALSE))))</f>
        <v>Chelsea</v>
      </c>
      <c r="D272" s="6">
        <v>0.22115576000176926</v>
      </c>
      <c r="E272" s="6">
        <v>0.53344713538888289</v>
      </c>
      <c r="F272" s="6">
        <v>-0.3122913753871136</v>
      </c>
      <c r="G272" s="3" t="s">
        <v>0</v>
      </c>
      <c r="H272">
        <v>0.15873015900000001</v>
      </c>
      <c r="I272">
        <v>0.105820106</v>
      </c>
      <c r="J272">
        <v>0.20050125299999999</v>
      </c>
      <c r="K272">
        <v>0.14586071</v>
      </c>
      <c r="L272">
        <v>0.58900523599999999</v>
      </c>
      <c r="M272">
        <v>0.157303371</v>
      </c>
      <c r="N272" t="e">
        <v>#N/A</v>
      </c>
      <c r="O272" t="e">
        <v>#N/A</v>
      </c>
    </row>
    <row r="273" spans="1:15" x14ac:dyDescent="0.25">
      <c r="A273" t="s">
        <v>10</v>
      </c>
      <c r="B273" t="s">
        <v>23</v>
      </c>
      <c r="C273" s="3" t="str">
        <f>IF($B273="GW1",VLOOKUP($A273,Matches!$A:$AC,2,FALSE),IF($B273="GW2",VLOOKUP($A273,Matches!$A:$AC,9,FALSE),IF($B273="GW3",VLOOKUP($A273,Matches!$A:$AC,16,FALSE))))</f>
        <v>Chelsea</v>
      </c>
      <c r="D273" s="6">
        <v>0.22115576000176926</v>
      </c>
      <c r="E273" s="6">
        <v>0.53344713538888289</v>
      </c>
      <c r="F273" s="6">
        <v>-0.3122913753871136</v>
      </c>
      <c r="G273" s="3" t="s">
        <v>0</v>
      </c>
      <c r="H273">
        <v>7.9365079000000005E-2</v>
      </c>
      <c r="I273">
        <v>7.3260072999999995E-2</v>
      </c>
      <c r="J273">
        <v>0.39682539700000002</v>
      </c>
      <c r="K273">
        <v>0.14586071</v>
      </c>
      <c r="L273">
        <v>0.58900523599999999</v>
      </c>
      <c r="M273">
        <v>0.157303371</v>
      </c>
      <c r="N273" t="e">
        <v>#N/A</v>
      </c>
      <c r="O273" t="e">
        <v>#N/A</v>
      </c>
    </row>
    <row r="274" spans="1:15" x14ac:dyDescent="0.25">
      <c r="A274" t="s">
        <v>10</v>
      </c>
      <c r="B274" t="s">
        <v>23</v>
      </c>
      <c r="C274" s="3" t="str">
        <f>IF($B274="GW1",VLOOKUP($A274,Matches!$A:$AC,2,FALSE),IF($B274="GW2",VLOOKUP($A274,Matches!$A:$AC,9,FALSE),IF($B274="GW3",VLOOKUP($A274,Matches!$A:$AC,16,FALSE))))</f>
        <v>Chelsea</v>
      </c>
      <c r="D274" s="6">
        <v>0.22115576000176926</v>
      </c>
      <c r="E274" s="6">
        <v>0.53344713538888289</v>
      </c>
      <c r="F274" s="6">
        <v>-0.3122913753871136</v>
      </c>
      <c r="G274" s="3" t="s">
        <v>0</v>
      </c>
      <c r="H274">
        <v>7.9365079000000005E-2</v>
      </c>
      <c r="I274">
        <v>8.6580087E-2</v>
      </c>
      <c r="J274">
        <v>0.23809523799999999</v>
      </c>
      <c r="K274">
        <v>0.14586071</v>
      </c>
      <c r="L274">
        <v>0.58900523599999999</v>
      </c>
      <c r="M274">
        <v>0.157303371</v>
      </c>
      <c r="N274" t="e">
        <v>#N/A</v>
      </c>
      <c r="O274" t="e">
        <v>#N/A</v>
      </c>
    </row>
    <row r="275" spans="1:15" x14ac:dyDescent="0.25">
      <c r="A275" t="s">
        <v>10</v>
      </c>
      <c r="B275" t="s">
        <v>23</v>
      </c>
      <c r="C275" s="3" t="str">
        <f>IF($B275="GW1",VLOOKUP($A275,Matches!$A:$AC,2,FALSE),IF($B275="GW2",VLOOKUP($A275,Matches!$A:$AC,9,FALSE),IF($B275="GW3",VLOOKUP($A275,Matches!$A:$AC,16,FALSE))))</f>
        <v>Chelsea</v>
      </c>
      <c r="D275" s="6">
        <v>0.22115576000176926</v>
      </c>
      <c r="E275" s="6">
        <v>0.53344713538888289</v>
      </c>
      <c r="F275" s="6">
        <v>-0.3122913753871136</v>
      </c>
      <c r="G275" s="3" t="s">
        <v>0</v>
      </c>
      <c r="H275" t="e">
        <v>#N/A</v>
      </c>
      <c r="I275" t="e">
        <v>#N/A</v>
      </c>
      <c r="J275" t="e">
        <v>#N/A</v>
      </c>
      <c r="K275">
        <v>0.14586071</v>
      </c>
      <c r="L275">
        <v>0.58900523599999999</v>
      </c>
      <c r="M275">
        <v>0.157303371</v>
      </c>
      <c r="N275" t="e">
        <v>#N/A</v>
      </c>
      <c r="O275" t="e">
        <v>#N/A</v>
      </c>
    </row>
    <row r="276" spans="1:15" x14ac:dyDescent="0.25">
      <c r="A276" t="s">
        <v>10</v>
      </c>
      <c r="B276" t="s">
        <v>23</v>
      </c>
      <c r="C276" s="3" t="str">
        <f>IF($B276="GW1",VLOOKUP($A276,Matches!$A:$AC,2,FALSE),IF($B276="GW2",VLOOKUP($A276,Matches!$A:$AC,9,FALSE),IF($B276="GW3",VLOOKUP($A276,Matches!$A:$AC,16,FALSE))))</f>
        <v>Chelsea</v>
      </c>
      <c r="D276" s="6">
        <v>0.22115576000176926</v>
      </c>
      <c r="E276" s="6">
        <v>0.53344713538888289</v>
      </c>
      <c r="F276" s="6">
        <v>-0.3122913753871136</v>
      </c>
      <c r="G276" s="3" t="s">
        <v>0</v>
      </c>
      <c r="H276" t="e">
        <v>#N/A</v>
      </c>
      <c r="I276" t="e">
        <v>#N/A</v>
      </c>
      <c r="J276" t="e">
        <v>#N/A</v>
      </c>
      <c r="K276">
        <v>0.14586071</v>
      </c>
      <c r="L276">
        <v>0.58900523599999999</v>
      </c>
      <c r="M276">
        <v>0.157303371</v>
      </c>
      <c r="N276" t="e">
        <v>#N/A</v>
      </c>
      <c r="O276" t="e">
        <v>#N/A</v>
      </c>
    </row>
    <row r="277" spans="1:15" x14ac:dyDescent="0.25">
      <c r="A277" t="s">
        <v>10</v>
      </c>
      <c r="B277" t="s">
        <v>23</v>
      </c>
      <c r="C277" s="3" t="str">
        <f>IF($B277="GW1",VLOOKUP($A277,Matches!$A:$AC,2,FALSE),IF($B277="GW2",VLOOKUP($A277,Matches!$A:$AC,9,FALSE),IF($B277="GW3",VLOOKUP($A277,Matches!$A:$AC,16,FALSE))))</f>
        <v>Chelsea</v>
      </c>
      <c r="D277" s="6">
        <v>0.22115576000176926</v>
      </c>
      <c r="E277" s="6">
        <v>0.53344713538888289</v>
      </c>
      <c r="F277" s="6">
        <v>-0.3122913753871136</v>
      </c>
      <c r="G277" s="3" t="s">
        <v>0</v>
      </c>
      <c r="H277">
        <v>0.105820106</v>
      </c>
      <c r="I277">
        <v>0.105820106</v>
      </c>
      <c r="J277">
        <v>0.26455026500000001</v>
      </c>
      <c r="K277">
        <v>0.14586071</v>
      </c>
      <c r="L277">
        <v>0.58900523599999999</v>
      </c>
      <c r="M277">
        <v>0.157303371</v>
      </c>
      <c r="N277" t="e">
        <v>#N/A</v>
      </c>
      <c r="O277" t="e">
        <v>#N/A</v>
      </c>
    </row>
    <row r="278" spans="1:15" x14ac:dyDescent="0.25">
      <c r="A278" t="s">
        <v>10</v>
      </c>
      <c r="B278" t="s">
        <v>23</v>
      </c>
      <c r="C278" s="3" t="str">
        <f>IF($B278="GW1",VLOOKUP($A278,Matches!$A:$AC,2,FALSE),IF($B278="GW2",VLOOKUP($A278,Matches!$A:$AC,9,FALSE),IF($B278="GW3",VLOOKUP($A278,Matches!$A:$AC,16,FALSE))))</f>
        <v>Chelsea</v>
      </c>
      <c r="D278" s="6">
        <v>0.22115576000176926</v>
      </c>
      <c r="E278" s="6">
        <v>0.53344713538888289</v>
      </c>
      <c r="F278" s="6">
        <v>-0.3122913753871136</v>
      </c>
      <c r="G278" s="3" t="s">
        <v>0</v>
      </c>
      <c r="H278" t="e">
        <v>#N/A</v>
      </c>
      <c r="I278" t="e">
        <v>#N/A</v>
      </c>
      <c r="J278" t="e">
        <v>#N/A</v>
      </c>
      <c r="K278">
        <v>0.14586071</v>
      </c>
      <c r="L278">
        <v>0.58900523599999999</v>
      </c>
      <c r="M278">
        <v>0.157303371</v>
      </c>
      <c r="N278" t="e">
        <v>#N/A</v>
      </c>
      <c r="O278" t="e">
        <v>#N/A</v>
      </c>
    </row>
    <row r="279" spans="1:15" x14ac:dyDescent="0.25">
      <c r="A279" t="s">
        <v>10</v>
      </c>
      <c r="B279" t="s">
        <v>23</v>
      </c>
      <c r="C279" s="3" t="str">
        <f>IF($B279="GW1",VLOOKUP($A279,Matches!$A:$AC,2,FALSE),IF($B279="GW2",VLOOKUP($A279,Matches!$A:$AC,9,FALSE),IF($B279="GW3",VLOOKUP($A279,Matches!$A:$AC,16,FALSE))))</f>
        <v>Chelsea</v>
      </c>
      <c r="D279" s="6">
        <v>0.22115576000176926</v>
      </c>
      <c r="E279" s="6">
        <v>0.53344713538888289</v>
      </c>
      <c r="F279" s="6">
        <v>-0.3122913753871136</v>
      </c>
      <c r="G279" s="3" t="s">
        <v>0</v>
      </c>
      <c r="H279">
        <v>0.173160173</v>
      </c>
      <c r="I279">
        <v>0.105820106</v>
      </c>
      <c r="J279">
        <v>0.20050125299999999</v>
      </c>
      <c r="K279">
        <v>0.14586071</v>
      </c>
      <c r="L279">
        <v>0.58900523599999999</v>
      </c>
      <c r="M279">
        <v>0.157303371</v>
      </c>
      <c r="N279" t="e">
        <v>#N/A</v>
      </c>
      <c r="O279" t="e">
        <v>#N/A</v>
      </c>
    </row>
    <row r="280" spans="1:15" x14ac:dyDescent="0.25">
      <c r="A280" t="s">
        <v>10</v>
      </c>
      <c r="B280" t="s">
        <v>23</v>
      </c>
      <c r="C280" s="3" t="str">
        <f>IF($B280="GW1",VLOOKUP($A280,Matches!$A:$AC,2,FALSE),IF($B280="GW2",VLOOKUP($A280,Matches!$A:$AC,9,FALSE),IF($B280="GW3",VLOOKUP($A280,Matches!$A:$AC,16,FALSE))))</f>
        <v>Chelsea</v>
      </c>
      <c r="D280" s="6">
        <v>0.22115576000176926</v>
      </c>
      <c r="E280" s="6">
        <v>0.53344713538888289</v>
      </c>
      <c r="F280" s="6">
        <v>-0.3122913753871136</v>
      </c>
      <c r="G280" s="3" t="s">
        <v>0</v>
      </c>
      <c r="H280" t="e">
        <v>#N/A</v>
      </c>
      <c r="I280" t="e">
        <v>#N/A</v>
      </c>
      <c r="J280" t="e">
        <v>#N/A</v>
      </c>
      <c r="K280">
        <v>0.14586071</v>
      </c>
      <c r="L280">
        <v>0.58900523599999999</v>
      </c>
      <c r="M280">
        <v>0.157303371</v>
      </c>
      <c r="N280" t="e">
        <v>#N/A</v>
      </c>
      <c r="O280" t="e">
        <v>#N/A</v>
      </c>
    </row>
    <row r="281" spans="1:15" x14ac:dyDescent="0.25">
      <c r="A281" t="s">
        <v>10</v>
      </c>
      <c r="B281" t="s">
        <v>23</v>
      </c>
      <c r="C281" s="3" t="str">
        <f>IF($B281="GW1",VLOOKUP($A281,Matches!$A:$AC,2,FALSE),IF($B281="GW2",VLOOKUP($A281,Matches!$A:$AC,9,FALSE),IF($B281="GW3",VLOOKUP($A281,Matches!$A:$AC,16,FALSE))))</f>
        <v>Chelsea</v>
      </c>
      <c r="D281" s="6">
        <v>0.22115576000176926</v>
      </c>
      <c r="E281" s="6">
        <v>0.53344713538888289</v>
      </c>
      <c r="F281" s="6">
        <v>-0.3122913753871136</v>
      </c>
      <c r="G281" s="3" t="s">
        <v>0</v>
      </c>
      <c r="H281" t="e">
        <v>#N/A</v>
      </c>
      <c r="I281" t="e">
        <v>#N/A</v>
      </c>
      <c r="J281" t="e">
        <v>#N/A</v>
      </c>
      <c r="K281">
        <v>0.14586071</v>
      </c>
      <c r="L281">
        <v>0.58900523599999999</v>
      </c>
      <c r="M281">
        <v>0.157303371</v>
      </c>
      <c r="N281" t="e">
        <v>#N/A</v>
      </c>
      <c r="O281" t="e">
        <v>#N/A</v>
      </c>
    </row>
    <row r="282" spans="1:15" x14ac:dyDescent="0.25">
      <c r="A282" t="s">
        <v>10</v>
      </c>
      <c r="B282" t="s">
        <v>23</v>
      </c>
      <c r="C282" s="3" t="str">
        <f>IF($B282="GW1",VLOOKUP($A282,Matches!$A:$AC,2,FALSE),IF($B282="GW2",VLOOKUP($A282,Matches!$A:$AC,9,FALSE),IF($B282="GW3",VLOOKUP($A282,Matches!$A:$AC,16,FALSE))))</f>
        <v>Chelsea</v>
      </c>
      <c r="D282" s="6">
        <v>0.22115576000176926</v>
      </c>
      <c r="E282" s="6">
        <v>0.53344713538888289</v>
      </c>
      <c r="F282" s="6">
        <v>-0.3122913753871136</v>
      </c>
      <c r="G282" s="3" t="s">
        <v>0</v>
      </c>
      <c r="H282" t="e">
        <v>#N/A</v>
      </c>
      <c r="I282" t="e">
        <v>#N/A</v>
      </c>
      <c r="J282" t="e">
        <v>#N/A</v>
      </c>
      <c r="K282">
        <v>0.14586071</v>
      </c>
      <c r="L282">
        <v>0.58900523599999999</v>
      </c>
      <c r="M282">
        <v>0.157303371</v>
      </c>
      <c r="N282" t="e">
        <v>#N/A</v>
      </c>
      <c r="O282" t="e">
        <v>#N/A</v>
      </c>
    </row>
    <row r="283" spans="1:15" x14ac:dyDescent="0.25">
      <c r="A283" t="s">
        <v>10</v>
      </c>
      <c r="B283" t="s">
        <v>23</v>
      </c>
      <c r="C283" s="3" t="str">
        <f>IF($B283="GW1",VLOOKUP($A283,Matches!$A:$AC,2,FALSE),IF($B283="GW2",VLOOKUP($A283,Matches!$A:$AC,9,FALSE),IF($B283="GW3",VLOOKUP($A283,Matches!$A:$AC,16,FALSE))))</f>
        <v>Chelsea</v>
      </c>
      <c r="D283" s="6">
        <v>0.22115576000176926</v>
      </c>
      <c r="E283" s="6">
        <v>0.53344713538888289</v>
      </c>
      <c r="F283" s="6">
        <v>-0.3122913753871136</v>
      </c>
      <c r="G283" s="3" t="s">
        <v>0</v>
      </c>
      <c r="H283" t="e">
        <v>#N/A</v>
      </c>
      <c r="I283" t="e">
        <v>#N/A</v>
      </c>
      <c r="J283" t="e">
        <v>#N/A</v>
      </c>
      <c r="K283">
        <v>0.14586071</v>
      </c>
      <c r="L283">
        <v>0.58900523599999999</v>
      </c>
      <c r="M283">
        <v>0.157303371</v>
      </c>
      <c r="N283" t="e">
        <v>#N/A</v>
      </c>
      <c r="O283" t="e">
        <v>#N/A</v>
      </c>
    </row>
    <row r="284" spans="1:15" x14ac:dyDescent="0.25">
      <c r="A284" t="s">
        <v>10</v>
      </c>
      <c r="B284" t="s">
        <v>23</v>
      </c>
      <c r="C284" s="3" t="str">
        <f>IF($B284="GW1",VLOOKUP($A284,Matches!$A:$AC,2,FALSE),IF($B284="GW2",VLOOKUP($A284,Matches!$A:$AC,9,FALSE),IF($B284="GW3",VLOOKUP($A284,Matches!$A:$AC,16,FALSE))))</f>
        <v>Chelsea</v>
      </c>
      <c r="D284" s="6">
        <v>0.22115576000176926</v>
      </c>
      <c r="E284" s="6">
        <v>0.53344713538888289</v>
      </c>
      <c r="F284" s="6">
        <v>-0.3122913753871136</v>
      </c>
      <c r="G284" s="3" t="s">
        <v>0</v>
      </c>
      <c r="H284">
        <v>0.27210884400000002</v>
      </c>
      <c r="I284">
        <v>9.5238094999999995E-2</v>
      </c>
      <c r="J284">
        <v>0.126984127</v>
      </c>
      <c r="K284">
        <v>0.14586071</v>
      </c>
      <c r="L284">
        <v>0.58900523599999999</v>
      </c>
      <c r="M284">
        <v>0.157303371</v>
      </c>
      <c r="N284" t="e">
        <v>#N/A</v>
      </c>
      <c r="O284" t="e">
        <v>#N/A</v>
      </c>
    </row>
    <row r="285" spans="1:15" x14ac:dyDescent="0.25">
      <c r="A285" t="s">
        <v>10</v>
      </c>
      <c r="B285" t="s">
        <v>23</v>
      </c>
      <c r="C285" s="3" t="str">
        <f>IF($B285="GW1",VLOOKUP($A285,Matches!$A:$AC,2,FALSE),IF($B285="GW2",VLOOKUP($A285,Matches!$A:$AC,9,FALSE),IF($B285="GW3",VLOOKUP($A285,Matches!$A:$AC,16,FALSE))))</f>
        <v>Chelsea</v>
      </c>
      <c r="D285" s="6">
        <v>0.22115576000176926</v>
      </c>
      <c r="E285" s="6">
        <v>0.53344713538888289</v>
      </c>
      <c r="F285" s="6">
        <v>-0.3122913753871136</v>
      </c>
      <c r="G285" s="3" t="s">
        <v>0</v>
      </c>
      <c r="H285">
        <v>0.23809523799999999</v>
      </c>
      <c r="I285">
        <v>9.5238094999999995E-2</v>
      </c>
      <c r="J285">
        <v>0.23809523799999999</v>
      </c>
      <c r="K285">
        <v>0.14586071</v>
      </c>
      <c r="L285">
        <v>0.58900523599999999</v>
      </c>
      <c r="M285">
        <v>0.157303371</v>
      </c>
      <c r="N285" t="e">
        <v>#N/A</v>
      </c>
      <c r="O285" t="e">
        <v>#N/A</v>
      </c>
    </row>
    <row r="286" spans="1:15" x14ac:dyDescent="0.25">
      <c r="A286" t="s">
        <v>10</v>
      </c>
      <c r="B286" t="s">
        <v>23</v>
      </c>
      <c r="C286" s="3" t="str">
        <f>IF($B286="GW1",VLOOKUP($A286,Matches!$A:$AC,2,FALSE),IF($B286="GW2",VLOOKUP($A286,Matches!$A:$AC,9,FALSE),IF($B286="GW3",VLOOKUP($A286,Matches!$A:$AC,16,FALSE))))</f>
        <v>Chelsea</v>
      </c>
      <c r="D286" s="6">
        <v>0.22115576000176926</v>
      </c>
      <c r="E286" s="6">
        <v>0.53344713538888289</v>
      </c>
      <c r="F286" s="6">
        <v>-0.3122913753871136</v>
      </c>
      <c r="G286" s="3" t="s">
        <v>0</v>
      </c>
      <c r="H286" t="e">
        <v>#N/A</v>
      </c>
      <c r="I286" t="e">
        <v>#N/A</v>
      </c>
      <c r="J286" t="e">
        <v>#N/A</v>
      </c>
      <c r="K286">
        <v>0.14586071</v>
      </c>
      <c r="L286">
        <v>0.58900523599999999</v>
      </c>
      <c r="M286">
        <v>0.157303371</v>
      </c>
      <c r="N286" t="e">
        <v>#N/A</v>
      </c>
      <c r="O286" t="e">
        <v>#N/A</v>
      </c>
    </row>
    <row r="287" spans="1:15" x14ac:dyDescent="0.25">
      <c r="A287" t="s">
        <v>10</v>
      </c>
      <c r="B287" t="s">
        <v>23</v>
      </c>
      <c r="C287" s="3" t="str">
        <f>IF($B287="GW1",VLOOKUP($A287,Matches!$A:$AC,2,FALSE),IF($B287="GW2",VLOOKUP($A287,Matches!$A:$AC,9,FALSE),IF($B287="GW3",VLOOKUP($A287,Matches!$A:$AC,16,FALSE))))</f>
        <v>Chelsea</v>
      </c>
      <c r="D287" s="6">
        <v>0.22115576000176926</v>
      </c>
      <c r="E287" s="6">
        <v>0.53344713538888289</v>
      </c>
      <c r="F287" s="6">
        <v>-0.3122913753871136</v>
      </c>
      <c r="G287" s="3" t="s">
        <v>0</v>
      </c>
      <c r="H287" t="e">
        <v>#N/A</v>
      </c>
      <c r="I287" t="e">
        <v>#N/A</v>
      </c>
      <c r="J287" t="e">
        <v>#N/A</v>
      </c>
      <c r="K287">
        <v>0.14586071</v>
      </c>
      <c r="L287">
        <v>0.58900523599999999</v>
      </c>
      <c r="M287">
        <v>0.157303371</v>
      </c>
      <c r="N287" t="e">
        <v>#N/A</v>
      </c>
      <c r="O287" t="e">
        <v>#N/A</v>
      </c>
    </row>
    <row r="288" spans="1:15" x14ac:dyDescent="0.25">
      <c r="A288" t="s">
        <v>11</v>
      </c>
      <c r="B288" t="s">
        <v>23</v>
      </c>
      <c r="C288" s="3" t="str">
        <f>IF($B288="GW1",VLOOKUP($A288,Matches!$A:$AC,2,FALSE),IF($B288="GW2",VLOOKUP($A288,Matches!$A:$AC,9,FALSE),IF($B288="GW3",VLOOKUP($A288,Matches!$A:$AC,16,FALSE))))</f>
        <v>Leeds</v>
      </c>
      <c r="D288" s="6">
        <v>0.30919547337826969</v>
      </c>
      <c r="E288" s="6">
        <v>0.4045307443365696</v>
      </c>
      <c r="F288" s="6">
        <v>-9.5335270958299911E-2</v>
      </c>
      <c r="G288" s="3" t="s">
        <v>0</v>
      </c>
      <c r="H288" t="e">
        <v>#N/A</v>
      </c>
      <c r="I288" t="e">
        <v>#N/A</v>
      </c>
      <c r="J288">
        <v>0.21164021199999999</v>
      </c>
      <c r="K288">
        <v>0.25</v>
      </c>
      <c r="L288">
        <v>0.41099476400000001</v>
      </c>
      <c r="M288">
        <v>6.4254522999999994E-2</v>
      </c>
      <c r="N288">
        <v>0.591540964</v>
      </c>
      <c r="O288">
        <v>9.5238094999999995E-2</v>
      </c>
    </row>
    <row r="289" spans="1:15" x14ac:dyDescent="0.25">
      <c r="A289" t="s">
        <v>11</v>
      </c>
      <c r="B289" t="s">
        <v>23</v>
      </c>
      <c r="C289" s="3" t="str">
        <f>IF($B289="GW1",VLOOKUP($A289,Matches!$A:$AC,2,FALSE),IF($B289="GW2",VLOOKUP($A289,Matches!$A:$AC,9,FALSE),IF($B289="GW3",VLOOKUP($A289,Matches!$A:$AC,16,FALSE))))</f>
        <v>Leeds</v>
      </c>
      <c r="D289" s="6">
        <v>0.30919547337826969</v>
      </c>
      <c r="E289" s="6">
        <v>0.4045307443365696</v>
      </c>
      <c r="F289" s="6">
        <v>-9.5335270958299911E-2</v>
      </c>
      <c r="G289" s="3" t="s">
        <v>0</v>
      </c>
      <c r="H289" t="e">
        <v>#N/A</v>
      </c>
      <c r="I289" t="e">
        <v>#N/A</v>
      </c>
      <c r="J289">
        <v>0.112044818</v>
      </c>
      <c r="K289">
        <v>0.25</v>
      </c>
      <c r="L289">
        <v>0.41099476400000001</v>
      </c>
      <c r="M289">
        <v>6.4254522999999994E-2</v>
      </c>
      <c r="N289" t="e">
        <v>#N/A</v>
      </c>
      <c r="O289" t="e">
        <v>#N/A</v>
      </c>
    </row>
    <row r="290" spans="1:15" x14ac:dyDescent="0.25">
      <c r="A290" t="s">
        <v>11</v>
      </c>
      <c r="B290" t="s">
        <v>23</v>
      </c>
      <c r="C290" s="3" t="str">
        <f>IF($B290="GW1",VLOOKUP($A290,Matches!$A:$AC,2,FALSE),IF($B290="GW2",VLOOKUP($A290,Matches!$A:$AC,9,FALSE),IF($B290="GW3",VLOOKUP($A290,Matches!$A:$AC,16,FALSE))))</f>
        <v>Leeds</v>
      </c>
      <c r="D290" s="6">
        <v>0.30919547337826969</v>
      </c>
      <c r="E290" s="6">
        <v>0.4045307443365696</v>
      </c>
      <c r="F290" s="6">
        <v>-9.5335270958299911E-2</v>
      </c>
      <c r="G290" s="3" t="s">
        <v>0</v>
      </c>
      <c r="H290" t="e">
        <v>#N/A</v>
      </c>
      <c r="I290" t="e">
        <v>#N/A</v>
      </c>
      <c r="J290">
        <v>7.3260072999999995E-2</v>
      </c>
      <c r="K290">
        <v>0.25</v>
      </c>
      <c r="L290">
        <v>0.41099476400000001</v>
      </c>
      <c r="M290">
        <v>6.4254522999999994E-2</v>
      </c>
      <c r="N290" t="e">
        <v>#N/A</v>
      </c>
      <c r="O290" t="e">
        <v>#N/A</v>
      </c>
    </row>
    <row r="291" spans="1:15" x14ac:dyDescent="0.25">
      <c r="A291" t="s">
        <v>11</v>
      </c>
      <c r="B291" t="s">
        <v>23</v>
      </c>
      <c r="C291" s="3" t="str">
        <f>IF($B291="GW1",VLOOKUP($A291,Matches!$A:$AC,2,FALSE),IF($B291="GW2",VLOOKUP($A291,Matches!$A:$AC,9,FALSE),IF($B291="GW3",VLOOKUP($A291,Matches!$A:$AC,16,FALSE))))</f>
        <v>Leeds</v>
      </c>
      <c r="D291" s="6">
        <v>0.30919547337826969</v>
      </c>
      <c r="E291" s="6">
        <v>0.4045307443365696</v>
      </c>
      <c r="F291" s="6">
        <v>-9.5335270958299911E-2</v>
      </c>
      <c r="G291" s="3" t="s">
        <v>0</v>
      </c>
      <c r="H291" t="e">
        <v>#N/A</v>
      </c>
      <c r="I291" t="e">
        <v>#N/A</v>
      </c>
      <c r="J291" t="e">
        <v>#N/A</v>
      </c>
      <c r="K291">
        <v>0.25</v>
      </c>
      <c r="L291">
        <v>0.41099476400000001</v>
      </c>
      <c r="M291">
        <v>6.4254522999999994E-2</v>
      </c>
      <c r="N291" t="e">
        <v>#N/A</v>
      </c>
      <c r="O291" t="e">
        <v>#N/A</v>
      </c>
    </row>
    <row r="292" spans="1:15" x14ac:dyDescent="0.25">
      <c r="A292" t="s">
        <v>11</v>
      </c>
      <c r="B292" t="s">
        <v>23</v>
      </c>
      <c r="C292" s="3" t="str">
        <f>IF($B292="GW1",VLOOKUP($A292,Matches!$A:$AC,2,FALSE),IF($B292="GW2",VLOOKUP($A292,Matches!$A:$AC,9,FALSE),IF($B292="GW3",VLOOKUP($A292,Matches!$A:$AC,16,FALSE))))</f>
        <v>Leeds</v>
      </c>
      <c r="D292" s="6">
        <v>0.30919547337826969</v>
      </c>
      <c r="E292" s="6">
        <v>0.4045307443365696</v>
      </c>
      <c r="F292" s="6">
        <v>-9.5335270958299911E-2</v>
      </c>
      <c r="G292" s="3" t="s">
        <v>0</v>
      </c>
      <c r="H292">
        <v>9.5238094999999995E-2</v>
      </c>
      <c r="I292">
        <v>7.3260072999999995E-2</v>
      </c>
      <c r="J292">
        <v>0.26455026500000001</v>
      </c>
      <c r="K292">
        <v>0.25</v>
      </c>
      <c r="L292">
        <v>0.41099476400000001</v>
      </c>
      <c r="M292">
        <v>6.4254522999999994E-2</v>
      </c>
      <c r="N292" t="e">
        <v>#N/A</v>
      </c>
      <c r="O292" t="e">
        <v>#N/A</v>
      </c>
    </row>
    <row r="293" spans="1:15" x14ac:dyDescent="0.25">
      <c r="A293" t="s">
        <v>11</v>
      </c>
      <c r="B293" t="s">
        <v>23</v>
      </c>
      <c r="C293" s="3" t="str">
        <f>IF($B293="GW1",VLOOKUP($A293,Matches!$A:$AC,2,FALSE),IF($B293="GW2",VLOOKUP($A293,Matches!$A:$AC,9,FALSE),IF($B293="GW3",VLOOKUP($A293,Matches!$A:$AC,16,FALSE))))</f>
        <v>Leeds</v>
      </c>
      <c r="D293" s="6">
        <v>0.30919547337826969</v>
      </c>
      <c r="E293" s="6">
        <v>0.4045307443365696</v>
      </c>
      <c r="F293" s="6">
        <v>-9.5335270958299911E-2</v>
      </c>
      <c r="G293" s="3" t="s">
        <v>0</v>
      </c>
      <c r="H293" t="e">
        <v>#N/A</v>
      </c>
      <c r="I293" t="e">
        <v>#N/A</v>
      </c>
      <c r="J293" t="e">
        <v>#N/A</v>
      </c>
      <c r="K293">
        <v>0.25</v>
      </c>
      <c r="L293">
        <v>0.41099476400000001</v>
      </c>
      <c r="M293">
        <v>6.4254522999999994E-2</v>
      </c>
      <c r="N293" t="e">
        <v>#N/A</v>
      </c>
      <c r="O293" t="e">
        <v>#N/A</v>
      </c>
    </row>
    <row r="294" spans="1:15" x14ac:dyDescent="0.25">
      <c r="A294" t="s">
        <v>11</v>
      </c>
      <c r="B294" t="s">
        <v>23</v>
      </c>
      <c r="C294" s="3" t="str">
        <f>IF($B294="GW1",VLOOKUP($A294,Matches!$A:$AC,2,FALSE),IF($B294="GW2",VLOOKUP($A294,Matches!$A:$AC,9,FALSE),IF($B294="GW3",VLOOKUP($A294,Matches!$A:$AC,16,FALSE))))</f>
        <v>Leeds</v>
      </c>
      <c r="D294" s="6">
        <v>0.30919547337826969</v>
      </c>
      <c r="E294" s="6">
        <v>0.4045307443365696</v>
      </c>
      <c r="F294" s="6">
        <v>-9.5335270958299911E-2</v>
      </c>
      <c r="G294" s="3" t="s">
        <v>0</v>
      </c>
      <c r="H294">
        <v>7.3260072999999995E-2</v>
      </c>
      <c r="I294">
        <v>6.3492063000000001E-2</v>
      </c>
      <c r="J294">
        <v>0.19047618999999999</v>
      </c>
      <c r="K294">
        <v>0.25</v>
      </c>
      <c r="L294">
        <v>0.41099476400000001</v>
      </c>
      <c r="M294">
        <v>6.4254522999999994E-2</v>
      </c>
      <c r="N294" t="e">
        <v>#N/A</v>
      </c>
      <c r="O294" t="e">
        <v>#N/A</v>
      </c>
    </row>
    <row r="295" spans="1:15" x14ac:dyDescent="0.25">
      <c r="A295" t="s">
        <v>11</v>
      </c>
      <c r="B295" t="s">
        <v>23</v>
      </c>
      <c r="C295" s="3" t="str">
        <f>IF($B295="GW1",VLOOKUP($A295,Matches!$A:$AC,2,FALSE),IF($B295="GW2",VLOOKUP($A295,Matches!$A:$AC,9,FALSE),IF($B295="GW3",VLOOKUP($A295,Matches!$A:$AC,16,FALSE))))</f>
        <v>Leeds</v>
      </c>
      <c r="D295" s="6">
        <v>0.30919547337826969</v>
      </c>
      <c r="E295" s="6">
        <v>0.4045307443365696</v>
      </c>
      <c r="F295" s="6">
        <v>-9.5335270958299911E-2</v>
      </c>
      <c r="G295" s="3" t="s">
        <v>0</v>
      </c>
      <c r="H295" t="e">
        <v>#N/A</v>
      </c>
      <c r="I295" t="e">
        <v>#N/A</v>
      </c>
      <c r="J295" t="e">
        <v>#N/A</v>
      </c>
      <c r="K295">
        <v>0.25</v>
      </c>
      <c r="L295">
        <v>0.41099476400000001</v>
      </c>
      <c r="M295">
        <v>6.4254522999999994E-2</v>
      </c>
      <c r="N295" t="e">
        <v>#N/A</v>
      </c>
      <c r="O295" t="e">
        <v>#N/A</v>
      </c>
    </row>
    <row r="296" spans="1:15" x14ac:dyDescent="0.25">
      <c r="A296" t="s">
        <v>11</v>
      </c>
      <c r="B296" t="s">
        <v>23</v>
      </c>
      <c r="C296" s="3" t="str">
        <f>IF($B296="GW1",VLOOKUP($A296,Matches!$A:$AC,2,FALSE),IF($B296="GW2",VLOOKUP($A296,Matches!$A:$AC,9,FALSE),IF($B296="GW3",VLOOKUP($A296,Matches!$A:$AC,16,FALSE))))</f>
        <v>Leeds</v>
      </c>
      <c r="D296" s="6">
        <v>0.30919547337826969</v>
      </c>
      <c r="E296" s="6">
        <v>0.4045307443365696</v>
      </c>
      <c r="F296" s="6">
        <v>-9.5335270958299911E-2</v>
      </c>
      <c r="G296" s="3" t="s">
        <v>0</v>
      </c>
      <c r="H296">
        <v>8.6580087E-2</v>
      </c>
      <c r="I296">
        <v>4.5351474000000003E-2</v>
      </c>
      <c r="J296">
        <v>0.21164021199999999</v>
      </c>
      <c r="K296">
        <v>0.25</v>
      </c>
      <c r="L296">
        <v>0.41099476400000001</v>
      </c>
      <c r="M296">
        <v>6.4254522999999994E-2</v>
      </c>
      <c r="N296" t="e">
        <v>#N/A</v>
      </c>
      <c r="O296" t="e">
        <v>#N/A</v>
      </c>
    </row>
    <row r="297" spans="1:15" x14ac:dyDescent="0.25">
      <c r="A297" t="s">
        <v>11</v>
      </c>
      <c r="B297" t="s">
        <v>23</v>
      </c>
      <c r="C297" s="3" t="str">
        <f>IF($B297="GW1",VLOOKUP($A297,Matches!$A:$AC,2,FALSE),IF($B297="GW2",VLOOKUP($A297,Matches!$A:$AC,9,FALSE),IF($B297="GW3",VLOOKUP($A297,Matches!$A:$AC,16,FALSE))))</f>
        <v>Leeds</v>
      </c>
      <c r="D297" s="6">
        <v>0.30919547337826969</v>
      </c>
      <c r="E297" s="6">
        <v>0.4045307443365696</v>
      </c>
      <c r="F297" s="6">
        <v>-9.5335270958299911E-2</v>
      </c>
      <c r="G297" s="3" t="s">
        <v>0</v>
      </c>
      <c r="H297">
        <v>6.3492063000000001E-2</v>
      </c>
      <c r="I297">
        <v>8.6580087E-2</v>
      </c>
      <c r="J297">
        <v>0.23809523799999999</v>
      </c>
      <c r="K297">
        <v>0.25</v>
      </c>
      <c r="L297">
        <v>0.41099476400000001</v>
      </c>
      <c r="M297">
        <v>6.4254522999999994E-2</v>
      </c>
      <c r="N297" t="e">
        <v>#N/A</v>
      </c>
      <c r="O297" t="e">
        <v>#N/A</v>
      </c>
    </row>
    <row r="298" spans="1:15" x14ac:dyDescent="0.25">
      <c r="A298" t="s">
        <v>11</v>
      </c>
      <c r="B298" t="s">
        <v>23</v>
      </c>
      <c r="C298" s="3" t="str">
        <f>IF($B298="GW1",VLOOKUP($A298,Matches!$A:$AC,2,FALSE),IF($B298="GW2",VLOOKUP($A298,Matches!$A:$AC,9,FALSE),IF($B298="GW3",VLOOKUP($A298,Matches!$A:$AC,16,FALSE))))</f>
        <v>Leeds</v>
      </c>
      <c r="D298" s="6">
        <v>0.30919547337826969</v>
      </c>
      <c r="E298" s="6">
        <v>0.4045307443365696</v>
      </c>
      <c r="F298" s="6">
        <v>-9.5335270958299911E-2</v>
      </c>
      <c r="G298" s="3" t="s">
        <v>0</v>
      </c>
      <c r="H298" t="e">
        <v>#N/A</v>
      </c>
      <c r="I298" t="e">
        <v>#N/A</v>
      </c>
      <c r="J298" t="e">
        <v>#N/A</v>
      </c>
      <c r="K298">
        <v>0.25</v>
      </c>
      <c r="L298">
        <v>0.41099476400000001</v>
      </c>
      <c r="M298">
        <v>6.4254522999999994E-2</v>
      </c>
      <c r="N298" t="e">
        <v>#N/A</v>
      </c>
      <c r="O298" t="e">
        <v>#N/A</v>
      </c>
    </row>
    <row r="299" spans="1:15" x14ac:dyDescent="0.25">
      <c r="A299" t="s">
        <v>11</v>
      </c>
      <c r="B299" t="s">
        <v>23</v>
      </c>
      <c r="C299" s="3" t="str">
        <f>IF($B299="GW1",VLOOKUP($A299,Matches!$A:$AC,2,FALSE),IF($B299="GW2",VLOOKUP($A299,Matches!$A:$AC,9,FALSE),IF($B299="GW3",VLOOKUP($A299,Matches!$A:$AC,16,FALSE))))</f>
        <v>Leeds</v>
      </c>
      <c r="D299" s="6">
        <v>0.30919547337826969</v>
      </c>
      <c r="E299" s="6">
        <v>0.4045307443365696</v>
      </c>
      <c r="F299" s="6">
        <v>-9.5335270958299911E-2</v>
      </c>
      <c r="G299" s="3" t="s">
        <v>0</v>
      </c>
      <c r="H299" t="e">
        <v>#N/A</v>
      </c>
      <c r="I299" t="e">
        <v>#N/A</v>
      </c>
      <c r="J299" t="e">
        <v>#N/A</v>
      </c>
      <c r="K299">
        <v>0.25</v>
      </c>
      <c r="L299">
        <v>0.41099476400000001</v>
      </c>
      <c r="M299">
        <v>6.4254522999999994E-2</v>
      </c>
      <c r="N299" t="e">
        <v>#N/A</v>
      </c>
      <c r="O299" t="e">
        <v>#N/A</v>
      </c>
    </row>
    <row r="300" spans="1:15" x14ac:dyDescent="0.25">
      <c r="A300" t="s">
        <v>11</v>
      </c>
      <c r="B300" t="s">
        <v>23</v>
      </c>
      <c r="C300" s="3" t="str">
        <f>IF($B300="GW1",VLOOKUP($A300,Matches!$A:$AC,2,FALSE),IF($B300="GW2",VLOOKUP($A300,Matches!$A:$AC,9,FALSE),IF($B300="GW3",VLOOKUP($A300,Matches!$A:$AC,16,FALSE))))</f>
        <v>Leeds</v>
      </c>
      <c r="D300" s="6">
        <v>0.30919547337826969</v>
      </c>
      <c r="E300" s="6">
        <v>0.4045307443365696</v>
      </c>
      <c r="F300" s="6">
        <v>-9.5335270958299911E-2</v>
      </c>
      <c r="G300" s="3" t="s">
        <v>0</v>
      </c>
      <c r="H300" t="e">
        <v>#N/A</v>
      </c>
      <c r="I300" t="e">
        <v>#N/A</v>
      </c>
      <c r="J300" t="e">
        <v>#N/A</v>
      </c>
      <c r="K300">
        <v>0.25</v>
      </c>
      <c r="L300">
        <v>0.41099476400000001</v>
      </c>
      <c r="M300">
        <v>6.4254522999999994E-2</v>
      </c>
      <c r="N300" t="e">
        <v>#N/A</v>
      </c>
      <c r="O300" t="e">
        <v>#N/A</v>
      </c>
    </row>
    <row r="301" spans="1:15" x14ac:dyDescent="0.25">
      <c r="A301" t="s">
        <v>11</v>
      </c>
      <c r="B301" t="s">
        <v>23</v>
      </c>
      <c r="C301" s="3" t="str">
        <f>IF($B301="GW1",VLOOKUP($A301,Matches!$A:$AC,2,FALSE),IF($B301="GW2",VLOOKUP($A301,Matches!$A:$AC,9,FALSE),IF($B301="GW3",VLOOKUP($A301,Matches!$A:$AC,16,FALSE))))</f>
        <v>Leeds</v>
      </c>
      <c r="D301" s="6">
        <v>0.30919547337826969</v>
      </c>
      <c r="E301" s="6">
        <v>0.4045307443365696</v>
      </c>
      <c r="F301" s="6">
        <v>-9.5335270958299911E-2</v>
      </c>
      <c r="G301" s="3" t="s">
        <v>0</v>
      </c>
      <c r="H301">
        <v>0.19047618999999999</v>
      </c>
      <c r="I301">
        <v>0.15873015900000001</v>
      </c>
      <c r="J301">
        <v>0.112044818</v>
      </c>
      <c r="K301">
        <v>0.25</v>
      </c>
      <c r="L301">
        <v>0.41099476400000001</v>
      </c>
      <c r="M301">
        <v>6.4254522999999994E-2</v>
      </c>
      <c r="N301" t="e">
        <v>#N/A</v>
      </c>
      <c r="O301" t="e">
        <v>#N/A</v>
      </c>
    </row>
    <row r="302" spans="1:15" x14ac:dyDescent="0.25">
      <c r="A302" t="s">
        <v>11</v>
      </c>
      <c r="B302" t="s">
        <v>23</v>
      </c>
      <c r="C302" s="3" t="str">
        <f>IF($B302="GW1",VLOOKUP($A302,Matches!$A:$AC,2,FALSE),IF($B302="GW2",VLOOKUP($A302,Matches!$A:$AC,9,FALSE),IF($B302="GW3",VLOOKUP($A302,Matches!$A:$AC,16,FALSE))))</f>
        <v>Leeds</v>
      </c>
      <c r="D302" s="6">
        <v>0.30919547337826969</v>
      </c>
      <c r="E302" s="6">
        <v>0.4045307443365696</v>
      </c>
      <c r="F302" s="6">
        <v>-9.5335270958299911E-2</v>
      </c>
      <c r="G302" s="3" t="s">
        <v>0</v>
      </c>
      <c r="H302">
        <v>0.19047618999999999</v>
      </c>
      <c r="I302">
        <v>0.15873015900000001</v>
      </c>
      <c r="J302">
        <v>0.28011204499999998</v>
      </c>
      <c r="K302">
        <v>0.25</v>
      </c>
      <c r="L302">
        <v>0.41099476400000001</v>
      </c>
      <c r="M302">
        <v>6.4254522999999994E-2</v>
      </c>
      <c r="N302" t="e">
        <v>#N/A</v>
      </c>
      <c r="O302" t="e">
        <v>#N/A</v>
      </c>
    </row>
    <row r="303" spans="1:15" x14ac:dyDescent="0.25">
      <c r="A303" t="s">
        <v>11</v>
      </c>
      <c r="B303" t="s">
        <v>23</v>
      </c>
      <c r="C303" s="3" t="str">
        <f>IF($B303="GW1",VLOOKUP($A303,Matches!$A:$AC,2,FALSE),IF($B303="GW2",VLOOKUP($A303,Matches!$A:$AC,9,FALSE),IF($B303="GW3",VLOOKUP($A303,Matches!$A:$AC,16,FALSE))))</f>
        <v>Leeds</v>
      </c>
      <c r="D303" s="6">
        <v>0.30919547337826969</v>
      </c>
      <c r="E303" s="6">
        <v>0.4045307443365696</v>
      </c>
      <c r="F303" s="6">
        <v>-9.5335270958299911E-2</v>
      </c>
      <c r="G303" s="3" t="s">
        <v>0</v>
      </c>
      <c r="H303">
        <v>9.5238094999999995E-2</v>
      </c>
      <c r="I303">
        <v>5.6022409000000002E-2</v>
      </c>
      <c r="J303">
        <v>0.23809523799999999</v>
      </c>
      <c r="K303">
        <v>0.25</v>
      </c>
      <c r="L303">
        <v>0.41099476400000001</v>
      </c>
      <c r="M303">
        <v>6.4254522999999994E-2</v>
      </c>
      <c r="N303" t="e">
        <v>#N/A</v>
      </c>
      <c r="O303" t="e">
        <v>#N/A</v>
      </c>
    </row>
    <row r="304" spans="1:15" x14ac:dyDescent="0.25">
      <c r="A304" t="s">
        <v>11</v>
      </c>
      <c r="B304" t="s">
        <v>23</v>
      </c>
      <c r="C304" s="3" t="str">
        <f>IF($B304="GW1",VLOOKUP($A304,Matches!$A:$AC,2,FALSE),IF($B304="GW2",VLOOKUP($A304,Matches!$A:$AC,9,FALSE),IF($B304="GW3",VLOOKUP($A304,Matches!$A:$AC,16,FALSE))))</f>
        <v>Leeds</v>
      </c>
      <c r="D304" s="6">
        <v>0.30919547337826969</v>
      </c>
      <c r="E304" s="6">
        <v>0.4045307443365696</v>
      </c>
      <c r="F304" s="6">
        <v>-9.5335270958299911E-2</v>
      </c>
      <c r="G304" s="3" t="s">
        <v>0</v>
      </c>
      <c r="H304">
        <v>0.112044818</v>
      </c>
      <c r="I304">
        <v>0.105820106</v>
      </c>
      <c r="J304">
        <v>0.23809523799999999</v>
      </c>
      <c r="K304">
        <v>0.25</v>
      </c>
      <c r="L304">
        <v>0.41099476400000001</v>
      </c>
      <c r="M304">
        <v>6.4254522999999994E-2</v>
      </c>
      <c r="N304" t="e">
        <v>#N/A</v>
      </c>
      <c r="O304" t="e">
        <v>#N/A</v>
      </c>
    </row>
    <row r="305" spans="1:15" x14ac:dyDescent="0.25">
      <c r="A305" t="s">
        <v>11</v>
      </c>
      <c r="B305" t="s">
        <v>23</v>
      </c>
      <c r="C305" s="3" t="str">
        <f>IF($B305="GW1",VLOOKUP($A305,Matches!$A:$AC,2,FALSE),IF($B305="GW2",VLOOKUP($A305,Matches!$A:$AC,9,FALSE),IF($B305="GW3",VLOOKUP($A305,Matches!$A:$AC,16,FALSE))))</f>
        <v>Leeds</v>
      </c>
      <c r="D305" s="6">
        <v>0.30919547337826969</v>
      </c>
      <c r="E305" s="6">
        <v>0.4045307443365696</v>
      </c>
      <c r="F305" s="6">
        <v>-9.5335270958299911E-2</v>
      </c>
      <c r="G305" s="3" t="s">
        <v>0</v>
      </c>
      <c r="H305" t="e">
        <v>#N/A</v>
      </c>
      <c r="I305" t="e">
        <v>#N/A</v>
      </c>
      <c r="J305" t="e">
        <v>#N/A</v>
      </c>
      <c r="K305">
        <v>0.25</v>
      </c>
      <c r="L305">
        <v>0.41099476400000001</v>
      </c>
      <c r="M305">
        <v>6.4254522999999994E-2</v>
      </c>
      <c r="N305" t="e">
        <v>#N/A</v>
      </c>
      <c r="O305" t="e">
        <v>#N/A</v>
      </c>
    </row>
    <row r="306" spans="1:15" x14ac:dyDescent="0.25">
      <c r="A306" t="s">
        <v>11</v>
      </c>
      <c r="B306" t="s">
        <v>23</v>
      </c>
      <c r="C306" s="3" t="str">
        <f>IF($B306="GW1",VLOOKUP($A306,Matches!$A:$AC,2,FALSE),IF($B306="GW2",VLOOKUP($A306,Matches!$A:$AC,9,FALSE),IF($B306="GW3",VLOOKUP($A306,Matches!$A:$AC,16,FALSE))))</f>
        <v>Leeds</v>
      </c>
      <c r="D306" s="6">
        <v>0.30919547337826969</v>
      </c>
      <c r="E306" s="6">
        <v>0.4045307443365696</v>
      </c>
      <c r="F306" s="6">
        <v>-9.5335270958299911E-2</v>
      </c>
      <c r="G306" s="3" t="s">
        <v>0</v>
      </c>
      <c r="H306">
        <v>0.112044818</v>
      </c>
      <c r="I306">
        <v>7.3260072999999995E-2</v>
      </c>
      <c r="J306">
        <v>0.23809523799999999</v>
      </c>
      <c r="K306">
        <v>0.25</v>
      </c>
      <c r="L306">
        <v>0.41099476400000001</v>
      </c>
      <c r="M306">
        <v>6.4254522999999994E-2</v>
      </c>
      <c r="N306" t="e">
        <v>#N/A</v>
      </c>
      <c r="O306" t="e">
        <v>#N/A</v>
      </c>
    </row>
    <row r="307" spans="1:15" x14ac:dyDescent="0.25">
      <c r="A307" t="s">
        <v>11</v>
      </c>
      <c r="B307" t="s">
        <v>23</v>
      </c>
      <c r="C307" s="3" t="str">
        <f>IF($B307="GW1",VLOOKUP($A307,Matches!$A:$AC,2,FALSE),IF($B307="GW2",VLOOKUP($A307,Matches!$A:$AC,9,FALSE),IF($B307="GW3",VLOOKUP($A307,Matches!$A:$AC,16,FALSE))))</f>
        <v>Leeds</v>
      </c>
      <c r="D307" s="6">
        <v>0.30919547337826969</v>
      </c>
      <c r="E307" s="6">
        <v>0.4045307443365696</v>
      </c>
      <c r="F307" s="6">
        <v>-9.5335270958299911E-2</v>
      </c>
      <c r="G307" s="3" t="s">
        <v>0</v>
      </c>
      <c r="H307" t="e">
        <v>#N/A</v>
      </c>
      <c r="I307" t="e">
        <v>#N/A</v>
      </c>
      <c r="J307" t="e">
        <v>#N/A</v>
      </c>
      <c r="K307">
        <v>0.25</v>
      </c>
      <c r="L307">
        <v>0.41099476400000001</v>
      </c>
      <c r="M307">
        <v>6.4254522999999994E-2</v>
      </c>
      <c r="N307" t="e">
        <v>#N/A</v>
      </c>
      <c r="O307" t="e">
        <v>#N/A</v>
      </c>
    </row>
    <row r="308" spans="1:15" x14ac:dyDescent="0.25">
      <c r="A308" t="s">
        <v>11</v>
      </c>
      <c r="B308" t="s">
        <v>23</v>
      </c>
      <c r="C308" s="3" t="str">
        <f>IF($B308="GW1",VLOOKUP($A308,Matches!$A:$AC,2,FALSE),IF($B308="GW2",VLOOKUP($A308,Matches!$A:$AC,9,FALSE),IF($B308="GW3",VLOOKUP($A308,Matches!$A:$AC,16,FALSE))))</f>
        <v>Leeds</v>
      </c>
      <c r="D308" s="6">
        <v>0.30919547337826969</v>
      </c>
      <c r="E308" s="6">
        <v>0.4045307443365696</v>
      </c>
      <c r="F308" s="6">
        <v>-9.5335270958299911E-2</v>
      </c>
      <c r="G308" s="3" t="s">
        <v>0</v>
      </c>
      <c r="H308" t="e">
        <v>#N/A</v>
      </c>
      <c r="I308" t="e">
        <v>#N/A</v>
      </c>
      <c r="J308" t="e">
        <v>#N/A</v>
      </c>
      <c r="K308">
        <v>0.25</v>
      </c>
      <c r="L308">
        <v>0.41099476400000001</v>
      </c>
      <c r="M308">
        <v>6.4254522999999994E-2</v>
      </c>
      <c r="N308" t="e">
        <v>#N/A</v>
      </c>
      <c r="O308" t="e">
        <v>#N/A</v>
      </c>
    </row>
    <row r="309" spans="1:15" x14ac:dyDescent="0.25">
      <c r="A309" t="s">
        <v>11</v>
      </c>
      <c r="B309" t="s">
        <v>23</v>
      </c>
      <c r="C309" s="3" t="str">
        <f>IF($B309="GW1",VLOOKUP($A309,Matches!$A:$AC,2,FALSE),IF($B309="GW2",VLOOKUP($A309,Matches!$A:$AC,9,FALSE),IF($B309="GW3",VLOOKUP($A309,Matches!$A:$AC,16,FALSE))))</f>
        <v>Leeds</v>
      </c>
      <c r="D309" s="6">
        <v>0.30919547337826969</v>
      </c>
      <c r="E309" s="6">
        <v>0.4045307443365696</v>
      </c>
      <c r="F309" s="6">
        <v>-9.5335270958299911E-2</v>
      </c>
      <c r="G309" s="3" t="s">
        <v>0</v>
      </c>
      <c r="H309">
        <v>0.15873015900000001</v>
      </c>
      <c r="I309">
        <v>6.3492063000000001E-2</v>
      </c>
      <c r="J309">
        <v>0.21164021199999999</v>
      </c>
      <c r="K309">
        <v>0.25</v>
      </c>
      <c r="L309">
        <v>0.41099476400000001</v>
      </c>
      <c r="M309">
        <v>6.4254522999999994E-2</v>
      </c>
      <c r="N309" t="e">
        <v>#N/A</v>
      </c>
      <c r="O309" t="e">
        <v>#N/A</v>
      </c>
    </row>
    <row r="310" spans="1:15" x14ac:dyDescent="0.25">
      <c r="A310" t="s">
        <v>11</v>
      </c>
      <c r="B310" t="s">
        <v>23</v>
      </c>
      <c r="C310" s="3" t="str">
        <f>IF($B310="GW1",VLOOKUP($A310,Matches!$A:$AC,2,FALSE),IF($B310="GW2",VLOOKUP($A310,Matches!$A:$AC,9,FALSE),IF($B310="GW3",VLOOKUP($A310,Matches!$A:$AC,16,FALSE))))</f>
        <v>Leeds</v>
      </c>
      <c r="D310" s="6">
        <v>0.30919547337826969</v>
      </c>
      <c r="E310" s="6">
        <v>0.4045307443365696</v>
      </c>
      <c r="F310" s="6">
        <v>-9.5335270958299911E-2</v>
      </c>
      <c r="G310" s="3" t="s">
        <v>0</v>
      </c>
      <c r="H310" t="e">
        <v>#N/A</v>
      </c>
      <c r="I310" t="e">
        <v>#N/A</v>
      </c>
      <c r="J310" t="e">
        <v>#N/A</v>
      </c>
      <c r="K310">
        <v>0.25</v>
      </c>
      <c r="L310">
        <v>0.41099476400000001</v>
      </c>
      <c r="M310">
        <v>6.4254522999999994E-2</v>
      </c>
      <c r="N310" t="e">
        <v>#N/A</v>
      </c>
      <c r="O310" t="e">
        <v>#N/A</v>
      </c>
    </row>
    <row r="311" spans="1:15" x14ac:dyDescent="0.25">
      <c r="A311" t="s">
        <v>11</v>
      </c>
      <c r="B311" t="s">
        <v>23</v>
      </c>
      <c r="C311" s="3" t="str">
        <f>IF($B311="GW1",VLOOKUP($A311,Matches!$A:$AC,2,FALSE),IF($B311="GW2",VLOOKUP($A311,Matches!$A:$AC,9,FALSE),IF($B311="GW3",VLOOKUP($A311,Matches!$A:$AC,16,FALSE))))</f>
        <v>Leeds</v>
      </c>
      <c r="D311" s="6">
        <v>0.30919547337826969</v>
      </c>
      <c r="E311" s="6">
        <v>0.4045307443365696</v>
      </c>
      <c r="F311" s="6">
        <v>-9.5335270958299911E-2</v>
      </c>
      <c r="G311" s="3" t="s">
        <v>0</v>
      </c>
      <c r="H311">
        <v>0.26455026500000001</v>
      </c>
      <c r="I311">
        <v>0.105820106</v>
      </c>
      <c r="J311">
        <v>0.23809523799999999</v>
      </c>
      <c r="K311">
        <v>0.25</v>
      </c>
      <c r="L311">
        <v>0.41099476400000001</v>
      </c>
      <c r="M311">
        <v>6.4254522999999994E-2</v>
      </c>
      <c r="N311" t="e">
        <v>#N/A</v>
      </c>
      <c r="O311" t="e">
        <v>#N/A</v>
      </c>
    </row>
    <row r="312" spans="1:15" x14ac:dyDescent="0.25">
      <c r="A312" t="s">
        <v>11</v>
      </c>
      <c r="B312" t="s">
        <v>23</v>
      </c>
      <c r="C312" s="3" t="str">
        <f>IF($B312="GW1",VLOOKUP($A312,Matches!$A:$AC,2,FALSE),IF($B312="GW2",VLOOKUP($A312,Matches!$A:$AC,9,FALSE),IF($B312="GW3",VLOOKUP($A312,Matches!$A:$AC,16,FALSE))))</f>
        <v>Leeds</v>
      </c>
      <c r="D312" s="6">
        <v>0.30919547337826969</v>
      </c>
      <c r="E312" s="6">
        <v>0.4045307443365696</v>
      </c>
      <c r="F312" s="6">
        <v>-9.5335270958299911E-2</v>
      </c>
      <c r="G312" s="3" t="s">
        <v>0</v>
      </c>
      <c r="H312">
        <v>0.28011204499999998</v>
      </c>
      <c r="I312">
        <v>7.3260072999999995E-2</v>
      </c>
      <c r="J312">
        <v>0.15873015900000001</v>
      </c>
      <c r="K312">
        <v>0.25</v>
      </c>
      <c r="L312">
        <v>0.41099476400000001</v>
      </c>
      <c r="M312">
        <v>6.4254522999999994E-2</v>
      </c>
      <c r="N312" t="e">
        <v>#N/A</v>
      </c>
      <c r="O312" t="e">
        <v>#N/A</v>
      </c>
    </row>
    <row r="313" spans="1:15" x14ac:dyDescent="0.25">
      <c r="A313" t="s">
        <v>11</v>
      </c>
      <c r="B313" t="s">
        <v>23</v>
      </c>
      <c r="C313" s="3" t="str">
        <f>IF($B313="GW1",VLOOKUP($A313,Matches!$A:$AC,2,FALSE),IF($B313="GW2",VLOOKUP($A313,Matches!$A:$AC,9,FALSE),IF($B313="GW3",VLOOKUP($A313,Matches!$A:$AC,16,FALSE))))</f>
        <v>Leeds</v>
      </c>
      <c r="D313" s="6">
        <v>0.30919547337826969</v>
      </c>
      <c r="E313" s="6">
        <v>0.4045307443365696</v>
      </c>
      <c r="F313" s="6">
        <v>-9.5335270958299911E-2</v>
      </c>
      <c r="G313" s="3" t="s">
        <v>0</v>
      </c>
      <c r="H313" t="e">
        <v>#N/A</v>
      </c>
      <c r="I313" t="e">
        <v>#N/A</v>
      </c>
      <c r="J313" t="e">
        <v>#N/A</v>
      </c>
      <c r="K313">
        <v>0.25</v>
      </c>
      <c r="L313">
        <v>0.41099476400000001</v>
      </c>
      <c r="M313">
        <v>6.4254522999999994E-2</v>
      </c>
      <c r="N313" t="e">
        <v>#N/A</v>
      </c>
      <c r="O313" t="e">
        <v>#N/A</v>
      </c>
    </row>
    <row r="314" spans="1:15" x14ac:dyDescent="0.25">
      <c r="A314" t="s">
        <v>11</v>
      </c>
      <c r="B314" t="s">
        <v>23</v>
      </c>
      <c r="C314" s="3" t="str">
        <f>IF($B314="GW1",VLOOKUP($A314,Matches!$A:$AC,2,FALSE),IF($B314="GW2",VLOOKUP($A314,Matches!$A:$AC,9,FALSE),IF($B314="GW3",VLOOKUP($A314,Matches!$A:$AC,16,FALSE))))</f>
        <v>Leeds</v>
      </c>
      <c r="D314" s="6">
        <v>0.30919547337826969</v>
      </c>
      <c r="E314" s="6">
        <v>0.4045307443365696</v>
      </c>
      <c r="F314" s="6">
        <v>-9.5335270958299911E-2</v>
      </c>
      <c r="G314" s="3" t="s">
        <v>0</v>
      </c>
      <c r="H314" t="e">
        <v>#N/A</v>
      </c>
      <c r="I314" t="e">
        <v>#N/A</v>
      </c>
      <c r="J314" t="e">
        <v>#N/A</v>
      </c>
      <c r="K314">
        <v>0.25</v>
      </c>
      <c r="L314">
        <v>0.41099476400000001</v>
      </c>
      <c r="M314">
        <v>6.4254522999999994E-2</v>
      </c>
      <c r="N314" t="e">
        <v>#N/A</v>
      </c>
      <c r="O314" t="e">
        <v>#N/A</v>
      </c>
    </row>
    <row r="315" spans="1:15" x14ac:dyDescent="0.25">
      <c r="A315" t="s">
        <v>11</v>
      </c>
      <c r="B315" t="s">
        <v>23</v>
      </c>
      <c r="C315" s="3" t="str">
        <f>IF($B315="GW1",VLOOKUP($A315,Matches!$A:$AC,2,FALSE),IF($B315="GW2",VLOOKUP($A315,Matches!$A:$AC,9,FALSE),IF($B315="GW3",VLOOKUP($A315,Matches!$A:$AC,16,FALSE))))</f>
        <v>Leeds</v>
      </c>
      <c r="D315" s="6">
        <v>0.30919547337826969</v>
      </c>
      <c r="E315" s="6">
        <v>0.4045307443365696</v>
      </c>
      <c r="F315" s="6">
        <v>-9.5335270958299911E-2</v>
      </c>
      <c r="G315" s="3" t="s">
        <v>0</v>
      </c>
      <c r="H315">
        <v>8.6580087E-2</v>
      </c>
      <c r="I315">
        <v>5.0125312999999998E-2</v>
      </c>
      <c r="J315">
        <v>0.23809523799999999</v>
      </c>
      <c r="K315">
        <v>0.25</v>
      </c>
      <c r="L315">
        <v>0.41099476400000001</v>
      </c>
      <c r="M315">
        <v>6.4254522999999994E-2</v>
      </c>
      <c r="N315" t="e">
        <v>#N/A</v>
      </c>
      <c r="O315" t="e">
        <v>#N/A</v>
      </c>
    </row>
    <row r="316" spans="1:15" x14ac:dyDescent="0.25">
      <c r="A316" t="s">
        <v>12</v>
      </c>
      <c r="B316" t="s">
        <v>23</v>
      </c>
      <c r="C316" s="3" t="str">
        <f>IF($B316="GW1",VLOOKUP($A316,Matches!$A:$AC,2,FALSE),IF($B316="GW2",VLOOKUP($A316,Matches!$A:$AC,9,FALSE),IF($B316="GW3",VLOOKUP($A316,Matches!$A:$AC,16,FALSE))))</f>
        <v>Brighton</v>
      </c>
      <c r="D316" s="6">
        <v>0.22318937618569357</v>
      </c>
      <c r="E316" s="6">
        <v>0.52764879696074285</v>
      </c>
      <c r="F316" s="6">
        <v>-0.30445942077504928</v>
      </c>
      <c r="G316" s="3" t="s">
        <v>0</v>
      </c>
      <c r="H316" t="e">
        <v>#N/A</v>
      </c>
      <c r="I316" t="e">
        <v>#N/A</v>
      </c>
      <c r="J316">
        <v>0.253968254</v>
      </c>
      <c r="K316">
        <v>0.188311688</v>
      </c>
      <c r="L316">
        <v>0.513513514</v>
      </c>
      <c r="M316">
        <v>0.10634495099999999</v>
      </c>
      <c r="N316">
        <v>0.661375661</v>
      </c>
      <c r="O316">
        <v>0.14652014699999999</v>
      </c>
    </row>
    <row r="317" spans="1:15" x14ac:dyDescent="0.25">
      <c r="A317" t="s">
        <v>12</v>
      </c>
      <c r="B317" t="s">
        <v>23</v>
      </c>
      <c r="C317" s="3" t="str">
        <f>IF($B317="GW1",VLOOKUP($A317,Matches!$A:$AC,2,FALSE),IF($B317="GW2",VLOOKUP($A317,Matches!$A:$AC,9,FALSE),IF($B317="GW3",VLOOKUP($A317,Matches!$A:$AC,16,FALSE))))</f>
        <v>Brighton</v>
      </c>
      <c r="D317" s="6">
        <v>0.22318937618569357</v>
      </c>
      <c r="E317" s="6">
        <v>0.52764879696074285</v>
      </c>
      <c r="F317" s="6">
        <v>-0.30445942077504928</v>
      </c>
      <c r="G317" s="3" t="s">
        <v>0</v>
      </c>
      <c r="H317" t="e">
        <v>#N/A</v>
      </c>
      <c r="I317" t="e">
        <v>#N/A</v>
      </c>
      <c r="J317" t="e">
        <v>#N/A</v>
      </c>
      <c r="K317">
        <v>0.188311688</v>
      </c>
      <c r="L317">
        <v>0.513513514</v>
      </c>
      <c r="M317">
        <v>0.10634495099999999</v>
      </c>
      <c r="N317" t="e">
        <v>#N/A</v>
      </c>
      <c r="O317" t="e">
        <v>#N/A</v>
      </c>
    </row>
    <row r="318" spans="1:15" x14ac:dyDescent="0.25">
      <c r="A318" t="s">
        <v>12</v>
      </c>
      <c r="B318" t="s">
        <v>23</v>
      </c>
      <c r="C318" s="3" t="str">
        <f>IF($B318="GW1",VLOOKUP($A318,Matches!$A:$AC,2,FALSE),IF($B318="GW2",VLOOKUP($A318,Matches!$A:$AC,9,FALSE),IF($B318="GW3",VLOOKUP($A318,Matches!$A:$AC,16,FALSE))))</f>
        <v>Brighton</v>
      </c>
      <c r="D318" s="6">
        <v>0.22318937618569357</v>
      </c>
      <c r="E318" s="6">
        <v>0.52764879696074285</v>
      </c>
      <c r="F318" s="6">
        <v>-0.30445942077504928</v>
      </c>
      <c r="G318" s="3" t="s">
        <v>0</v>
      </c>
      <c r="H318" t="e">
        <v>#N/A</v>
      </c>
      <c r="I318" t="e">
        <v>#N/A</v>
      </c>
      <c r="J318" t="e">
        <v>#N/A</v>
      </c>
      <c r="K318">
        <v>0.188311688</v>
      </c>
      <c r="L318">
        <v>0.513513514</v>
      </c>
      <c r="M318">
        <v>0.10634495099999999</v>
      </c>
      <c r="N318" t="e">
        <v>#N/A</v>
      </c>
      <c r="O318" t="e">
        <v>#N/A</v>
      </c>
    </row>
    <row r="319" spans="1:15" x14ac:dyDescent="0.25">
      <c r="A319" t="s">
        <v>12</v>
      </c>
      <c r="B319" t="s">
        <v>23</v>
      </c>
      <c r="C319" s="3" t="str">
        <f>IF($B319="GW1",VLOOKUP($A319,Matches!$A:$AC,2,FALSE),IF($B319="GW2",VLOOKUP($A319,Matches!$A:$AC,9,FALSE),IF($B319="GW3",VLOOKUP($A319,Matches!$A:$AC,16,FALSE))))</f>
        <v>Brighton</v>
      </c>
      <c r="D319" s="6">
        <v>0.22318937618569357</v>
      </c>
      <c r="E319" s="6">
        <v>0.52764879696074285</v>
      </c>
      <c r="F319" s="6">
        <v>-0.30445942077504928</v>
      </c>
      <c r="G319" s="3" t="s">
        <v>0</v>
      </c>
      <c r="H319">
        <v>6.3492063000000001E-2</v>
      </c>
      <c r="I319">
        <v>3.2840722000000003E-2</v>
      </c>
      <c r="J319">
        <v>0.253968254</v>
      </c>
      <c r="K319">
        <v>0.188311688</v>
      </c>
      <c r="L319">
        <v>0.513513514</v>
      </c>
      <c r="M319">
        <v>0.10634495099999999</v>
      </c>
      <c r="N319" t="e">
        <v>#N/A</v>
      </c>
      <c r="O319" t="e">
        <v>#N/A</v>
      </c>
    </row>
    <row r="320" spans="1:15" x14ac:dyDescent="0.25">
      <c r="A320" t="s">
        <v>12</v>
      </c>
      <c r="B320" t="s">
        <v>23</v>
      </c>
      <c r="C320" s="3" t="str">
        <f>IF($B320="GW1",VLOOKUP($A320,Matches!$A:$AC,2,FALSE),IF($B320="GW2",VLOOKUP($A320,Matches!$A:$AC,9,FALSE),IF($B320="GW3",VLOOKUP($A320,Matches!$A:$AC,16,FALSE))))</f>
        <v>Brighton</v>
      </c>
      <c r="D320" s="6">
        <v>0.22318937618569357</v>
      </c>
      <c r="E320" s="6">
        <v>0.52764879696074285</v>
      </c>
      <c r="F320" s="6">
        <v>-0.30445942077504928</v>
      </c>
      <c r="G320" s="3" t="s">
        <v>0</v>
      </c>
      <c r="H320">
        <v>6.3492063000000001E-2</v>
      </c>
      <c r="I320">
        <v>2.8011204000000001E-2</v>
      </c>
      <c r="J320">
        <v>0.28011204499999998</v>
      </c>
      <c r="K320">
        <v>0.188311688</v>
      </c>
      <c r="L320">
        <v>0.513513514</v>
      </c>
      <c r="M320">
        <v>0.10634495099999999</v>
      </c>
      <c r="N320" t="e">
        <v>#N/A</v>
      </c>
      <c r="O320" t="e">
        <v>#N/A</v>
      </c>
    </row>
    <row r="321" spans="1:15" x14ac:dyDescent="0.25">
      <c r="A321" t="s">
        <v>12</v>
      </c>
      <c r="B321" t="s">
        <v>23</v>
      </c>
      <c r="C321" s="3" t="str">
        <f>IF($B321="GW1",VLOOKUP($A321,Matches!$A:$AC,2,FALSE),IF($B321="GW2",VLOOKUP($A321,Matches!$A:$AC,9,FALSE),IF($B321="GW3",VLOOKUP($A321,Matches!$A:$AC,16,FALSE))))</f>
        <v>Brighton</v>
      </c>
      <c r="D321" s="6">
        <v>0.22318937618569357</v>
      </c>
      <c r="E321" s="6">
        <v>0.52764879696074285</v>
      </c>
      <c r="F321" s="6">
        <v>-0.30445942077504928</v>
      </c>
      <c r="G321" s="3" t="s">
        <v>0</v>
      </c>
      <c r="H321">
        <v>6.3492063000000001E-2</v>
      </c>
      <c r="I321">
        <v>5.0125312999999998E-2</v>
      </c>
      <c r="J321">
        <v>0.21164021199999999</v>
      </c>
      <c r="K321">
        <v>0.188311688</v>
      </c>
      <c r="L321">
        <v>0.513513514</v>
      </c>
      <c r="M321">
        <v>0.10634495099999999</v>
      </c>
      <c r="N321" t="e">
        <v>#N/A</v>
      </c>
      <c r="O321" t="e">
        <v>#N/A</v>
      </c>
    </row>
    <row r="322" spans="1:15" x14ac:dyDescent="0.25">
      <c r="A322" t="s">
        <v>12</v>
      </c>
      <c r="B322" t="s">
        <v>23</v>
      </c>
      <c r="C322" s="3" t="str">
        <f>IF($B322="GW1",VLOOKUP($A322,Matches!$A:$AC,2,FALSE),IF($B322="GW2",VLOOKUP($A322,Matches!$A:$AC,9,FALSE),IF($B322="GW3",VLOOKUP($A322,Matches!$A:$AC,16,FALSE))))</f>
        <v>Brighton</v>
      </c>
      <c r="D322" s="6">
        <v>0.22318937618569357</v>
      </c>
      <c r="E322" s="6">
        <v>0.52764879696074285</v>
      </c>
      <c r="F322" s="6">
        <v>-0.30445942077504928</v>
      </c>
      <c r="G322" s="3" t="s">
        <v>0</v>
      </c>
      <c r="H322">
        <v>6.3492063000000001E-2</v>
      </c>
      <c r="I322">
        <v>2.8011204000000001E-2</v>
      </c>
      <c r="J322">
        <v>0.307219662</v>
      </c>
      <c r="K322">
        <v>0.188311688</v>
      </c>
      <c r="L322">
        <v>0.513513514</v>
      </c>
      <c r="M322">
        <v>0.10634495099999999</v>
      </c>
      <c r="N322" t="e">
        <v>#N/A</v>
      </c>
      <c r="O322" t="e">
        <v>#N/A</v>
      </c>
    </row>
    <row r="323" spans="1:15" x14ac:dyDescent="0.25">
      <c r="A323" t="s">
        <v>12</v>
      </c>
      <c r="B323" t="s">
        <v>23</v>
      </c>
      <c r="C323" s="3" t="str">
        <f>IF($B323="GW1",VLOOKUP($A323,Matches!$A:$AC,2,FALSE),IF($B323="GW2",VLOOKUP($A323,Matches!$A:$AC,9,FALSE),IF($B323="GW3",VLOOKUP($A323,Matches!$A:$AC,16,FALSE))))</f>
        <v>Brighton</v>
      </c>
      <c r="D323" s="6">
        <v>0.22318937618569357</v>
      </c>
      <c r="E323" s="6">
        <v>0.52764879696074285</v>
      </c>
      <c r="F323" s="6">
        <v>-0.30445942077504928</v>
      </c>
      <c r="G323" s="3" t="s">
        <v>0</v>
      </c>
      <c r="H323">
        <v>7.9365079000000005E-2</v>
      </c>
      <c r="I323">
        <v>4.5351474000000003E-2</v>
      </c>
      <c r="J323">
        <v>0.21164021199999999</v>
      </c>
      <c r="K323">
        <v>0.188311688</v>
      </c>
      <c r="L323">
        <v>0.513513514</v>
      </c>
      <c r="M323">
        <v>0.10634495099999999</v>
      </c>
      <c r="N323" t="e">
        <v>#N/A</v>
      </c>
      <c r="O323" t="e">
        <v>#N/A</v>
      </c>
    </row>
    <row r="324" spans="1:15" x14ac:dyDescent="0.25">
      <c r="A324" t="s">
        <v>12</v>
      </c>
      <c r="B324" t="s">
        <v>23</v>
      </c>
      <c r="C324" s="3" t="str">
        <f>IF($B324="GW1",VLOOKUP($A324,Matches!$A:$AC,2,FALSE),IF($B324="GW2",VLOOKUP($A324,Matches!$A:$AC,9,FALSE),IF($B324="GW3",VLOOKUP($A324,Matches!$A:$AC,16,FALSE))))</f>
        <v>Brighton</v>
      </c>
      <c r="D324" s="6">
        <v>0.22318937618569357</v>
      </c>
      <c r="E324" s="6">
        <v>0.52764879696074285</v>
      </c>
      <c r="F324" s="6">
        <v>-0.30445942077504928</v>
      </c>
      <c r="G324" s="3" t="s">
        <v>0</v>
      </c>
      <c r="H324">
        <v>0.11904761899999999</v>
      </c>
      <c r="I324">
        <v>5.0125312999999998E-2</v>
      </c>
      <c r="J324">
        <v>0.28011204499999998</v>
      </c>
      <c r="K324">
        <v>0.188311688</v>
      </c>
      <c r="L324">
        <v>0.513513514</v>
      </c>
      <c r="M324">
        <v>0.10634495099999999</v>
      </c>
      <c r="N324" t="e">
        <v>#N/A</v>
      </c>
      <c r="O324" t="e">
        <v>#N/A</v>
      </c>
    </row>
    <row r="325" spans="1:15" x14ac:dyDescent="0.25">
      <c r="A325" t="s">
        <v>11</v>
      </c>
      <c r="B325" t="s">
        <v>23</v>
      </c>
      <c r="C325" s="3" t="str">
        <f>IF($B325="GW1",VLOOKUP($A325,Matches!$A:$AC,2,FALSE),IF($B325="GW2",VLOOKUP($A325,Matches!$A:$AC,9,FALSE),IF($B325="GW3",VLOOKUP($A325,Matches!$A:$AC,16,FALSE))))</f>
        <v>Leeds</v>
      </c>
      <c r="D325" s="6">
        <v>0.30919547337826969</v>
      </c>
      <c r="E325" s="6">
        <v>0.4045307443365696</v>
      </c>
      <c r="F325" s="6">
        <v>-9.5335270958299911E-2</v>
      </c>
      <c r="G325" s="3" t="s">
        <v>0</v>
      </c>
      <c r="H325" t="e">
        <v>#N/A</v>
      </c>
      <c r="I325" t="e">
        <v>#N/A</v>
      </c>
      <c r="J325" t="e">
        <v>#N/A</v>
      </c>
      <c r="K325">
        <v>0.188311688</v>
      </c>
      <c r="L325">
        <v>0.513513514</v>
      </c>
      <c r="M325">
        <v>0.10634495099999999</v>
      </c>
      <c r="N325" t="e">
        <v>#N/A</v>
      </c>
      <c r="O325" t="e">
        <v>#N/A</v>
      </c>
    </row>
    <row r="326" spans="1:15" x14ac:dyDescent="0.25">
      <c r="A326" t="s">
        <v>12</v>
      </c>
      <c r="B326" t="s">
        <v>23</v>
      </c>
      <c r="C326" s="3" t="str">
        <f>IF($B326="GW1",VLOOKUP($A326,Matches!$A:$AC,2,FALSE),IF($B326="GW2",VLOOKUP($A326,Matches!$A:$AC,9,FALSE),IF($B326="GW3",VLOOKUP($A326,Matches!$A:$AC,16,FALSE))))</f>
        <v>Brighton</v>
      </c>
      <c r="D326" s="6">
        <v>0.22318937618569357</v>
      </c>
      <c r="E326" s="6">
        <v>0.52764879696074285</v>
      </c>
      <c r="F326" s="6">
        <v>-0.30445942077504928</v>
      </c>
      <c r="G326" s="3" t="s">
        <v>0</v>
      </c>
      <c r="H326">
        <v>0.23809523799999999</v>
      </c>
      <c r="I326">
        <v>0.15873015900000001</v>
      </c>
      <c r="J326">
        <v>0.13605442200000001</v>
      </c>
      <c r="K326">
        <v>0.188311688</v>
      </c>
      <c r="L326">
        <v>0.513513514</v>
      </c>
      <c r="M326">
        <v>0.10634495099999999</v>
      </c>
      <c r="N326" t="e">
        <v>#N/A</v>
      </c>
      <c r="O326" t="e">
        <v>#N/A</v>
      </c>
    </row>
    <row r="327" spans="1:15" x14ac:dyDescent="0.25">
      <c r="A327" t="s">
        <v>12</v>
      </c>
      <c r="B327" t="s">
        <v>23</v>
      </c>
      <c r="C327" s="3" t="str">
        <f>IF($B327="GW1",VLOOKUP($A327,Matches!$A:$AC,2,FALSE),IF($B327="GW2",VLOOKUP($A327,Matches!$A:$AC,9,FALSE),IF($B327="GW3",VLOOKUP($A327,Matches!$A:$AC,16,FALSE))))</f>
        <v>Brighton</v>
      </c>
      <c r="D327" s="6">
        <v>0.22318937618569357</v>
      </c>
      <c r="E327" s="6">
        <v>0.52764879696074285</v>
      </c>
      <c r="F327" s="6">
        <v>-0.30445942077504928</v>
      </c>
      <c r="G327" s="3" t="s">
        <v>0</v>
      </c>
      <c r="H327">
        <v>0.21164021199999999</v>
      </c>
      <c r="I327">
        <v>0.105820106</v>
      </c>
      <c r="J327">
        <v>0.15873015900000001</v>
      </c>
      <c r="K327">
        <v>0.188311688</v>
      </c>
      <c r="L327">
        <v>0.513513514</v>
      </c>
      <c r="M327">
        <v>0.10634495099999999</v>
      </c>
      <c r="N327" t="e">
        <v>#N/A</v>
      </c>
      <c r="O327" t="e">
        <v>#N/A</v>
      </c>
    </row>
    <row r="328" spans="1:15" x14ac:dyDescent="0.25">
      <c r="A328" t="s">
        <v>12</v>
      </c>
      <c r="B328" t="s">
        <v>23</v>
      </c>
      <c r="C328" s="3" t="str">
        <f>IF($B328="GW1",VLOOKUP($A328,Matches!$A:$AC,2,FALSE),IF($B328="GW2",VLOOKUP($A328,Matches!$A:$AC,9,FALSE),IF($B328="GW3",VLOOKUP($A328,Matches!$A:$AC,16,FALSE))))</f>
        <v>Brighton</v>
      </c>
      <c r="D328" s="6">
        <v>0.22318937618569357</v>
      </c>
      <c r="E328" s="6">
        <v>0.52764879696074285</v>
      </c>
      <c r="F328" s="6">
        <v>-0.30445942077504928</v>
      </c>
      <c r="G328" s="3" t="s">
        <v>0</v>
      </c>
      <c r="H328" t="e">
        <v>#N/A</v>
      </c>
      <c r="I328" t="e">
        <v>#N/A</v>
      </c>
      <c r="J328" t="e">
        <v>#N/A</v>
      </c>
      <c r="K328">
        <v>0.188311688</v>
      </c>
      <c r="L328">
        <v>0.513513514</v>
      </c>
      <c r="M328">
        <v>0.10634495099999999</v>
      </c>
      <c r="N328" t="e">
        <v>#N/A</v>
      </c>
      <c r="O328" t="e">
        <v>#N/A</v>
      </c>
    </row>
    <row r="329" spans="1:15" x14ac:dyDescent="0.25">
      <c r="A329" t="s">
        <v>12</v>
      </c>
      <c r="B329" t="s">
        <v>23</v>
      </c>
      <c r="C329" s="3" t="str">
        <f>IF($B329="GW1",VLOOKUP($A329,Matches!$A:$AC,2,FALSE),IF($B329="GW2",VLOOKUP($A329,Matches!$A:$AC,9,FALSE),IF($B329="GW3",VLOOKUP($A329,Matches!$A:$AC,16,FALSE))))</f>
        <v>Brighton</v>
      </c>
      <c r="D329" s="6">
        <v>0.22318937618569357</v>
      </c>
      <c r="E329" s="6">
        <v>0.52764879696074285</v>
      </c>
      <c r="F329" s="6">
        <v>-0.30445942077504928</v>
      </c>
      <c r="G329" s="3" t="s">
        <v>0</v>
      </c>
      <c r="H329" t="e">
        <v>#N/A</v>
      </c>
      <c r="I329" t="e">
        <v>#N/A</v>
      </c>
      <c r="J329" t="e">
        <v>#N/A</v>
      </c>
      <c r="K329">
        <v>0.188311688</v>
      </c>
      <c r="L329">
        <v>0.513513514</v>
      </c>
      <c r="M329">
        <v>0.10634495099999999</v>
      </c>
      <c r="N329" t="e">
        <v>#N/A</v>
      </c>
      <c r="O329" t="e">
        <v>#N/A</v>
      </c>
    </row>
    <row r="330" spans="1:15" x14ac:dyDescent="0.25">
      <c r="A330" t="s">
        <v>12</v>
      </c>
      <c r="B330" t="s">
        <v>23</v>
      </c>
      <c r="C330" s="3" t="str">
        <f>IF($B330="GW1",VLOOKUP($A330,Matches!$A:$AC,2,FALSE),IF($B330="GW2",VLOOKUP($A330,Matches!$A:$AC,9,FALSE),IF($B330="GW3",VLOOKUP($A330,Matches!$A:$AC,16,FALSE))))</f>
        <v>Brighton</v>
      </c>
      <c r="D330" s="6">
        <v>0.22318937618569357</v>
      </c>
      <c r="E330" s="6">
        <v>0.52764879696074285</v>
      </c>
      <c r="F330" s="6">
        <v>-0.30445942077504928</v>
      </c>
      <c r="G330" s="3" t="s">
        <v>0</v>
      </c>
      <c r="H330">
        <v>0.173160173</v>
      </c>
      <c r="I330">
        <v>0.11904761899999999</v>
      </c>
      <c r="J330">
        <v>0.21164021199999999</v>
      </c>
      <c r="K330">
        <v>0.188311688</v>
      </c>
      <c r="L330">
        <v>0.513513514</v>
      </c>
      <c r="M330">
        <v>0.10634495099999999</v>
      </c>
      <c r="N330" t="e">
        <v>#N/A</v>
      </c>
      <c r="O330" t="e">
        <v>#N/A</v>
      </c>
    </row>
    <row r="331" spans="1:15" x14ac:dyDescent="0.25">
      <c r="A331" t="s">
        <v>12</v>
      </c>
      <c r="B331" t="s">
        <v>23</v>
      </c>
      <c r="C331" s="3" t="str">
        <f>IF($B331="GW1",VLOOKUP($A331,Matches!$A:$AC,2,FALSE),IF($B331="GW2",VLOOKUP($A331,Matches!$A:$AC,9,FALSE),IF($B331="GW3",VLOOKUP($A331,Matches!$A:$AC,16,FALSE))))</f>
        <v>Brighton</v>
      </c>
      <c r="D331" s="6">
        <v>0.22318937618569357</v>
      </c>
      <c r="E331" s="6">
        <v>0.52764879696074285</v>
      </c>
      <c r="F331" s="6">
        <v>-0.30445942077504928</v>
      </c>
      <c r="G331" s="3" t="s">
        <v>0</v>
      </c>
      <c r="H331">
        <v>0.20050125299999999</v>
      </c>
      <c r="I331">
        <v>0.11904761899999999</v>
      </c>
      <c r="J331">
        <v>0.21164021199999999</v>
      </c>
      <c r="K331">
        <v>0.188311688</v>
      </c>
      <c r="L331">
        <v>0.513513514</v>
      </c>
      <c r="M331">
        <v>0.10634495099999999</v>
      </c>
      <c r="N331" t="e">
        <v>#N/A</v>
      </c>
      <c r="O331" t="e">
        <v>#N/A</v>
      </c>
    </row>
    <row r="332" spans="1:15" x14ac:dyDescent="0.25">
      <c r="A332" t="s">
        <v>12</v>
      </c>
      <c r="B332" t="s">
        <v>23</v>
      </c>
      <c r="C332" s="3" t="str">
        <f>IF($B332="GW1",VLOOKUP($A332,Matches!$A:$AC,2,FALSE),IF($B332="GW2",VLOOKUP($A332,Matches!$A:$AC,9,FALSE),IF($B332="GW3",VLOOKUP($A332,Matches!$A:$AC,16,FALSE))))</f>
        <v>Brighton</v>
      </c>
      <c r="D332" s="6">
        <v>0.22318937618569357</v>
      </c>
      <c r="E332" s="6">
        <v>0.52764879696074285</v>
      </c>
      <c r="F332" s="6">
        <v>-0.30445942077504928</v>
      </c>
      <c r="G332" s="3" t="s">
        <v>0</v>
      </c>
      <c r="H332">
        <v>0.126984127</v>
      </c>
      <c r="I332">
        <v>4.5351474000000003E-2</v>
      </c>
      <c r="J332">
        <v>0.28011204499999998</v>
      </c>
      <c r="K332">
        <v>0.188311688</v>
      </c>
      <c r="L332">
        <v>0.513513514</v>
      </c>
      <c r="M332">
        <v>0.10634495099999999</v>
      </c>
      <c r="N332" t="e">
        <v>#N/A</v>
      </c>
      <c r="O332" t="e">
        <v>#N/A</v>
      </c>
    </row>
    <row r="333" spans="1:15" x14ac:dyDescent="0.25">
      <c r="A333" t="s">
        <v>12</v>
      </c>
      <c r="B333" t="s">
        <v>23</v>
      </c>
      <c r="C333" s="3" t="str">
        <f>IF($B333="GW1",VLOOKUP($A333,Matches!$A:$AC,2,FALSE),IF($B333="GW2",VLOOKUP($A333,Matches!$A:$AC,9,FALSE),IF($B333="GW3",VLOOKUP($A333,Matches!$A:$AC,16,FALSE))))</f>
        <v>Brighton</v>
      </c>
      <c r="D333" s="6">
        <v>0.22318937618569357</v>
      </c>
      <c r="E333" s="6">
        <v>0.52764879696074285</v>
      </c>
      <c r="F333" s="6">
        <v>-0.30445942077504928</v>
      </c>
      <c r="G333" s="3" t="s">
        <v>0</v>
      </c>
      <c r="H333">
        <v>0.126984127</v>
      </c>
      <c r="I333">
        <v>0.11904761899999999</v>
      </c>
      <c r="J333">
        <v>0.21164021199999999</v>
      </c>
      <c r="K333">
        <v>0.188311688</v>
      </c>
      <c r="L333">
        <v>0.513513514</v>
      </c>
      <c r="M333">
        <v>0.10634495099999999</v>
      </c>
      <c r="N333" t="e">
        <v>#N/A</v>
      </c>
      <c r="O333" t="e">
        <v>#N/A</v>
      </c>
    </row>
    <row r="334" spans="1:15" x14ac:dyDescent="0.25">
      <c r="A334" t="s">
        <v>12</v>
      </c>
      <c r="B334" t="s">
        <v>23</v>
      </c>
      <c r="C334" s="3" t="str">
        <f>IF($B334="GW1",VLOOKUP($A334,Matches!$A:$AC,2,FALSE),IF($B334="GW2",VLOOKUP($A334,Matches!$A:$AC,9,FALSE),IF($B334="GW3",VLOOKUP($A334,Matches!$A:$AC,16,FALSE))))</f>
        <v>Brighton</v>
      </c>
      <c r="D334" s="6">
        <v>0.22318937618569357</v>
      </c>
      <c r="E334" s="6">
        <v>0.52764879696074285</v>
      </c>
      <c r="F334" s="6">
        <v>-0.30445942077504928</v>
      </c>
      <c r="G334" s="3" t="s">
        <v>0</v>
      </c>
      <c r="H334">
        <v>0.11904761899999999</v>
      </c>
      <c r="I334">
        <v>8.6580087E-2</v>
      </c>
      <c r="J334">
        <v>0.38095238100000001</v>
      </c>
      <c r="K334">
        <v>0.188311688</v>
      </c>
      <c r="L334">
        <v>0.513513514</v>
      </c>
      <c r="M334">
        <v>0.10634495099999999</v>
      </c>
      <c r="N334" t="e">
        <v>#N/A</v>
      </c>
      <c r="O334" t="e">
        <v>#N/A</v>
      </c>
    </row>
    <row r="335" spans="1:15" x14ac:dyDescent="0.25">
      <c r="A335" t="s">
        <v>12</v>
      </c>
      <c r="B335" t="s">
        <v>23</v>
      </c>
      <c r="C335" s="3" t="str">
        <f>IF($B335="GW1",VLOOKUP($A335,Matches!$A:$AC,2,FALSE),IF($B335="GW2",VLOOKUP($A335,Matches!$A:$AC,9,FALSE),IF($B335="GW3",VLOOKUP($A335,Matches!$A:$AC,16,FALSE))))</f>
        <v>Brighton</v>
      </c>
      <c r="D335" s="6">
        <v>0.22318937618569357</v>
      </c>
      <c r="E335" s="6">
        <v>0.52764879696074285</v>
      </c>
      <c r="F335" s="6">
        <v>-0.30445942077504928</v>
      </c>
      <c r="G335" s="3" t="s">
        <v>0</v>
      </c>
      <c r="H335" t="e">
        <v>#N/A</v>
      </c>
      <c r="I335" t="e">
        <v>#N/A</v>
      </c>
      <c r="J335" t="e">
        <v>#N/A</v>
      </c>
      <c r="K335">
        <v>0.188311688</v>
      </c>
      <c r="L335">
        <v>0.513513514</v>
      </c>
      <c r="M335">
        <v>0.10634495099999999</v>
      </c>
      <c r="N335" t="e">
        <v>#N/A</v>
      </c>
      <c r="O335" t="e">
        <v>#N/A</v>
      </c>
    </row>
    <row r="336" spans="1:15" x14ac:dyDescent="0.25">
      <c r="A336" t="s">
        <v>12</v>
      </c>
      <c r="B336" t="s">
        <v>23</v>
      </c>
      <c r="C336" s="3" t="str">
        <f>IF($B336="GW1",VLOOKUP($A336,Matches!$A:$AC,2,FALSE),IF($B336="GW2",VLOOKUP($A336,Matches!$A:$AC,9,FALSE),IF($B336="GW3",VLOOKUP($A336,Matches!$A:$AC,16,FALSE))))</f>
        <v>Brighton</v>
      </c>
      <c r="D336" s="6">
        <v>0.22318937618569357</v>
      </c>
      <c r="E336" s="6">
        <v>0.52764879696074285</v>
      </c>
      <c r="F336" s="6">
        <v>-0.30445942077504928</v>
      </c>
      <c r="G336" s="3" t="s">
        <v>0</v>
      </c>
      <c r="H336" t="e">
        <v>#N/A</v>
      </c>
      <c r="I336" t="e">
        <v>#N/A</v>
      </c>
      <c r="J336" t="e">
        <v>#N/A</v>
      </c>
      <c r="K336">
        <v>0.188311688</v>
      </c>
      <c r="L336">
        <v>0.513513514</v>
      </c>
      <c r="M336">
        <v>0.10634495099999999</v>
      </c>
      <c r="N336" t="e">
        <v>#N/A</v>
      </c>
      <c r="O336" t="e">
        <v>#N/A</v>
      </c>
    </row>
    <row r="337" spans="1:15" x14ac:dyDescent="0.25">
      <c r="A337" t="s">
        <v>12</v>
      </c>
      <c r="B337" t="s">
        <v>23</v>
      </c>
      <c r="C337" s="3" t="str">
        <f>IF($B337="GW1",VLOOKUP($A337,Matches!$A:$AC,2,FALSE),IF($B337="GW2",VLOOKUP($A337,Matches!$A:$AC,9,FALSE),IF($B337="GW3",VLOOKUP($A337,Matches!$A:$AC,16,FALSE))))</f>
        <v>Brighton</v>
      </c>
      <c r="D337" s="6">
        <v>0.22318937618569357</v>
      </c>
      <c r="E337" s="6">
        <v>0.52764879696074285</v>
      </c>
      <c r="F337" s="6">
        <v>-0.30445942077504928</v>
      </c>
      <c r="G337" s="3" t="s">
        <v>0</v>
      </c>
      <c r="H337" t="e">
        <v>#N/A</v>
      </c>
      <c r="I337" t="e">
        <v>#N/A</v>
      </c>
      <c r="J337" t="e">
        <v>#N/A</v>
      </c>
      <c r="K337">
        <v>0.188311688</v>
      </c>
      <c r="L337">
        <v>0.513513514</v>
      </c>
      <c r="M337">
        <v>0.10634495099999999</v>
      </c>
      <c r="N337" t="e">
        <v>#N/A</v>
      </c>
      <c r="O337" t="e">
        <v>#N/A</v>
      </c>
    </row>
    <row r="338" spans="1:15" x14ac:dyDescent="0.25">
      <c r="A338" t="s">
        <v>12</v>
      </c>
      <c r="B338" t="s">
        <v>23</v>
      </c>
      <c r="C338" s="3" t="str">
        <f>IF($B338="GW1",VLOOKUP($A338,Matches!$A:$AC,2,FALSE),IF($B338="GW2",VLOOKUP($A338,Matches!$A:$AC,9,FALSE),IF($B338="GW3",VLOOKUP($A338,Matches!$A:$AC,16,FALSE))))</f>
        <v>Brighton</v>
      </c>
      <c r="D338" s="6">
        <v>0.22318937618569357</v>
      </c>
      <c r="E338" s="6">
        <v>0.52764879696074285</v>
      </c>
      <c r="F338" s="6">
        <v>-0.30445942077504928</v>
      </c>
      <c r="G338" s="3" t="s">
        <v>0</v>
      </c>
      <c r="H338">
        <v>9.5238094999999995E-2</v>
      </c>
      <c r="I338">
        <v>8.6580087E-2</v>
      </c>
      <c r="J338">
        <v>0.307219662</v>
      </c>
      <c r="K338">
        <v>0.188311688</v>
      </c>
      <c r="L338">
        <v>0.513513514</v>
      </c>
      <c r="M338">
        <v>0.10634495099999999</v>
      </c>
      <c r="N338" t="e">
        <v>#N/A</v>
      </c>
      <c r="O338" t="e">
        <v>#N/A</v>
      </c>
    </row>
    <row r="339" spans="1:15" x14ac:dyDescent="0.25">
      <c r="A339" t="s">
        <v>12</v>
      </c>
      <c r="B339" t="s">
        <v>23</v>
      </c>
      <c r="C339" s="3" t="str">
        <f>IF($B339="GW1",VLOOKUP($A339,Matches!$A:$AC,2,FALSE),IF($B339="GW2",VLOOKUP($A339,Matches!$A:$AC,9,FALSE),IF($B339="GW3",VLOOKUP($A339,Matches!$A:$AC,16,FALSE))))</f>
        <v>Brighton</v>
      </c>
      <c r="D339" s="6">
        <v>0.22318937618569357</v>
      </c>
      <c r="E339" s="6">
        <v>0.52764879696074285</v>
      </c>
      <c r="F339" s="6">
        <v>-0.30445942077504928</v>
      </c>
      <c r="G339" s="3" t="s">
        <v>0</v>
      </c>
      <c r="H339">
        <v>0.33184005300000002</v>
      </c>
      <c r="I339">
        <v>0.11904761899999999</v>
      </c>
      <c r="J339">
        <v>0.28011204499999998</v>
      </c>
      <c r="K339">
        <v>0.188311688</v>
      </c>
      <c r="L339">
        <v>0.513513514</v>
      </c>
      <c r="M339">
        <v>0.10634495099999999</v>
      </c>
      <c r="N339" t="e">
        <v>#N/A</v>
      </c>
      <c r="O339" t="e">
        <v>#N/A</v>
      </c>
    </row>
    <row r="340" spans="1:15" x14ac:dyDescent="0.25">
      <c r="A340" t="s">
        <v>12</v>
      </c>
      <c r="B340" t="s">
        <v>23</v>
      </c>
      <c r="C340" s="3" t="str">
        <f>IF($B340="GW1",VLOOKUP($A340,Matches!$A:$AC,2,FALSE),IF($B340="GW2",VLOOKUP($A340,Matches!$A:$AC,9,FALSE),IF($B340="GW3",VLOOKUP($A340,Matches!$A:$AC,16,FALSE))))</f>
        <v>Brighton</v>
      </c>
      <c r="D340" s="6">
        <v>0.22318937618569357</v>
      </c>
      <c r="E340" s="6">
        <v>0.52764879696074285</v>
      </c>
      <c r="F340" s="6">
        <v>-0.30445942077504928</v>
      </c>
      <c r="G340" s="3" t="s">
        <v>0</v>
      </c>
      <c r="H340" t="e">
        <v>#N/A</v>
      </c>
      <c r="I340" t="e">
        <v>#N/A</v>
      </c>
      <c r="J340" t="e">
        <v>#N/A</v>
      </c>
      <c r="K340">
        <v>0.188311688</v>
      </c>
      <c r="L340">
        <v>0.513513514</v>
      </c>
      <c r="M340">
        <v>0.10634495099999999</v>
      </c>
      <c r="N340" t="e">
        <v>#N/A</v>
      </c>
      <c r="O340" t="e">
        <v>#N/A</v>
      </c>
    </row>
    <row r="341" spans="1:15" x14ac:dyDescent="0.25">
      <c r="A341" t="s">
        <v>12</v>
      </c>
      <c r="B341" t="s">
        <v>23</v>
      </c>
      <c r="C341" s="3" t="str">
        <f>IF($B341="GW1",VLOOKUP($A341,Matches!$A:$AC,2,FALSE),IF($B341="GW2",VLOOKUP($A341,Matches!$A:$AC,9,FALSE),IF($B341="GW3",VLOOKUP($A341,Matches!$A:$AC,16,FALSE))))</f>
        <v>Brighton</v>
      </c>
      <c r="D341" s="6">
        <v>0.22318937618569357</v>
      </c>
      <c r="E341" s="6">
        <v>0.52764879696074285</v>
      </c>
      <c r="F341" s="6">
        <v>-0.30445942077504928</v>
      </c>
      <c r="G341" s="3" t="s">
        <v>0</v>
      </c>
      <c r="H341" t="e">
        <v>#N/A</v>
      </c>
      <c r="I341" t="e">
        <v>#N/A</v>
      </c>
      <c r="J341">
        <v>0.15873015900000001</v>
      </c>
      <c r="K341">
        <v>0.188311688</v>
      </c>
      <c r="L341">
        <v>0.513513514</v>
      </c>
      <c r="M341">
        <v>0.10634495099999999</v>
      </c>
      <c r="N341" t="e">
        <v>#N/A</v>
      </c>
      <c r="O341" t="e">
        <v>#N/A</v>
      </c>
    </row>
    <row r="342" spans="1:15" x14ac:dyDescent="0.25">
      <c r="A342" t="s">
        <v>13</v>
      </c>
      <c r="B342" t="s">
        <v>23</v>
      </c>
      <c r="C342" s="3" t="str">
        <f>IF($B342="GW1",VLOOKUP($A342,Matches!$A:$AC,2,FALSE),IF($B342="GW2",VLOOKUP($A342,Matches!$A:$AC,9,FALSE),IF($B342="GW3",VLOOKUP($A342,Matches!$A:$AC,16,FALSE))))</f>
        <v>Everton</v>
      </c>
      <c r="D342" s="6">
        <v>0.4045307443365696</v>
      </c>
      <c r="E342" s="6">
        <v>0.30919547337826969</v>
      </c>
      <c r="F342" s="6">
        <v>9.5335270958299911E-2</v>
      </c>
      <c r="G342" s="3" t="s">
        <v>1</v>
      </c>
      <c r="H342" t="e">
        <v>#N/A</v>
      </c>
      <c r="I342" t="e">
        <v>#N/A</v>
      </c>
      <c r="J342">
        <v>0.13605442200000001</v>
      </c>
      <c r="K342">
        <v>0.311926606</v>
      </c>
      <c r="L342">
        <v>0.33734939800000002</v>
      </c>
      <c r="M342">
        <v>4.6104928000000003E-2</v>
      </c>
      <c r="N342" t="e">
        <v>#N/A</v>
      </c>
      <c r="O342" t="e">
        <v>#N/A</v>
      </c>
    </row>
    <row r="343" spans="1:15" x14ac:dyDescent="0.25">
      <c r="A343" t="s">
        <v>13</v>
      </c>
      <c r="B343" t="s">
        <v>23</v>
      </c>
      <c r="C343" s="3" t="str">
        <f>IF($B343="GW1",VLOOKUP($A343,Matches!$A:$AC,2,FALSE),IF($B343="GW2",VLOOKUP($A343,Matches!$A:$AC,9,FALSE),IF($B343="GW3",VLOOKUP($A343,Matches!$A:$AC,16,FALSE))))</f>
        <v>Everton</v>
      </c>
      <c r="D343" s="6">
        <v>0.4045307443365696</v>
      </c>
      <c r="E343" s="6">
        <v>0.30919547337826969</v>
      </c>
      <c r="F343" s="6">
        <v>9.5335270958299911E-2</v>
      </c>
      <c r="G343" s="3" t="s">
        <v>1</v>
      </c>
      <c r="H343" t="e">
        <v>#N/A</v>
      </c>
      <c r="I343" t="e">
        <v>#N/A</v>
      </c>
      <c r="J343">
        <v>0.13605442200000001</v>
      </c>
      <c r="K343">
        <v>0.311926606</v>
      </c>
      <c r="L343">
        <v>0.33734939800000002</v>
      </c>
      <c r="M343">
        <v>4.6104928000000003E-2</v>
      </c>
      <c r="N343" t="e">
        <v>#N/A</v>
      </c>
      <c r="O343" t="e">
        <v>#N/A</v>
      </c>
    </row>
    <row r="344" spans="1:15" x14ac:dyDescent="0.25">
      <c r="A344" t="s">
        <v>13</v>
      </c>
      <c r="B344" t="s">
        <v>23</v>
      </c>
      <c r="C344" s="3" t="str">
        <f>IF($B344="GW1",VLOOKUP($A344,Matches!$A:$AC,2,FALSE),IF($B344="GW2",VLOOKUP($A344,Matches!$A:$AC,9,FALSE),IF($B344="GW3",VLOOKUP($A344,Matches!$A:$AC,16,FALSE))))</f>
        <v>Everton</v>
      </c>
      <c r="D344" s="6">
        <v>0.4045307443365696</v>
      </c>
      <c r="E344" s="6">
        <v>0.30919547337826969</v>
      </c>
      <c r="F344" s="6">
        <v>9.5335270958299911E-2</v>
      </c>
      <c r="G344" s="3" t="s">
        <v>1</v>
      </c>
      <c r="H344" t="e">
        <v>#N/A</v>
      </c>
      <c r="I344" t="e">
        <v>#N/A</v>
      </c>
      <c r="J344">
        <v>0.13605442200000001</v>
      </c>
      <c r="K344">
        <v>0.311926606</v>
      </c>
      <c r="L344">
        <v>0.33734939800000002</v>
      </c>
      <c r="M344">
        <v>4.6104928000000003E-2</v>
      </c>
      <c r="N344" t="e">
        <v>#N/A</v>
      </c>
      <c r="O344" t="e">
        <v>#N/A</v>
      </c>
    </row>
    <row r="345" spans="1:15" x14ac:dyDescent="0.25">
      <c r="A345" t="s">
        <v>13</v>
      </c>
      <c r="B345" t="s">
        <v>23</v>
      </c>
      <c r="C345" s="3" t="str">
        <f>IF($B345="GW1",VLOOKUP($A345,Matches!$A:$AC,2,FALSE),IF($B345="GW2",VLOOKUP($A345,Matches!$A:$AC,9,FALSE),IF($B345="GW3",VLOOKUP($A345,Matches!$A:$AC,16,FALSE))))</f>
        <v>Everton</v>
      </c>
      <c r="D345" s="6">
        <v>0.4045307443365696</v>
      </c>
      <c r="E345" s="6">
        <v>0.30919547337826969</v>
      </c>
      <c r="F345" s="6">
        <v>9.5335270958299911E-2</v>
      </c>
      <c r="G345" s="3" t="s">
        <v>1</v>
      </c>
      <c r="H345">
        <v>9.5238094999999995E-2</v>
      </c>
      <c r="I345">
        <v>9.5238094999999995E-2</v>
      </c>
      <c r="J345">
        <v>0.29304029300000001</v>
      </c>
      <c r="K345">
        <v>0.311926606</v>
      </c>
      <c r="L345">
        <v>0.33734939800000002</v>
      </c>
      <c r="M345">
        <v>4.6104928000000003E-2</v>
      </c>
      <c r="N345" t="e">
        <v>#N/A</v>
      </c>
      <c r="O345" t="e">
        <v>#N/A</v>
      </c>
    </row>
    <row r="346" spans="1:15" x14ac:dyDescent="0.25">
      <c r="A346" t="s">
        <v>13</v>
      </c>
      <c r="B346" t="s">
        <v>23</v>
      </c>
      <c r="C346" s="3" t="str">
        <f>IF($B346="GW1",VLOOKUP($A346,Matches!$A:$AC,2,FALSE),IF($B346="GW2",VLOOKUP($A346,Matches!$A:$AC,9,FALSE),IF($B346="GW3",VLOOKUP($A346,Matches!$A:$AC,16,FALSE))))</f>
        <v>Everton</v>
      </c>
      <c r="D346" s="6">
        <v>0.4045307443365696</v>
      </c>
      <c r="E346" s="6">
        <v>0.30919547337826969</v>
      </c>
      <c r="F346" s="6">
        <v>9.5335270958299911E-2</v>
      </c>
      <c r="G346" s="3" t="s">
        <v>1</v>
      </c>
      <c r="H346">
        <v>0.126984127</v>
      </c>
      <c r="I346">
        <v>3.2840722000000003E-2</v>
      </c>
      <c r="J346">
        <v>0.19047618999999999</v>
      </c>
      <c r="K346">
        <v>0.311926606</v>
      </c>
      <c r="L346">
        <v>0.33734939800000002</v>
      </c>
      <c r="M346">
        <v>4.6104928000000003E-2</v>
      </c>
      <c r="N346" t="e">
        <v>#N/A</v>
      </c>
      <c r="O346" t="e">
        <v>#N/A</v>
      </c>
    </row>
    <row r="347" spans="1:15" x14ac:dyDescent="0.25">
      <c r="A347" t="s">
        <v>13</v>
      </c>
      <c r="B347" t="s">
        <v>23</v>
      </c>
      <c r="C347" s="3" t="str">
        <f>IF($B347="GW1",VLOOKUP($A347,Matches!$A:$AC,2,FALSE),IF($B347="GW2",VLOOKUP($A347,Matches!$A:$AC,9,FALSE),IF($B347="GW3",VLOOKUP($A347,Matches!$A:$AC,16,FALSE))))</f>
        <v>Everton</v>
      </c>
      <c r="D347" s="6">
        <v>0.4045307443365696</v>
      </c>
      <c r="E347" s="6">
        <v>0.30919547337826969</v>
      </c>
      <c r="F347" s="6">
        <v>9.5335270958299911E-2</v>
      </c>
      <c r="G347" s="3" t="s">
        <v>1</v>
      </c>
      <c r="H347" t="e">
        <v>#N/A</v>
      </c>
      <c r="I347" t="e">
        <v>#N/A</v>
      </c>
      <c r="J347" t="e">
        <v>#N/A</v>
      </c>
      <c r="K347">
        <v>0.311926606</v>
      </c>
      <c r="L347">
        <v>0.33734939800000002</v>
      </c>
      <c r="M347">
        <v>4.6104928000000003E-2</v>
      </c>
      <c r="N347" t="e">
        <v>#N/A</v>
      </c>
      <c r="O347" t="e">
        <v>#N/A</v>
      </c>
    </row>
    <row r="348" spans="1:15" x14ac:dyDescent="0.25">
      <c r="A348" t="s">
        <v>13</v>
      </c>
      <c r="B348" t="s">
        <v>23</v>
      </c>
      <c r="C348" s="3" t="str">
        <f>IF($B348="GW1",VLOOKUP($A348,Matches!$A:$AC,2,FALSE),IF($B348="GW2",VLOOKUP($A348,Matches!$A:$AC,9,FALSE),IF($B348="GW3",VLOOKUP($A348,Matches!$A:$AC,16,FALSE))))</f>
        <v>Everton</v>
      </c>
      <c r="D348" s="6">
        <v>0.4045307443365696</v>
      </c>
      <c r="E348" s="6">
        <v>0.30919547337826969</v>
      </c>
      <c r="F348" s="6">
        <v>9.5335270958299911E-2</v>
      </c>
      <c r="G348" s="3" t="s">
        <v>1</v>
      </c>
      <c r="H348">
        <v>8.6580087E-2</v>
      </c>
      <c r="I348">
        <v>3.2840722000000003E-2</v>
      </c>
      <c r="J348">
        <v>0.253968254</v>
      </c>
      <c r="K348">
        <v>0.311926606</v>
      </c>
      <c r="L348">
        <v>0.33734939800000002</v>
      </c>
      <c r="M348">
        <v>4.6104928000000003E-2</v>
      </c>
      <c r="N348" t="e">
        <v>#N/A</v>
      </c>
      <c r="O348" t="e">
        <v>#N/A</v>
      </c>
    </row>
    <row r="349" spans="1:15" x14ac:dyDescent="0.25">
      <c r="A349" t="s">
        <v>13</v>
      </c>
      <c r="B349" t="s">
        <v>23</v>
      </c>
      <c r="C349" s="3" t="str">
        <f>IF($B349="GW1",VLOOKUP($A349,Matches!$A:$AC,2,FALSE),IF($B349="GW2",VLOOKUP($A349,Matches!$A:$AC,9,FALSE),IF($B349="GW3",VLOOKUP($A349,Matches!$A:$AC,16,FALSE))))</f>
        <v>Everton</v>
      </c>
      <c r="D349" s="6">
        <v>0.4045307443365696</v>
      </c>
      <c r="E349" s="6">
        <v>0.30919547337826969</v>
      </c>
      <c r="F349" s="6">
        <v>9.5335270958299911E-2</v>
      </c>
      <c r="G349" s="3" t="s">
        <v>1</v>
      </c>
      <c r="H349">
        <v>6.3492063000000001E-2</v>
      </c>
      <c r="I349">
        <v>6.3492063000000001E-2</v>
      </c>
      <c r="J349">
        <v>0.253968254</v>
      </c>
      <c r="K349">
        <v>0.311926606</v>
      </c>
      <c r="L349">
        <v>0.33734939800000002</v>
      </c>
      <c r="M349">
        <v>4.6104928000000003E-2</v>
      </c>
      <c r="N349" t="e">
        <v>#N/A</v>
      </c>
      <c r="O349" t="e">
        <v>#N/A</v>
      </c>
    </row>
    <row r="350" spans="1:15" x14ac:dyDescent="0.25">
      <c r="A350" t="s">
        <v>13</v>
      </c>
      <c r="B350" t="s">
        <v>23</v>
      </c>
      <c r="C350" s="3" t="str">
        <f>IF($B350="GW1",VLOOKUP($A350,Matches!$A:$AC,2,FALSE),IF($B350="GW2",VLOOKUP($A350,Matches!$A:$AC,9,FALSE),IF($B350="GW3",VLOOKUP($A350,Matches!$A:$AC,16,FALSE))))</f>
        <v>Everton</v>
      </c>
      <c r="D350" s="6">
        <v>0.4045307443365696</v>
      </c>
      <c r="E350" s="6">
        <v>0.30919547337826969</v>
      </c>
      <c r="F350" s="6">
        <v>9.5335270958299911E-2</v>
      </c>
      <c r="G350" s="3" t="s">
        <v>1</v>
      </c>
      <c r="H350">
        <v>7.3260072999999995E-2</v>
      </c>
      <c r="I350">
        <v>6.3492063000000001E-2</v>
      </c>
      <c r="J350">
        <v>0.15873015900000001</v>
      </c>
      <c r="K350">
        <v>0.311926606</v>
      </c>
      <c r="L350">
        <v>0.33734939800000002</v>
      </c>
      <c r="M350">
        <v>4.6104928000000003E-2</v>
      </c>
      <c r="N350" t="e">
        <v>#N/A</v>
      </c>
      <c r="O350" t="e">
        <v>#N/A</v>
      </c>
    </row>
    <row r="351" spans="1:15" x14ac:dyDescent="0.25">
      <c r="A351" t="s">
        <v>13</v>
      </c>
      <c r="B351" t="s">
        <v>23</v>
      </c>
      <c r="C351" s="3" t="str">
        <f>IF($B351="GW1",VLOOKUP($A351,Matches!$A:$AC,2,FALSE),IF($B351="GW2",VLOOKUP($A351,Matches!$A:$AC,9,FALSE),IF($B351="GW3",VLOOKUP($A351,Matches!$A:$AC,16,FALSE))))</f>
        <v>Everton</v>
      </c>
      <c r="D351" s="6">
        <v>0.4045307443365696</v>
      </c>
      <c r="E351" s="6">
        <v>0.30919547337826969</v>
      </c>
      <c r="F351" s="6">
        <v>9.5335270958299911E-2</v>
      </c>
      <c r="G351" s="3" t="s">
        <v>1</v>
      </c>
      <c r="H351">
        <v>6.3492063000000001E-2</v>
      </c>
      <c r="I351">
        <v>3.2840722000000003E-2</v>
      </c>
      <c r="J351">
        <v>0.20050125299999999</v>
      </c>
      <c r="K351">
        <v>0.311926606</v>
      </c>
      <c r="L351">
        <v>0.33734939800000002</v>
      </c>
      <c r="M351">
        <v>4.6104928000000003E-2</v>
      </c>
      <c r="N351" t="e">
        <v>#N/A</v>
      </c>
      <c r="O351" t="e">
        <v>#N/A</v>
      </c>
    </row>
    <row r="352" spans="1:15" x14ac:dyDescent="0.25">
      <c r="A352" t="s">
        <v>13</v>
      </c>
      <c r="B352" t="s">
        <v>23</v>
      </c>
      <c r="C352" s="3" t="str">
        <f>IF($B352="GW1",VLOOKUP($A352,Matches!$A:$AC,2,FALSE),IF($B352="GW2",VLOOKUP($A352,Matches!$A:$AC,9,FALSE),IF($B352="GW3",VLOOKUP($A352,Matches!$A:$AC,16,FALSE))))</f>
        <v>Everton</v>
      </c>
      <c r="D352" s="6">
        <v>0.4045307443365696</v>
      </c>
      <c r="E352" s="6">
        <v>0.30919547337826969</v>
      </c>
      <c r="F352" s="6">
        <v>9.5335270958299911E-2</v>
      </c>
      <c r="G352" s="3" t="s">
        <v>1</v>
      </c>
      <c r="H352">
        <v>0.105820106</v>
      </c>
      <c r="I352">
        <v>7.3260072999999995E-2</v>
      </c>
      <c r="J352">
        <v>0.21994941200000001</v>
      </c>
      <c r="K352">
        <v>0.311926606</v>
      </c>
      <c r="L352">
        <v>0.33734939800000002</v>
      </c>
      <c r="M352">
        <v>4.6104928000000003E-2</v>
      </c>
      <c r="N352" t="e">
        <v>#N/A</v>
      </c>
      <c r="O352" t="e">
        <v>#N/A</v>
      </c>
    </row>
    <row r="353" spans="1:15" x14ac:dyDescent="0.25">
      <c r="A353" t="s">
        <v>13</v>
      </c>
      <c r="B353" t="s">
        <v>23</v>
      </c>
      <c r="C353" s="3" t="str">
        <f>IF($B353="GW1",VLOOKUP($A353,Matches!$A:$AC,2,FALSE),IF($B353="GW2",VLOOKUP($A353,Matches!$A:$AC,9,FALSE),IF($B353="GW3",VLOOKUP($A353,Matches!$A:$AC,16,FALSE))))</f>
        <v>Everton</v>
      </c>
      <c r="D353" s="6">
        <v>0.4045307443365696</v>
      </c>
      <c r="E353" s="6">
        <v>0.30919547337826969</v>
      </c>
      <c r="F353" s="6">
        <v>9.5335270958299911E-2</v>
      </c>
      <c r="G353" s="3" t="s">
        <v>1</v>
      </c>
      <c r="H353">
        <v>0.19047618999999999</v>
      </c>
      <c r="I353">
        <v>9.5238094999999995E-2</v>
      </c>
      <c r="J353">
        <v>0.15873015900000001</v>
      </c>
      <c r="K353">
        <v>0.311926606</v>
      </c>
      <c r="L353">
        <v>0.33734939800000002</v>
      </c>
      <c r="M353">
        <v>4.6104928000000003E-2</v>
      </c>
      <c r="N353" t="e">
        <v>#N/A</v>
      </c>
      <c r="O353" t="e">
        <v>#N/A</v>
      </c>
    </row>
    <row r="354" spans="1:15" x14ac:dyDescent="0.25">
      <c r="A354" t="s">
        <v>13</v>
      </c>
      <c r="B354" t="s">
        <v>23</v>
      </c>
      <c r="C354" s="3" t="str">
        <f>IF($B354="GW1",VLOOKUP($A354,Matches!$A:$AC,2,FALSE),IF($B354="GW2",VLOOKUP($A354,Matches!$A:$AC,9,FALSE),IF($B354="GW3",VLOOKUP($A354,Matches!$A:$AC,16,FALSE))))</f>
        <v>Everton</v>
      </c>
      <c r="D354" s="6">
        <v>0.4045307443365696</v>
      </c>
      <c r="E354" s="6">
        <v>0.30919547337826969</v>
      </c>
      <c r="F354" s="6">
        <v>9.5335270958299911E-2</v>
      </c>
      <c r="G354" s="3" t="s">
        <v>1</v>
      </c>
      <c r="H354">
        <v>0.23809523799999999</v>
      </c>
      <c r="I354">
        <v>0.15873015900000001</v>
      </c>
      <c r="J354">
        <v>0.20050125299999999</v>
      </c>
      <c r="K354">
        <v>0.311926606</v>
      </c>
      <c r="L354">
        <v>0.33734939800000002</v>
      </c>
      <c r="M354">
        <v>4.6104928000000003E-2</v>
      </c>
      <c r="N354" t="e">
        <v>#N/A</v>
      </c>
      <c r="O354" t="e">
        <v>#N/A</v>
      </c>
    </row>
    <row r="355" spans="1:15" x14ac:dyDescent="0.25">
      <c r="A355" t="s">
        <v>13</v>
      </c>
      <c r="B355" t="s">
        <v>23</v>
      </c>
      <c r="C355" s="3" t="str">
        <f>IF($B355="GW1",VLOOKUP($A355,Matches!$A:$AC,2,FALSE),IF($B355="GW2",VLOOKUP($A355,Matches!$A:$AC,9,FALSE),IF($B355="GW3",VLOOKUP($A355,Matches!$A:$AC,16,FALSE))))</f>
        <v>Everton</v>
      </c>
      <c r="D355" s="6">
        <v>0.4045307443365696</v>
      </c>
      <c r="E355" s="6">
        <v>0.30919547337826969</v>
      </c>
      <c r="F355" s="6">
        <v>9.5335270958299911E-2</v>
      </c>
      <c r="G355" s="3" t="s">
        <v>1</v>
      </c>
      <c r="H355">
        <v>0.19047618999999999</v>
      </c>
      <c r="I355">
        <v>0.13605442200000001</v>
      </c>
      <c r="J355">
        <v>0.105820106</v>
      </c>
      <c r="K355">
        <v>0.311926606</v>
      </c>
      <c r="L355">
        <v>0.33734939800000002</v>
      </c>
      <c r="M355">
        <v>4.6104928000000003E-2</v>
      </c>
      <c r="N355" t="e">
        <v>#N/A</v>
      </c>
      <c r="O355" t="e">
        <v>#N/A</v>
      </c>
    </row>
    <row r="356" spans="1:15" x14ac:dyDescent="0.25">
      <c r="A356" t="s">
        <v>13</v>
      </c>
      <c r="B356" t="s">
        <v>23</v>
      </c>
      <c r="C356" s="3" t="str">
        <f>IF($B356="GW1",VLOOKUP($A356,Matches!$A:$AC,2,FALSE),IF($B356="GW2",VLOOKUP($A356,Matches!$A:$AC,9,FALSE),IF($B356="GW3",VLOOKUP($A356,Matches!$A:$AC,16,FALSE))))</f>
        <v>Everton</v>
      </c>
      <c r="D356" s="6">
        <v>0.4045307443365696</v>
      </c>
      <c r="E356" s="6">
        <v>0.30919547337826969</v>
      </c>
      <c r="F356" s="6">
        <v>9.5335270958299911E-2</v>
      </c>
      <c r="G356" s="3" t="s">
        <v>1</v>
      </c>
      <c r="H356">
        <v>0.23809523799999999</v>
      </c>
      <c r="I356">
        <v>0.173160173</v>
      </c>
      <c r="J356">
        <v>0.173160173</v>
      </c>
      <c r="K356">
        <v>0.311926606</v>
      </c>
      <c r="L356">
        <v>0.33734939800000002</v>
      </c>
      <c r="M356">
        <v>4.6104928000000003E-2</v>
      </c>
      <c r="N356" t="e">
        <v>#N/A</v>
      </c>
      <c r="O356" t="e">
        <v>#N/A</v>
      </c>
    </row>
    <row r="357" spans="1:15" x14ac:dyDescent="0.25">
      <c r="A357" t="s">
        <v>13</v>
      </c>
      <c r="B357" t="s">
        <v>23</v>
      </c>
      <c r="C357" s="3" t="str">
        <f>IF($B357="GW1",VLOOKUP($A357,Matches!$A:$AC,2,FALSE),IF($B357="GW2",VLOOKUP($A357,Matches!$A:$AC,9,FALSE),IF($B357="GW3",VLOOKUP($A357,Matches!$A:$AC,16,FALSE))))</f>
        <v>Everton</v>
      </c>
      <c r="D357" s="6">
        <v>0.4045307443365696</v>
      </c>
      <c r="E357" s="6">
        <v>0.30919547337826969</v>
      </c>
      <c r="F357" s="6">
        <v>9.5335270958299911E-2</v>
      </c>
      <c r="G357" s="3" t="s">
        <v>1</v>
      </c>
      <c r="H357">
        <v>7.3260072999999995E-2</v>
      </c>
      <c r="I357">
        <v>5.0125312999999998E-2</v>
      </c>
      <c r="J357">
        <v>0.253968254</v>
      </c>
      <c r="K357">
        <v>0.311926606</v>
      </c>
      <c r="L357">
        <v>0.33734939800000002</v>
      </c>
      <c r="M357">
        <v>4.6104928000000003E-2</v>
      </c>
      <c r="N357" t="e">
        <v>#N/A</v>
      </c>
      <c r="O357" t="e">
        <v>#N/A</v>
      </c>
    </row>
    <row r="358" spans="1:15" x14ac:dyDescent="0.25">
      <c r="A358" t="s">
        <v>13</v>
      </c>
      <c r="B358" t="s">
        <v>23</v>
      </c>
      <c r="C358" s="3" t="str">
        <f>IF($B358="GW1",VLOOKUP($A358,Matches!$A:$AC,2,FALSE),IF($B358="GW2",VLOOKUP($A358,Matches!$A:$AC,9,FALSE),IF($B358="GW3",VLOOKUP($A358,Matches!$A:$AC,16,FALSE))))</f>
        <v>Everton</v>
      </c>
      <c r="D358" s="6">
        <v>0.4045307443365696</v>
      </c>
      <c r="E358" s="6">
        <v>0.30919547337826969</v>
      </c>
      <c r="F358" s="6">
        <v>9.5335270958299911E-2</v>
      </c>
      <c r="G358" s="3" t="s">
        <v>1</v>
      </c>
      <c r="H358" t="e">
        <v>#N/A</v>
      </c>
      <c r="I358" t="e">
        <v>#N/A</v>
      </c>
      <c r="J358" t="e">
        <v>#N/A</v>
      </c>
      <c r="K358">
        <v>0.311926606</v>
      </c>
      <c r="L358">
        <v>0.33734939800000002</v>
      </c>
      <c r="M358">
        <v>4.6104928000000003E-2</v>
      </c>
      <c r="N358" t="e">
        <v>#N/A</v>
      </c>
      <c r="O358" t="e">
        <v>#N/A</v>
      </c>
    </row>
    <row r="359" spans="1:15" x14ac:dyDescent="0.25">
      <c r="A359" t="s">
        <v>13</v>
      </c>
      <c r="B359" t="s">
        <v>23</v>
      </c>
      <c r="C359" s="3" t="str">
        <f>IF($B359="GW1",VLOOKUP($A359,Matches!$A:$AC,2,FALSE),IF($B359="GW2",VLOOKUP($A359,Matches!$A:$AC,9,FALSE),IF($B359="GW3",VLOOKUP($A359,Matches!$A:$AC,16,FALSE))))</f>
        <v>Everton</v>
      </c>
      <c r="D359" s="6">
        <v>0.4045307443365696</v>
      </c>
      <c r="E359" s="6">
        <v>0.30919547337826969</v>
      </c>
      <c r="F359" s="6">
        <v>9.5335270958299911E-2</v>
      </c>
      <c r="G359" s="3" t="s">
        <v>1</v>
      </c>
      <c r="H359">
        <v>8.6580087E-2</v>
      </c>
      <c r="I359">
        <v>7.3260072999999995E-2</v>
      </c>
      <c r="J359">
        <v>0.29304029300000001</v>
      </c>
      <c r="K359">
        <v>0.311926606</v>
      </c>
      <c r="L359">
        <v>0.33734939800000002</v>
      </c>
      <c r="M359">
        <v>4.6104928000000003E-2</v>
      </c>
      <c r="N359" t="e">
        <v>#N/A</v>
      </c>
      <c r="O359" t="e">
        <v>#N/A</v>
      </c>
    </row>
    <row r="360" spans="1:15" x14ac:dyDescent="0.25">
      <c r="A360" t="s">
        <v>13</v>
      </c>
      <c r="B360" t="s">
        <v>23</v>
      </c>
      <c r="C360" s="3" t="str">
        <f>IF($B360="GW1",VLOOKUP($A360,Matches!$A:$AC,2,FALSE),IF($B360="GW2",VLOOKUP($A360,Matches!$A:$AC,9,FALSE),IF($B360="GW3",VLOOKUP($A360,Matches!$A:$AC,16,FALSE))))</f>
        <v>Everton</v>
      </c>
      <c r="D360" s="6">
        <v>0.4045307443365696</v>
      </c>
      <c r="E360" s="6">
        <v>0.30919547337826969</v>
      </c>
      <c r="F360" s="6">
        <v>9.5335270958299911E-2</v>
      </c>
      <c r="G360" s="3" t="s">
        <v>1</v>
      </c>
      <c r="H360">
        <v>0.23809523799999999</v>
      </c>
      <c r="I360">
        <v>0.11904761899999999</v>
      </c>
      <c r="J360">
        <v>0.27210884400000002</v>
      </c>
      <c r="K360">
        <v>0.311926606</v>
      </c>
      <c r="L360">
        <v>0.33734939800000002</v>
      </c>
      <c r="M360">
        <v>4.6104928000000003E-2</v>
      </c>
      <c r="N360" t="e">
        <v>#N/A</v>
      </c>
      <c r="O360" t="e">
        <v>#N/A</v>
      </c>
    </row>
    <row r="361" spans="1:15" x14ac:dyDescent="0.25">
      <c r="A361" t="s">
        <v>13</v>
      </c>
      <c r="B361" t="s">
        <v>23</v>
      </c>
      <c r="C361" s="3" t="str">
        <f>IF($B361="GW1",VLOOKUP($A361,Matches!$A:$AC,2,FALSE),IF($B361="GW2",VLOOKUP($A361,Matches!$A:$AC,9,FALSE),IF($B361="GW3",VLOOKUP($A361,Matches!$A:$AC,16,FALSE))))</f>
        <v>Everton</v>
      </c>
      <c r="D361" s="6">
        <v>0.4045307443365696</v>
      </c>
      <c r="E361" s="6">
        <v>0.30919547337826969</v>
      </c>
      <c r="F361" s="6">
        <v>9.5335270958299911E-2</v>
      </c>
      <c r="G361" s="3" t="s">
        <v>1</v>
      </c>
      <c r="H361">
        <v>0.126984127</v>
      </c>
      <c r="I361">
        <v>8.6580087E-2</v>
      </c>
      <c r="J361">
        <v>0.173160173</v>
      </c>
      <c r="K361">
        <v>0.311926606</v>
      </c>
      <c r="L361">
        <v>0.33734939800000002</v>
      </c>
      <c r="M361">
        <v>4.6104928000000003E-2</v>
      </c>
      <c r="N361" t="e">
        <v>#N/A</v>
      </c>
      <c r="O361" t="e">
        <v>#N/A</v>
      </c>
    </row>
    <row r="362" spans="1:15" x14ac:dyDescent="0.25">
      <c r="A362" t="s">
        <v>13</v>
      </c>
      <c r="B362" t="s">
        <v>23</v>
      </c>
      <c r="C362" s="3" t="str">
        <f>IF($B362="GW1",VLOOKUP($A362,Matches!$A:$AC,2,FALSE),IF($B362="GW2",VLOOKUP($A362,Matches!$A:$AC,9,FALSE),IF($B362="GW3",VLOOKUP($A362,Matches!$A:$AC,16,FALSE))))</f>
        <v>Everton</v>
      </c>
      <c r="D362" s="6">
        <v>0.4045307443365696</v>
      </c>
      <c r="E362" s="6">
        <v>0.30919547337826969</v>
      </c>
      <c r="F362" s="6">
        <v>9.5335270958299911E-2</v>
      </c>
      <c r="G362" s="3" t="s">
        <v>1</v>
      </c>
      <c r="H362" t="e">
        <v>#N/A</v>
      </c>
      <c r="I362" t="e">
        <v>#N/A</v>
      </c>
      <c r="J362" t="e">
        <v>#N/A</v>
      </c>
      <c r="K362">
        <v>0.311926606</v>
      </c>
      <c r="L362">
        <v>0.33734939800000002</v>
      </c>
      <c r="M362">
        <v>4.6104928000000003E-2</v>
      </c>
      <c r="N362" t="e">
        <v>#N/A</v>
      </c>
      <c r="O362" t="e">
        <v>#N/A</v>
      </c>
    </row>
    <row r="363" spans="1:15" x14ac:dyDescent="0.25">
      <c r="A363" t="s">
        <v>13</v>
      </c>
      <c r="B363" t="s">
        <v>23</v>
      </c>
      <c r="C363" s="3" t="str">
        <f>IF($B363="GW1",VLOOKUP($A363,Matches!$A:$AC,2,FALSE),IF($B363="GW2",VLOOKUP($A363,Matches!$A:$AC,9,FALSE),IF($B363="GW3",VLOOKUP($A363,Matches!$A:$AC,16,FALSE))))</f>
        <v>Everton</v>
      </c>
      <c r="D363" s="6">
        <v>0.4045307443365696</v>
      </c>
      <c r="E363" s="6">
        <v>0.30919547337826969</v>
      </c>
      <c r="F363" s="6">
        <v>9.5335270958299911E-2</v>
      </c>
      <c r="G363" s="3" t="s">
        <v>1</v>
      </c>
      <c r="H363" t="e">
        <v>#N/A</v>
      </c>
      <c r="I363" t="e">
        <v>#N/A</v>
      </c>
      <c r="J363" t="e">
        <v>#N/A</v>
      </c>
      <c r="K363">
        <v>0.311926606</v>
      </c>
      <c r="L363">
        <v>0.33734939800000002</v>
      </c>
      <c r="M363">
        <v>4.6104928000000003E-2</v>
      </c>
      <c r="N363" t="e">
        <v>#N/A</v>
      </c>
      <c r="O363" t="e">
        <v>#N/A</v>
      </c>
    </row>
    <row r="364" spans="1:15" x14ac:dyDescent="0.25">
      <c r="A364" t="s">
        <v>13</v>
      </c>
      <c r="B364" t="s">
        <v>23</v>
      </c>
      <c r="C364" s="3" t="str">
        <f>IF($B364="GW1",VLOOKUP($A364,Matches!$A:$AC,2,FALSE),IF($B364="GW2",VLOOKUP($A364,Matches!$A:$AC,9,FALSE),IF($B364="GW3",VLOOKUP($A364,Matches!$A:$AC,16,FALSE))))</f>
        <v>Everton</v>
      </c>
      <c r="D364" s="6">
        <v>0.4045307443365696</v>
      </c>
      <c r="E364" s="6">
        <v>0.30919547337826969</v>
      </c>
      <c r="F364" s="6">
        <v>9.5335270958299911E-2</v>
      </c>
      <c r="G364" s="3" t="s">
        <v>1</v>
      </c>
      <c r="H364" t="e">
        <v>#N/A</v>
      </c>
      <c r="I364" t="e">
        <v>#N/A</v>
      </c>
      <c r="J364" t="e">
        <v>#N/A</v>
      </c>
      <c r="K364">
        <v>0.311926606</v>
      </c>
      <c r="L364">
        <v>0.33734939800000002</v>
      </c>
      <c r="M364">
        <v>4.6104928000000003E-2</v>
      </c>
      <c r="N364" t="e">
        <v>#N/A</v>
      </c>
      <c r="O364" t="e">
        <v>#N/A</v>
      </c>
    </row>
    <row r="365" spans="1:15" x14ac:dyDescent="0.25">
      <c r="A365" t="s">
        <v>13</v>
      </c>
      <c r="B365" t="s">
        <v>23</v>
      </c>
      <c r="C365" s="3" t="str">
        <f>IF($B365="GW1",VLOOKUP($A365,Matches!$A:$AC,2,FALSE),IF($B365="GW2",VLOOKUP($A365,Matches!$A:$AC,9,FALSE),IF($B365="GW3",VLOOKUP($A365,Matches!$A:$AC,16,FALSE))))</f>
        <v>Everton</v>
      </c>
      <c r="D365" s="6">
        <v>0.4045307443365696</v>
      </c>
      <c r="E365" s="6">
        <v>0.30919547337826969</v>
      </c>
      <c r="F365" s="6">
        <v>9.5335270958299911E-2</v>
      </c>
      <c r="G365" s="3" t="s">
        <v>1</v>
      </c>
      <c r="H365">
        <v>0.31746031699999999</v>
      </c>
      <c r="I365">
        <v>8.6580087E-2</v>
      </c>
      <c r="J365">
        <v>0.13605442200000001</v>
      </c>
      <c r="K365">
        <v>0.311926606</v>
      </c>
      <c r="L365">
        <v>0.33734939800000002</v>
      </c>
      <c r="M365">
        <v>4.6104928000000003E-2</v>
      </c>
      <c r="N365" t="e">
        <v>#N/A</v>
      </c>
      <c r="O365" t="e">
        <v>#N/A</v>
      </c>
    </row>
    <row r="366" spans="1:15" x14ac:dyDescent="0.25">
      <c r="A366" t="s">
        <v>13</v>
      </c>
      <c r="B366" t="s">
        <v>23</v>
      </c>
      <c r="C366" s="3" t="str">
        <f>IF($B366="GW1",VLOOKUP($A366,Matches!$A:$AC,2,FALSE),IF($B366="GW2",VLOOKUP($A366,Matches!$A:$AC,9,FALSE),IF($B366="GW3",VLOOKUP($A366,Matches!$A:$AC,16,FALSE))))</f>
        <v>Everton</v>
      </c>
      <c r="D366" s="6">
        <v>0.4045307443365696</v>
      </c>
      <c r="E366" s="6">
        <v>0.30919547337826969</v>
      </c>
      <c r="F366" s="6">
        <v>9.5335270958299911E-2</v>
      </c>
      <c r="G366" s="3" t="s">
        <v>1</v>
      </c>
      <c r="H366" t="e">
        <v>#N/A</v>
      </c>
      <c r="I366" t="e">
        <v>#N/A</v>
      </c>
      <c r="J366" t="e">
        <v>#N/A</v>
      </c>
      <c r="K366">
        <v>0.311926606</v>
      </c>
      <c r="L366">
        <v>0.33734939800000002</v>
      </c>
      <c r="M366">
        <v>4.6104928000000003E-2</v>
      </c>
      <c r="N366" t="e">
        <v>#N/A</v>
      </c>
      <c r="O366" t="e">
        <v>#N/A</v>
      </c>
    </row>
    <row r="367" spans="1:15" x14ac:dyDescent="0.25">
      <c r="A367" t="s">
        <v>13</v>
      </c>
      <c r="B367" t="s">
        <v>23</v>
      </c>
      <c r="C367" s="3" t="str">
        <f>IF($B367="GW1",VLOOKUP($A367,Matches!$A:$AC,2,FALSE),IF($B367="GW2",VLOOKUP($A367,Matches!$A:$AC,9,FALSE),IF($B367="GW3",VLOOKUP($A367,Matches!$A:$AC,16,FALSE))))</f>
        <v>Everton</v>
      </c>
      <c r="D367" s="6">
        <v>0.4045307443365696</v>
      </c>
      <c r="E367" s="6">
        <v>0.30919547337826969</v>
      </c>
      <c r="F367" s="6">
        <v>9.5335270958299911E-2</v>
      </c>
      <c r="G367" s="3" t="s">
        <v>1</v>
      </c>
      <c r="H367" t="e">
        <v>#N/A</v>
      </c>
      <c r="I367" t="e">
        <v>#N/A</v>
      </c>
      <c r="J367" t="e">
        <v>#N/A</v>
      </c>
      <c r="K367">
        <v>0.311926606</v>
      </c>
      <c r="L367">
        <v>0.33734939800000002</v>
      </c>
      <c r="M367">
        <v>4.6104928000000003E-2</v>
      </c>
      <c r="N367" t="e">
        <v>#N/A</v>
      </c>
      <c r="O367" t="e">
        <v>#N/A</v>
      </c>
    </row>
    <row r="368" spans="1:15" x14ac:dyDescent="0.25">
      <c r="A368" t="s">
        <v>13</v>
      </c>
      <c r="B368" t="s">
        <v>23</v>
      </c>
      <c r="C368" s="3" t="str">
        <f>IF($B368="GW1",VLOOKUP($A368,Matches!$A:$AC,2,FALSE),IF($B368="GW2",VLOOKUP($A368,Matches!$A:$AC,9,FALSE),IF($B368="GW3",VLOOKUP($A368,Matches!$A:$AC,16,FALSE))))</f>
        <v>Everton</v>
      </c>
      <c r="D368" s="6">
        <v>0.4045307443365696</v>
      </c>
      <c r="E368" s="6">
        <v>0.30919547337826969</v>
      </c>
      <c r="F368" s="6">
        <v>9.5335270958299911E-2</v>
      </c>
      <c r="G368" s="3" t="s">
        <v>1</v>
      </c>
      <c r="H368">
        <v>0.28011204499999998</v>
      </c>
      <c r="I368">
        <v>9.5238094999999995E-2</v>
      </c>
      <c r="J368">
        <v>0.173160173</v>
      </c>
      <c r="K368">
        <v>0.311926606</v>
      </c>
      <c r="L368">
        <v>0.33734939800000002</v>
      </c>
      <c r="M368">
        <v>4.6104928000000003E-2</v>
      </c>
      <c r="N368" t="e">
        <v>#N/A</v>
      </c>
      <c r="O368" t="e">
        <v>#N/A</v>
      </c>
    </row>
    <row r="369" spans="1:15" x14ac:dyDescent="0.25">
      <c r="A369" t="s">
        <v>13</v>
      </c>
      <c r="B369" t="s">
        <v>23</v>
      </c>
      <c r="C369" s="3" t="str">
        <f>IF($B369="GW1",VLOOKUP($A369,Matches!$A:$AC,2,FALSE),IF($B369="GW2",VLOOKUP($A369,Matches!$A:$AC,9,FALSE),IF($B369="GW3",VLOOKUP($A369,Matches!$A:$AC,16,FALSE))))</f>
        <v>Everton</v>
      </c>
      <c r="D369" s="6">
        <v>0.4045307443365696</v>
      </c>
      <c r="E369" s="6">
        <v>0.30919547337826969</v>
      </c>
      <c r="F369" s="6">
        <v>9.5335270958299911E-2</v>
      </c>
      <c r="G369" s="3" t="s">
        <v>1</v>
      </c>
      <c r="H369">
        <v>0.105820106</v>
      </c>
      <c r="I369">
        <v>7.3260072999999995E-2</v>
      </c>
      <c r="J369">
        <v>0.20050125299999999</v>
      </c>
      <c r="K369">
        <v>0.311926606</v>
      </c>
      <c r="L369">
        <v>0.33734939800000002</v>
      </c>
      <c r="M369">
        <v>4.6104928000000003E-2</v>
      </c>
      <c r="N369" t="e">
        <v>#N/A</v>
      </c>
      <c r="O369" t="e">
        <v>#N/A</v>
      </c>
    </row>
    <row r="370" spans="1:15" x14ac:dyDescent="0.25">
      <c r="A370" t="s">
        <v>13</v>
      </c>
      <c r="B370" t="s">
        <v>23</v>
      </c>
      <c r="C370" s="3" t="str">
        <f>IF($B370="GW1",VLOOKUP($A370,Matches!$A:$AC,2,FALSE),IF($B370="GW2",VLOOKUP($A370,Matches!$A:$AC,9,FALSE),IF($B370="GW3",VLOOKUP($A370,Matches!$A:$AC,16,FALSE))))</f>
        <v>Everton</v>
      </c>
      <c r="D370" s="6">
        <v>0.4045307443365696</v>
      </c>
      <c r="E370" s="6">
        <v>0.30919547337826969</v>
      </c>
      <c r="F370" s="6">
        <v>9.5335270958299911E-2</v>
      </c>
      <c r="G370" s="3" t="s">
        <v>1</v>
      </c>
      <c r="H370">
        <v>0.15873015900000001</v>
      </c>
      <c r="I370">
        <v>7.3260072999999995E-2</v>
      </c>
      <c r="J370">
        <v>0.19047618999999999</v>
      </c>
      <c r="K370">
        <v>0.311926606</v>
      </c>
      <c r="L370">
        <v>0.33734939800000002</v>
      </c>
      <c r="M370">
        <v>4.6104928000000003E-2</v>
      </c>
      <c r="N370" t="e">
        <v>#N/A</v>
      </c>
      <c r="O370" t="e">
        <v>#N/A</v>
      </c>
    </row>
    <row r="371" spans="1:15" x14ac:dyDescent="0.25">
      <c r="A371" t="s">
        <v>13</v>
      </c>
      <c r="B371" t="s">
        <v>23</v>
      </c>
      <c r="C371" s="3" t="str">
        <f>IF($B371="GW1",VLOOKUP($A371,Matches!$A:$AC,2,FALSE),IF($B371="GW2",VLOOKUP($A371,Matches!$A:$AC,9,FALSE),IF($B371="GW3",VLOOKUP($A371,Matches!$A:$AC,16,FALSE))))</f>
        <v>Everton</v>
      </c>
      <c r="D371" s="6">
        <v>0.4045307443365696</v>
      </c>
      <c r="E371" s="6">
        <v>0.30919547337826969</v>
      </c>
      <c r="F371" s="6">
        <v>9.5335270958299911E-2</v>
      </c>
      <c r="G371" s="3" t="s">
        <v>1</v>
      </c>
      <c r="H371" t="e">
        <v>#N/A</v>
      </c>
      <c r="I371" t="e">
        <v>#N/A</v>
      </c>
      <c r="J371">
        <v>0.126984127</v>
      </c>
      <c r="K371">
        <v>0.311926606</v>
      </c>
      <c r="L371">
        <v>0.33734939800000002</v>
      </c>
      <c r="M371">
        <v>4.6104928000000003E-2</v>
      </c>
      <c r="N371">
        <v>0.57372346500000004</v>
      </c>
      <c r="O371">
        <v>9.5238094999999995E-2</v>
      </c>
    </row>
    <row r="372" spans="1:15" x14ac:dyDescent="0.25">
      <c r="A372" t="s">
        <v>14</v>
      </c>
      <c r="B372" t="s">
        <v>23</v>
      </c>
      <c r="C372" s="3" t="str">
        <f>IF($B372="GW1",VLOOKUP($A372,Matches!$A:$AC,2,FALSE),IF($B372="GW2",VLOOKUP($A372,Matches!$A:$AC,9,FALSE),IF($B372="GW3",VLOOKUP($A372,Matches!$A:$AC,16,FALSE))))</f>
        <v>Bournemouth</v>
      </c>
      <c r="D372" s="6">
        <v>0.74682598954443602</v>
      </c>
      <c r="E372" s="6">
        <v>0.10823565065861392</v>
      </c>
      <c r="F372" s="6">
        <v>0.63859033888582206</v>
      </c>
      <c r="G372" s="3" t="s">
        <v>1</v>
      </c>
      <c r="H372" t="e">
        <v>#N/A</v>
      </c>
      <c r="I372" t="e">
        <v>#N/A</v>
      </c>
      <c r="J372">
        <v>0.13605442200000001</v>
      </c>
      <c r="K372">
        <v>0.39230769199999999</v>
      </c>
      <c r="L372">
        <v>0.26778242699999999</v>
      </c>
      <c r="M372">
        <v>3.3526628000000003E-2</v>
      </c>
      <c r="N372">
        <v>0.57372346500000004</v>
      </c>
      <c r="O372">
        <v>9.5238094999999995E-2</v>
      </c>
    </row>
    <row r="373" spans="1:15" x14ac:dyDescent="0.25">
      <c r="A373" t="s">
        <v>14</v>
      </c>
      <c r="B373" t="s">
        <v>23</v>
      </c>
      <c r="C373" s="3" t="str">
        <f>IF($B373="GW1",VLOOKUP($A373,Matches!$A:$AC,2,FALSE),IF($B373="GW2",VLOOKUP($A373,Matches!$A:$AC,9,FALSE),IF($B373="GW3",VLOOKUP($A373,Matches!$A:$AC,16,FALSE))))</f>
        <v>Bournemouth</v>
      </c>
      <c r="D373" s="6">
        <v>0.74682598954443602</v>
      </c>
      <c r="E373" s="6">
        <v>0.10823565065861392</v>
      </c>
      <c r="F373" s="6">
        <v>0.63859033888582206</v>
      </c>
      <c r="G373" s="3" t="s">
        <v>1</v>
      </c>
      <c r="H373" t="e">
        <v>#N/A</v>
      </c>
      <c r="I373" t="e">
        <v>#N/A</v>
      </c>
      <c r="J373">
        <v>0.112044818</v>
      </c>
      <c r="K373">
        <v>0.39230769199999999</v>
      </c>
      <c r="L373">
        <v>0.26778242699999999</v>
      </c>
      <c r="M373">
        <v>3.3526628000000003E-2</v>
      </c>
      <c r="N373" t="e">
        <v>#N/A</v>
      </c>
      <c r="O373" t="e">
        <v>#N/A</v>
      </c>
    </row>
    <row r="374" spans="1:15" x14ac:dyDescent="0.25">
      <c r="A374" t="s">
        <v>14</v>
      </c>
      <c r="B374" t="s">
        <v>23</v>
      </c>
      <c r="C374" s="3" t="str">
        <f>IF($B374="GW1",VLOOKUP($A374,Matches!$A:$AC,2,FALSE),IF($B374="GW2",VLOOKUP($A374,Matches!$A:$AC,9,FALSE),IF($B374="GW3",VLOOKUP($A374,Matches!$A:$AC,16,FALSE))))</f>
        <v>Bournemouth</v>
      </c>
      <c r="D374" s="6">
        <v>0.74682598954443602</v>
      </c>
      <c r="E374" s="6">
        <v>0.10823565065861392</v>
      </c>
      <c r="F374" s="6">
        <v>0.63859033888582206</v>
      </c>
      <c r="G374" s="3" t="s">
        <v>1</v>
      </c>
      <c r="H374" t="e">
        <v>#N/A</v>
      </c>
      <c r="I374" t="e">
        <v>#N/A</v>
      </c>
      <c r="J374" t="e">
        <v>#N/A</v>
      </c>
      <c r="K374">
        <v>0.39230769199999999</v>
      </c>
      <c r="L374">
        <v>0.26778242699999999</v>
      </c>
      <c r="M374">
        <v>3.3526628000000003E-2</v>
      </c>
      <c r="N374" t="e">
        <v>#N/A</v>
      </c>
      <c r="O374" t="e">
        <v>#N/A</v>
      </c>
    </row>
    <row r="375" spans="1:15" x14ac:dyDescent="0.25">
      <c r="A375" t="s">
        <v>14</v>
      </c>
      <c r="B375" t="s">
        <v>23</v>
      </c>
      <c r="C375" s="3" t="str">
        <f>IF($B375="GW1",VLOOKUP($A375,Matches!$A:$AC,2,FALSE),IF($B375="GW2",VLOOKUP($A375,Matches!$A:$AC,9,FALSE),IF($B375="GW3",VLOOKUP($A375,Matches!$A:$AC,16,FALSE))))</f>
        <v>Bournemouth</v>
      </c>
      <c r="D375" s="6">
        <v>0.74682598954443602</v>
      </c>
      <c r="E375" s="6">
        <v>0.10823565065861392</v>
      </c>
      <c r="F375" s="6">
        <v>0.63859033888582206</v>
      </c>
      <c r="G375" s="3" t="s">
        <v>1</v>
      </c>
      <c r="H375" t="e">
        <v>#N/A</v>
      </c>
      <c r="I375" t="e">
        <v>#N/A</v>
      </c>
      <c r="J375">
        <v>0.112044818</v>
      </c>
      <c r="K375">
        <v>0.39230769199999999</v>
      </c>
      <c r="L375">
        <v>0.26778242699999999</v>
      </c>
      <c r="M375">
        <v>3.3526628000000003E-2</v>
      </c>
      <c r="N375" t="e">
        <v>#N/A</v>
      </c>
      <c r="O375" t="e">
        <v>#N/A</v>
      </c>
    </row>
    <row r="376" spans="1:15" x14ac:dyDescent="0.25">
      <c r="A376" t="s">
        <v>14</v>
      </c>
      <c r="B376" t="s">
        <v>23</v>
      </c>
      <c r="C376" s="3" t="str">
        <f>IF($B376="GW1",VLOOKUP($A376,Matches!$A:$AC,2,FALSE),IF($B376="GW2",VLOOKUP($A376,Matches!$A:$AC,9,FALSE),IF($B376="GW3",VLOOKUP($A376,Matches!$A:$AC,16,FALSE))))</f>
        <v>Bournemouth</v>
      </c>
      <c r="D376" s="6">
        <v>0.74682598954443602</v>
      </c>
      <c r="E376" s="6">
        <v>0.10823565065861392</v>
      </c>
      <c r="F376" s="6">
        <v>0.63859033888582206</v>
      </c>
      <c r="G376" s="3" t="s">
        <v>1</v>
      </c>
      <c r="H376">
        <v>0.21164021199999999</v>
      </c>
      <c r="I376">
        <v>0.27210884400000002</v>
      </c>
      <c r="J376">
        <v>0.19047618999999999</v>
      </c>
      <c r="K376">
        <v>0.39230769199999999</v>
      </c>
      <c r="L376">
        <v>0.26778242699999999</v>
      </c>
      <c r="M376">
        <v>3.3526628000000003E-2</v>
      </c>
      <c r="N376" t="e">
        <v>#N/A</v>
      </c>
      <c r="O376" t="e">
        <v>#N/A</v>
      </c>
    </row>
    <row r="377" spans="1:15" x14ac:dyDescent="0.25">
      <c r="A377" t="s">
        <v>14</v>
      </c>
      <c r="B377" t="s">
        <v>23</v>
      </c>
      <c r="C377" s="3" t="str">
        <f>IF($B377="GW1",VLOOKUP($A377,Matches!$A:$AC,2,FALSE),IF($B377="GW2",VLOOKUP($A377,Matches!$A:$AC,9,FALSE),IF($B377="GW3",VLOOKUP($A377,Matches!$A:$AC,16,FALSE))))</f>
        <v>Bournemouth</v>
      </c>
      <c r="D377" s="6">
        <v>0.74682598954443602</v>
      </c>
      <c r="E377" s="6">
        <v>0.10823565065861392</v>
      </c>
      <c r="F377" s="6">
        <v>0.63859033888582206</v>
      </c>
      <c r="G377" s="3" t="s">
        <v>1</v>
      </c>
      <c r="H377">
        <v>9.5238094999999995E-2</v>
      </c>
      <c r="I377">
        <v>0.14652014699999999</v>
      </c>
      <c r="J377">
        <v>0.19047618999999999</v>
      </c>
      <c r="K377">
        <v>0.39230769199999999</v>
      </c>
      <c r="L377">
        <v>0.26778242699999999</v>
      </c>
      <c r="M377">
        <v>3.3526628000000003E-2</v>
      </c>
      <c r="N377" t="e">
        <v>#N/A</v>
      </c>
      <c r="O377" t="e">
        <v>#N/A</v>
      </c>
    </row>
    <row r="378" spans="1:15" x14ac:dyDescent="0.25">
      <c r="A378" t="s">
        <v>14</v>
      </c>
      <c r="B378" t="s">
        <v>23</v>
      </c>
      <c r="C378" s="3" t="str">
        <f>IF($B378="GW1",VLOOKUP($A378,Matches!$A:$AC,2,FALSE),IF($B378="GW2",VLOOKUP($A378,Matches!$A:$AC,9,FALSE),IF($B378="GW3",VLOOKUP($A378,Matches!$A:$AC,16,FALSE))))</f>
        <v>Bournemouth</v>
      </c>
      <c r="D378" s="6">
        <v>0.74682598954443602</v>
      </c>
      <c r="E378" s="6">
        <v>0.10823565065861392</v>
      </c>
      <c r="F378" s="6">
        <v>0.63859033888582206</v>
      </c>
      <c r="G378" s="3" t="s">
        <v>1</v>
      </c>
      <c r="H378">
        <v>9.5238094999999995E-2</v>
      </c>
      <c r="I378">
        <v>0.21164021199999999</v>
      </c>
      <c r="J378">
        <v>0.19047618999999999</v>
      </c>
      <c r="K378">
        <v>0.39230769199999999</v>
      </c>
      <c r="L378">
        <v>0.26778242699999999</v>
      </c>
      <c r="M378">
        <v>3.3526628000000003E-2</v>
      </c>
      <c r="N378" t="e">
        <v>#N/A</v>
      </c>
      <c r="O378" t="e">
        <v>#N/A</v>
      </c>
    </row>
    <row r="379" spans="1:15" x14ac:dyDescent="0.25">
      <c r="A379" t="s">
        <v>14</v>
      </c>
      <c r="B379" t="s">
        <v>23</v>
      </c>
      <c r="C379" s="3" t="str">
        <f>IF($B379="GW1",VLOOKUP($A379,Matches!$A:$AC,2,FALSE),IF($B379="GW2",VLOOKUP($A379,Matches!$A:$AC,9,FALSE),IF($B379="GW3",VLOOKUP($A379,Matches!$A:$AC,16,FALSE))))</f>
        <v>Bournemouth</v>
      </c>
      <c r="D379" s="6">
        <v>0.74682598954443602</v>
      </c>
      <c r="E379" s="6">
        <v>0.10823565065861392</v>
      </c>
      <c r="F379" s="6">
        <v>0.63859033888582206</v>
      </c>
      <c r="G379" s="3" t="s">
        <v>1</v>
      </c>
      <c r="H379">
        <v>0.13605442200000001</v>
      </c>
      <c r="I379">
        <v>5.0125312999999998E-2</v>
      </c>
      <c r="J379">
        <v>0.13605442200000001</v>
      </c>
      <c r="K379">
        <v>0.39230769199999999</v>
      </c>
      <c r="L379">
        <v>0.26778242699999999</v>
      </c>
      <c r="M379">
        <v>3.3526628000000003E-2</v>
      </c>
      <c r="N379" t="e">
        <v>#N/A</v>
      </c>
      <c r="O379" t="e">
        <v>#N/A</v>
      </c>
    </row>
    <row r="380" spans="1:15" x14ac:dyDescent="0.25">
      <c r="A380" t="s">
        <v>14</v>
      </c>
      <c r="B380" t="s">
        <v>23</v>
      </c>
      <c r="C380" s="3" t="str">
        <f>IF($B380="GW1",VLOOKUP($A380,Matches!$A:$AC,2,FALSE),IF($B380="GW2",VLOOKUP($A380,Matches!$A:$AC,9,FALSE),IF($B380="GW3",VLOOKUP($A380,Matches!$A:$AC,16,FALSE))))</f>
        <v>Bournemouth</v>
      </c>
      <c r="D380" s="6">
        <v>0.74682598954443602</v>
      </c>
      <c r="E380" s="6">
        <v>0.10823565065861392</v>
      </c>
      <c r="F380" s="6">
        <v>0.63859033888582206</v>
      </c>
      <c r="G380" s="3" t="s">
        <v>1</v>
      </c>
      <c r="H380">
        <v>9.5238094999999995E-2</v>
      </c>
      <c r="I380">
        <v>4.1407867000000001E-2</v>
      </c>
      <c r="J380">
        <v>0.23809523799999999</v>
      </c>
      <c r="K380">
        <v>0.39230769199999999</v>
      </c>
      <c r="L380">
        <v>0.26778242699999999</v>
      </c>
      <c r="M380">
        <v>3.3526628000000003E-2</v>
      </c>
      <c r="N380" t="e">
        <v>#N/A</v>
      </c>
      <c r="O380" t="e">
        <v>#N/A</v>
      </c>
    </row>
    <row r="381" spans="1:15" x14ac:dyDescent="0.25">
      <c r="A381" t="s">
        <v>14</v>
      </c>
      <c r="B381" t="s">
        <v>23</v>
      </c>
      <c r="C381" s="3" t="str">
        <f>IF($B381="GW1",VLOOKUP($A381,Matches!$A:$AC,2,FALSE),IF($B381="GW2",VLOOKUP($A381,Matches!$A:$AC,9,FALSE),IF($B381="GW3",VLOOKUP($A381,Matches!$A:$AC,16,FALSE))))</f>
        <v>Bournemouth</v>
      </c>
      <c r="D381" s="6">
        <v>0.74682598954443602</v>
      </c>
      <c r="E381" s="6">
        <v>0.10823565065861392</v>
      </c>
      <c r="F381" s="6">
        <v>0.63859033888582206</v>
      </c>
      <c r="G381" s="3" t="s">
        <v>1</v>
      </c>
      <c r="H381">
        <v>0.173160173</v>
      </c>
      <c r="I381">
        <v>0.19047618999999999</v>
      </c>
      <c r="J381">
        <v>0.297619048</v>
      </c>
      <c r="K381">
        <v>0.39230769199999999</v>
      </c>
      <c r="L381">
        <v>0.26778242699999999</v>
      </c>
      <c r="M381">
        <v>3.3526628000000003E-2</v>
      </c>
      <c r="N381" t="e">
        <v>#N/A</v>
      </c>
      <c r="O381" t="e">
        <v>#N/A</v>
      </c>
    </row>
    <row r="382" spans="1:15" x14ac:dyDescent="0.25">
      <c r="A382" t="s">
        <v>14</v>
      </c>
      <c r="B382" t="s">
        <v>23</v>
      </c>
      <c r="C382" s="3" t="str">
        <f>IF($B382="GW1",VLOOKUP($A382,Matches!$A:$AC,2,FALSE),IF($B382="GW2",VLOOKUP($A382,Matches!$A:$AC,9,FALSE),IF($B382="GW3",VLOOKUP($A382,Matches!$A:$AC,16,FALSE))))</f>
        <v>Bournemouth</v>
      </c>
      <c r="D382" s="6">
        <v>0.74682598954443602</v>
      </c>
      <c r="E382" s="6">
        <v>0.10823565065861392</v>
      </c>
      <c r="F382" s="6">
        <v>0.63859033888582206</v>
      </c>
      <c r="G382" s="3" t="s">
        <v>1</v>
      </c>
      <c r="H382" t="e">
        <v>#N/A</v>
      </c>
      <c r="I382" t="e">
        <v>#N/A</v>
      </c>
      <c r="J382" t="e">
        <v>#N/A</v>
      </c>
      <c r="K382">
        <v>0.39230769199999999</v>
      </c>
      <c r="L382">
        <v>0.26778242699999999</v>
      </c>
      <c r="M382">
        <v>3.3526628000000003E-2</v>
      </c>
      <c r="N382" t="e">
        <v>#N/A</v>
      </c>
      <c r="O382" t="e">
        <v>#N/A</v>
      </c>
    </row>
    <row r="383" spans="1:15" x14ac:dyDescent="0.25">
      <c r="A383" t="s">
        <v>14</v>
      </c>
      <c r="B383" t="s">
        <v>23</v>
      </c>
      <c r="C383" s="3" t="str">
        <f>IF($B383="GW1",VLOOKUP($A383,Matches!$A:$AC,2,FALSE),IF($B383="GW2",VLOOKUP($A383,Matches!$A:$AC,9,FALSE),IF($B383="GW3",VLOOKUP($A383,Matches!$A:$AC,16,FALSE))))</f>
        <v>Bournemouth</v>
      </c>
      <c r="D383" s="6">
        <v>0.74682598954443602</v>
      </c>
      <c r="E383" s="6">
        <v>0.10823565065861392</v>
      </c>
      <c r="F383" s="6">
        <v>0.63859033888582206</v>
      </c>
      <c r="G383" s="3" t="s">
        <v>1</v>
      </c>
      <c r="H383">
        <v>7.9365079000000005E-2</v>
      </c>
      <c r="I383">
        <v>0.21164021199999999</v>
      </c>
      <c r="J383">
        <v>0.21994941200000001</v>
      </c>
      <c r="K383">
        <v>0.39230769199999999</v>
      </c>
      <c r="L383">
        <v>0.26778242699999999</v>
      </c>
      <c r="M383">
        <v>3.3526628000000003E-2</v>
      </c>
      <c r="N383" t="e">
        <v>#N/A</v>
      </c>
      <c r="O383" t="e">
        <v>#N/A</v>
      </c>
    </row>
    <row r="384" spans="1:15" x14ac:dyDescent="0.25">
      <c r="A384" t="s">
        <v>14</v>
      </c>
      <c r="B384" t="s">
        <v>23</v>
      </c>
      <c r="C384" s="3" t="str">
        <f>IF($B384="GW1",VLOOKUP($A384,Matches!$A:$AC,2,FALSE),IF($B384="GW2",VLOOKUP($A384,Matches!$A:$AC,9,FALSE),IF($B384="GW3",VLOOKUP($A384,Matches!$A:$AC,16,FALSE))))</f>
        <v>Bournemouth</v>
      </c>
      <c r="D384" s="6">
        <v>0.74682598954443602</v>
      </c>
      <c r="E384" s="6">
        <v>0.10823565065861392</v>
      </c>
      <c r="F384" s="6">
        <v>0.63859033888582206</v>
      </c>
      <c r="G384" s="3" t="s">
        <v>1</v>
      </c>
      <c r="H384" t="e">
        <v>#N/A</v>
      </c>
      <c r="I384" t="e">
        <v>#N/A</v>
      </c>
      <c r="J384" t="e">
        <v>#N/A</v>
      </c>
      <c r="K384">
        <v>0.39230769199999999</v>
      </c>
      <c r="L384">
        <v>0.26778242699999999</v>
      </c>
      <c r="M384">
        <v>3.3526628000000003E-2</v>
      </c>
      <c r="N384" t="e">
        <v>#N/A</v>
      </c>
      <c r="O384" t="e">
        <v>#N/A</v>
      </c>
    </row>
    <row r="385" spans="1:15" x14ac:dyDescent="0.25">
      <c r="A385" t="s">
        <v>14</v>
      </c>
      <c r="B385" t="s">
        <v>23</v>
      </c>
      <c r="C385" s="3" t="str">
        <f>IF($B385="GW1",VLOOKUP($A385,Matches!$A:$AC,2,FALSE),IF($B385="GW2",VLOOKUP($A385,Matches!$A:$AC,9,FALSE),IF($B385="GW3",VLOOKUP($A385,Matches!$A:$AC,16,FALSE))))</f>
        <v>Bournemouth</v>
      </c>
      <c r="D385" s="6">
        <v>0.74682598954443602</v>
      </c>
      <c r="E385" s="6">
        <v>0.10823565065861392</v>
      </c>
      <c r="F385" s="6">
        <v>0.63859033888582206</v>
      </c>
      <c r="G385" s="3" t="s">
        <v>1</v>
      </c>
      <c r="H385" t="e">
        <v>#N/A</v>
      </c>
      <c r="I385" t="e">
        <v>#N/A</v>
      </c>
      <c r="J385" t="e">
        <v>#N/A</v>
      </c>
      <c r="K385">
        <v>0.39230769199999999</v>
      </c>
      <c r="L385">
        <v>0.26778242699999999</v>
      </c>
      <c r="M385">
        <v>3.3526628000000003E-2</v>
      </c>
      <c r="N385" t="e">
        <v>#N/A</v>
      </c>
      <c r="O385" t="e">
        <v>#N/A</v>
      </c>
    </row>
    <row r="386" spans="1:15" x14ac:dyDescent="0.25">
      <c r="A386" t="s">
        <v>14</v>
      </c>
      <c r="B386" t="s">
        <v>23</v>
      </c>
      <c r="C386" s="3" t="str">
        <f>IF($B386="GW1",VLOOKUP($A386,Matches!$A:$AC,2,FALSE),IF($B386="GW2",VLOOKUP($A386,Matches!$A:$AC,9,FALSE),IF($B386="GW3",VLOOKUP($A386,Matches!$A:$AC,16,FALSE))))</f>
        <v>Bournemouth</v>
      </c>
      <c r="D386" s="6">
        <v>0.74682598954443602</v>
      </c>
      <c r="E386" s="6">
        <v>0.10823565065861392</v>
      </c>
      <c r="F386" s="6">
        <v>0.63859033888582206</v>
      </c>
      <c r="G386" s="3" t="s">
        <v>1</v>
      </c>
      <c r="H386" t="e">
        <v>#N/A</v>
      </c>
      <c r="I386" t="e">
        <v>#N/A</v>
      </c>
      <c r="J386" t="e">
        <v>#N/A</v>
      </c>
      <c r="K386">
        <v>0.39230769199999999</v>
      </c>
      <c r="L386">
        <v>0.26778242699999999</v>
      </c>
      <c r="M386">
        <v>3.3526628000000003E-2</v>
      </c>
      <c r="N386" t="e">
        <v>#N/A</v>
      </c>
      <c r="O386" t="e">
        <v>#N/A</v>
      </c>
    </row>
    <row r="387" spans="1:15" x14ac:dyDescent="0.25">
      <c r="A387" t="s">
        <v>14</v>
      </c>
      <c r="B387" t="s">
        <v>23</v>
      </c>
      <c r="C387" s="3" t="str">
        <f>IF($B387="GW1",VLOOKUP($A387,Matches!$A:$AC,2,FALSE),IF($B387="GW2",VLOOKUP($A387,Matches!$A:$AC,9,FALSE),IF($B387="GW3",VLOOKUP($A387,Matches!$A:$AC,16,FALSE))))</f>
        <v>Bournemouth</v>
      </c>
      <c r="D387" s="6">
        <v>0.74682598954443602</v>
      </c>
      <c r="E387" s="6">
        <v>0.10823565065861392</v>
      </c>
      <c r="F387" s="6">
        <v>0.63859033888582206</v>
      </c>
      <c r="G387" s="3" t="s">
        <v>1</v>
      </c>
      <c r="H387">
        <v>0.591540964</v>
      </c>
      <c r="I387">
        <v>0.346320346</v>
      </c>
      <c r="J387">
        <v>8.6580087E-2</v>
      </c>
      <c r="K387">
        <v>0.39230769199999999</v>
      </c>
      <c r="L387">
        <v>0.26778242699999999</v>
      </c>
      <c r="M387">
        <v>3.3526628000000003E-2</v>
      </c>
      <c r="N387" t="e">
        <v>#N/A</v>
      </c>
      <c r="O387" t="e">
        <v>#N/A</v>
      </c>
    </row>
    <row r="388" spans="1:15" x14ac:dyDescent="0.25">
      <c r="A388" t="s">
        <v>14</v>
      </c>
      <c r="B388" t="s">
        <v>23</v>
      </c>
      <c r="C388" s="3" t="str">
        <f>IF($B388="GW1",VLOOKUP($A388,Matches!$A:$AC,2,FALSE),IF($B388="GW2",VLOOKUP($A388,Matches!$A:$AC,9,FALSE),IF($B388="GW3",VLOOKUP($A388,Matches!$A:$AC,16,FALSE))))</f>
        <v>Bournemouth</v>
      </c>
      <c r="D388" s="6">
        <v>0.74682598954443602</v>
      </c>
      <c r="E388" s="6">
        <v>0.10823565065861392</v>
      </c>
      <c r="F388" s="6">
        <v>0.63859033888582206</v>
      </c>
      <c r="G388" s="3" t="s">
        <v>1</v>
      </c>
      <c r="H388">
        <v>0.453514739</v>
      </c>
      <c r="I388">
        <v>0.29304029300000001</v>
      </c>
      <c r="J388">
        <v>0.21994941200000001</v>
      </c>
      <c r="K388">
        <v>0.39230769199999999</v>
      </c>
      <c r="L388">
        <v>0.26778242699999999</v>
      </c>
      <c r="M388">
        <v>3.3526628000000003E-2</v>
      </c>
      <c r="N388" t="e">
        <v>#N/A</v>
      </c>
      <c r="O388" t="e">
        <v>#N/A</v>
      </c>
    </row>
    <row r="389" spans="1:15" x14ac:dyDescent="0.25">
      <c r="A389" t="s">
        <v>14</v>
      </c>
      <c r="B389" t="s">
        <v>23</v>
      </c>
      <c r="C389" s="3" t="str">
        <f>IF($B389="GW1",VLOOKUP($A389,Matches!$A:$AC,2,FALSE),IF($B389="GW2",VLOOKUP($A389,Matches!$A:$AC,9,FALSE),IF($B389="GW3",VLOOKUP($A389,Matches!$A:$AC,16,FALSE))))</f>
        <v>Bournemouth</v>
      </c>
      <c r="D389" s="6">
        <v>0.74682598954443602</v>
      </c>
      <c r="E389" s="6">
        <v>0.10823565065861392</v>
      </c>
      <c r="F389" s="6">
        <v>0.63859033888582206</v>
      </c>
      <c r="G389" s="3" t="s">
        <v>1</v>
      </c>
      <c r="H389" t="e">
        <v>#N/A</v>
      </c>
      <c r="I389" t="e">
        <v>#N/A</v>
      </c>
      <c r="J389" t="e">
        <v>#N/A</v>
      </c>
      <c r="K389">
        <v>0.39230769199999999</v>
      </c>
      <c r="L389">
        <v>0.26778242699999999</v>
      </c>
      <c r="M389">
        <v>3.3526628000000003E-2</v>
      </c>
      <c r="N389" t="e">
        <v>#N/A</v>
      </c>
      <c r="O389" t="e">
        <v>#N/A</v>
      </c>
    </row>
    <row r="390" spans="1:15" x14ac:dyDescent="0.25">
      <c r="A390" t="s">
        <v>14</v>
      </c>
      <c r="B390" t="s">
        <v>23</v>
      </c>
      <c r="C390" s="3" t="str">
        <f>IF($B390="GW1",VLOOKUP($A390,Matches!$A:$AC,2,FALSE),IF($B390="GW2",VLOOKUP($A390,Matches!$A:$AC,9,FALSE),IF($B390="GW3",VLOOKUP($A390,Matches!$A:$AC,16,FALSE))))</f>
        <v>Bournemouth</v>
      </c>
      <c r="D390" s="6">
        <v>0.74682598954443602</v>
      </c>
      <c r="E390" s="6">
        <v>0.10823565065861392</v>
      </c>
      <c r="F390" s="6">
        <v>0.63859033888582206</v>
      </c>
      <c r="G390" s="3" t="s">
        <v>1</v>
      </c>
      <c r="H390">
        <v>0.42328042300000002</v>
      </c>
      <c r="I390">
        <v>0.21164021199999999</v>
      </c>
      <c r="J390">
        <v>0.105820106</v>
      </c>
      <c r="K390">
        <v>0.39230769199999999</v>
      </c>
      <c r="L390">
        <v>0.26778242699999999</v>
      </c>
      <c r="M390">
        <v>3.3526628000000003E-2</v>
      </c>
      <c r="N390" t="e">
        <v>#N/A</v>
      </c>
      <c r="O390" t="e">
        <v>#N/A</v>
      </c>
    </row>
    <row r="391" spans="1:15" x14ac:dyDescent="0.25">
      <c r="A391" t="s">
        <v>14</v>
      </c>
      <c r="B391" t="s">
        <v>23</v>
      </c>
      <c r="C391" s="3" t="str">
        <f>IF($B391="GW1",VLOOKUP($A391,Matches!$A:$AC,2,FALSE),IF($B391="GW2",VLOOKUP($A391,Matches!$A:$AC,9,FALSE),IF($B391="GW3",VLOOKUP($A391,Matches!$A:$AC,16,FALSE))))</f>
        <v>Bournemouth</v>
      </c>
      <c r="D391" s="6">
        <v>0.74682598954443602</v>
      </c>
      <c r="E391" s="6">
        <v>0.10823565065861392</v>
      </c>
      <c r="F391" s="6">
        <v>0.63859033888582206</v>
      </c>
      <c r="G391" s="3" t="s">
        <v>1</v>
      </c>
      <c r="H391">
        <v>0.38095238100000001</v>
      </c>
      <c r="I391">
        <v>0.23809523799999999</v>
      </c>
      <c r="J391">
        <v>0.112044818</v>
      </c>
      <c r="K391">
        <v>0.39230769199999999</v>
      </c>
      <c r="L391">
        <v>0.26778242699999999</v>
      </c>
      <c r="M391">
        <v>3.3526628000000003E-2</v>
      </c>
      <c r="N391" t="e">
        <v>#N/A</v>
      </c>
      <c r="O391" t="e">
        <v>#N/A</v>
      </c>
    </row>
    <row r="392" spans="1:15" x14ac:dyDescent="0.25">
      <c r="A392" t="s">
        <v>14</v>
      </c>
      <c r="B392" t="s">
        <v>23</v>
      </c>
      <c r="C392" s="3" t="str">
        <f>IF($B392="GW1",VLOOKUP($A392,Matches!$A:$AC,2,FALSE),IF($B392="GW2",VLOOKUP($A392,Matches!$A:$AC,9,FALSE),IF($B392="GW3",VLOOKUP($A392,Matches!$A:$AC,16,FALSE))))</f>
        <v>Bournemouth</v>
      </c>
      <c r="D392" s="6">
        <v>0.74682598954443602</v>
      </c>
      <c r="E392" s="6">
        <v>0.10823565065861392</v>
      </c>
      <c r="F392" s="6">
        <v>0.63859033888582206</v>
      </c>
      <c r="G392" s="3" t="s">
        <v>1</v>
      </c>
      <c r="H392">
        <v>0.21164021199999999</v>
      </c>
      <c r="I392">
        <v>0.173160173</v>
      </c>
      <c r="J392">
        <v>0.21994941200000001</v>
      </c>
      <c r="K392">
        <v>0.39230769199999999</v>
      </c>
      <c r="L392">
        <v>0.26778242699999999</v>
      </c>
      <c r="M392">
        <v>3.3526628000000003E-2</v>
      </c>
      <c r="N392" t="e">
        <v>#N/A</v>
      </c>
      <c r="O392" t="e">
        <v>#N/A</v>
      </c>
    </row>
    <row r="393" spans="1:15" x14ac:dyDescent="0.25">
      <c r="A393" t="s">
        <v>14</v>
      </c>
      <c r="B393" t="s">
        <v>23</v>
      </c>
      <c r="C393" s="3" t="str">
        <f>IF($B393="GW1",VLOOKUP($A393,Matches!$A:$AC,2,FALSE),IF($B393="GW2",VLOOKUP($A393,Matches!$A:$AC,9,FALSE),IF($B393="GW3",VLOOKUP($A393,Matches!$A:$AC,16,FALSE))))</f>
        <v>Bournemouth</v>
      </c>
      <c r="D393" s="6">
        <v>0.74682598954443602</v>
      </c>
      <c r="E393" s="6">
        <v>0.10823565065861392</v>
      </c>
      <c r="F393" s="6">
        <v>0.63859033888582206</v>
      </c>
      <c r="G393" s="3" t="s">
        <v>1</v>
      </c>
      <c r="H393">
        <v>0.253968254</v>
      </c>
      <c r="I393">
        <v>0.19047618999999999</v>
      </c>
      <c r="J393">
        <v>0.15873015900000001</v>
      </c>
      <c r="K393">
        <v>0.39230769199999999</v>
      </c>
      <c r="L393">
        <v>0.26778242699999999</v>
      </c>
      <c r="M393">
        <v>3.3526628000000003E-2</v>
      </c>
      <c r="N393" t="e">
        <v>#N/A</v>
      </c>
      <c r="O393" t="e">
        <v>#N/A</v>
      </c>
    </row>
    <row r="394" spans="1:15" x14ac:dyDescent="0.25">
      <c r="A394" t="s">
        <v>14</v>
      </c>
      <c r="B394" t="s">
        <v>23</v>
      </c>
      <c r="C394" s="3" t="str">
        <f>IF($B394="GW1",VLOOKUP($A394,Matches!$A:$AC,2,FALSE),IF($B394="GW2",VLOOKUP($A394,Matches!$A:$AC,9,FALSE),IF($B394="GW3",VLOOKUP($A394,Matches!$A:$AC,16,FALSE))))</f>
        <v>Bournemouth</v>
      </c>
      <c r="D394" s="6">
        <v>0.74682598954443602</v>
      </c>
      <c r="E394" s="6">
        <v>0.10823565065861392</v>
      </c>
      <c r="F394" s="6">
        <v>0.63859033888582206</v>
      </c>
      <c r="G394" s="3" t="s">
        <v>1</v>
      </c>
      <c r="H394">
        <v>0.297619048</v>
      </c>
      <c r="I394">
        <v>0.13605442200000001</v>
      </c>
      <c r="J394">
        <v>0.173160173</v>
      </c>
      <c r="K394">
        <v>0.39230769199999999</v>
      </c>
      <c r="L394">
        <v>0.26778242699999999</v>
      </c>
      <c r="M394">
        <v>3.3526628000000003E-2</v>
      </c>
      <c r="N394" t="e">
        <v>#N/A</v>
      </c>
      <c r="O394" t="e">
        <v>#N/A</v>
      </c>
    </row>
    <row r="395" spans="1:15" x14ac:dyDescent="0.25">
      <c r="A395" t="s">
        <v>14</v>
      </c>
      <c r="B395" t="s">
        <v>23</v>
      </c>
      <c r="C395" s="3" t="str">
        <f>IF($B395="GW1",VLOOKUP($A395,Matches!$A:$AC,2,FALSE),IF($B395="GW2",VLOOKUP($A395,Matches!$A:$AC,9,FALSE),IF($B395="GW3",VLOOKUP($A395,Matches!$A:$AC,16,FALSE))))</f>
        <v>Bournemouth</v>
      </c>
      <c r="D395" s="6">
        <v>0.74682598954443602</v>
      </c>
      <c r="E395" s="6">
        <v>0.10823565065861392</v>
      </c>
      <c r="F395" s="6">
        <v>0.63859033888582206</v>
      </c>
      <c r="G395" s="3" t="s">
        <v>1</v>
      </c>
      <c r="H395">
        <v>0.297619048</v>
      </c>
      <c r="I395">
        <v>0.19047618999999999</v>
      </c>
      <c r="J395">
        <v>0.112044818</v>
      </c>
      <c r="K395">
        <v>0.39230769199999999</v>
      </c>
      <c r="L395">
        <v>0.26778242699999999</v>
      </c>
      <c r="M395">
        <v>3.3526628000000003E-2</v>
      </c>
      <c r="N395" t="e">
        <v>#N/A</v>
      </c>
      <c r="O395" t="e">
        <v>#N/A</v>
      </c>
    </row>
    <row r="396" spans="1:15" x14ac:dyDescent="0.25">
      <c r="A396" t="s">
        <v>14</v>
      </c>
      <c r="B396" t="s">
        <v>23</v>
      </c>
      <c r="C396" s="3" t="str">
        <f>IF($B396="GW1",VLOOKUP($A396,Matches!$A:$AC,2,FALSE),IF($B396="GW2",VLOOKUP($A396,Matches!$A:$AC,9,FALSE),IF($B396="GW3",VLOOKUP($A396,Matches!$A:$AC,16,FALSE))))</f>
        <v>Bournemouth</v>
      </c>
      <c r="D396" s="6">
        <v>0.74682598954443602</v>
      </c>
      <c r="E396" s="6">
        <v>0.10823565065861392</v>
      </c>
      <c r="F396" s="6">
        <v>0.63859033888582206</v>
      </c>
      <c r="G396" s="3" t="s">
        <v>1</v>
      </c>
      <c r="H396" t="e">
        <v>#N/A</v>
      </c>
      <c r="I396" t="e">
        <v>#N/A</v>
      </c>
      <c r="J396" t="e">
        <v>#N/A</v>
      </c>
      <c r="K396">
        <v>0.39230769199999999</v>
      </c>
      <c r="L396">
        <v>0.26778242699999999</v>
      </c>
      <c r="M396">
        <v>3.3526628000000003E-2</v>
      </c>
      <c r="N396" t="e">
        <v>#N/A</v>
      </c>
      <c r="O396" t="e">
        <v>#N/A</v>
      </c>
    </row>
    <row r="397" spans="1:15" x14ac:dyDescent="0.25">
      <c r="A397" t="s">
        <v>14</v>
      </c>
      <c r="B397" t="s">
        <v>23</v>
      </c>
      <c r="C397" s="3" t="str">
        <f>IF($B397="GW1",VLOOKUP($A397,Matches!$A:$AC,2,FALSE),IF($B397="GW2",VLOOKUP($A397,Matches!$A:$AC,9,FALSE),IF($B397="GW3",VLOOKUP($A397,Matches!$A:$AC,16,FALSE))))</f>
        <v>Bournemouth</v>
      </c>
      <c r="D397" s="6">
        <v>0.74682598954443602</v>
      </c>
      <c r="E397" s="6">
        <v>0.10823565065861392</v>
      </c>
      <c r="F397" s="6">
        <v>0.63859033888582206</v>
      </c>
      <c r="G397" s="3" t="s">
        <v>1</v>
      </c>
      <c r="H397" t="e">
        <v>#N/A</v>
      </c>
      <c r="I397" t="e">
        <v>#N/A</v>
      </c>
      <c r="J397" t="e">
        <v>#N/A</v>
      </c>
      <c r="K397">
        <v>0.39230769199999999</v>
      </c>
      <c r="L397">
        <v>0.26778242699999999</v>
      </c>
      <c r="M397">
        <v>3.3526628000000003E-2</v>
      </c>
      <c r="N397" t="e">
        <v>#N/A</v>
      </c>
      <c r="O397" t="e">
        <v>#N/A</v>
      </c>
    </row>
    <row r="398" spans="1:15" x14ac:dyDescent="0.25">
      <c r="A398" t="s">
        <v>14</v>
      </c>
      <c r="B398" t="s">
        <v>23</v>
      </c>
      <c r="C398" s="3" t="str">
        <f>IF($B398="GW1",VLOOKUP($A398,Matches!$A:$AC,2,FALSE),IF($B398="GW2",VLOOKUP($A398,Matches!$A:$AC,9,FALSE),IF($B398="GW3",VLOOKUP($A398,Matches!$A:$AC,16,FALSE))))</f>
        <v>Bournemouth</v>
      </c>
      <c r="D398" s="6">
        <v>0.74682598954443602</v>
      </c>
      <c r="E398" s="6">
        <v>0.10823565065861392</v>
      </c>
      <c r="F398" s="6">
        <v>0.63859033888582206</v>
      </c>
      <c r="G398" s="3" t="s">
        <v>1</v>
      </c>
      <c r="H398" t="e">
        <v>#N/A</v>
      </c>
      <c r="I398" t="e">
        <v>#N/A</v>
      </c>
      <c r="J398" t="e">
        <v>#N/A</v>
      </c>
      <c r="K398">
        <v>0.39230769199999999</v>
      </c>
      <c r="L398">
        <v>0.26778242699999999</v>
      </c>
      <c r="M398">
        <v>3.3526628000000003E-2</v>
      </c>
      <c r="N398" t="e">
        <v>#N/A</v>
      </c>
      <c r="O398" t="e">
        <v>#N/A</v>
      </c>
    </row>
    <row r="399" spans="1:15" x14ac:dyDescent="0.25">
      <c r="A399" t="s">
        <v>14</v>
      </c>
      <c r="B399" t="s">
        <v>23</v>
      </c>
      <c r="C399" s="3" t="str">
        <f>IF($B399="GW1",VLOOKUP($A399,Matches!$A:$AC,2,FALSE),IF($B399="GW2",VLOOKUP($A399,Matches!$A:$AC,9,FALSE),IF($B399="GW3",VLOOKUP($A399,Matches!$A:$AC,16,FALSE))))</f>
        <v>Bournemouth</v>
      </c>
      <c r="D399" s="6">
        <v>0.74682598954443602</v>
      </c>
      <c r="E399" s="6">
        <v>0.10823565065861392</v>
      </c>
      <c r="F399" s="6">
        <v>0.63859033888582206</v>
      </c>
      <c r="G399" s="3" t="s">
        <v>1</v>
      </c>
      <c r="H399" t="e">
        <v>#N/A</v>
      </c>
      <c r="I399" t="e">
        <v>#N/A</v>
      </c>
      <c r="J399" t="e">
        <v>#N/A</v>
      </c>
      <c r="K399">
        <v>0.39230769199999999</v>
      </c>
      <c r="L399">
        <v>0.26778242699999999</v>
      </c>
      <c r="M399">
        <v>3.3526628000000003E-2</v>
      </c>
      <c r="N399" t="e">
        <v>#N/A</v>
      </c>
      <c r="O399" t="e">
        <v>#N/A</v>
      </c>
    </row>
    <row r="400" spans="1:15" x14ac:dyDescent="0.25">
      <c r="A400" t="s">
        <v>14</v>
      </c>
      <c r="B400" t="s">
        <v>23</v>
      </c>
      <c r="C400" s="3" t="str">
        <f>IF($B400="GW1",VLOOKUP($A400,Matches!$A:$AC,2,FALSE),IF($B400="GW2",VLOOKUP($A400,Matches!$A:$AC,9,FALSE),IF($B400="GW3",VLOOKUP($A400,Matches!$A:$AC,16,FALSE))))</f>
        <v>Bournemouth</v>
      </c>
      <c r="D400" s="6">
        <v>0.74682598954443602</v>
      </c>
      <c r="E400" s="6">
        <v>0.10823565065861392</v>
      </c>
      <c r="F400" s="6">
        <v>0.63859033888582206</v>
      </c>
      <c r="G400" s="3" t="s">
        <v>1</v>
      </c>
      <c r="H400" t="e">
        <v>#N/A</v>
      </c>
      <c r="I400" t="e">
        <v>#N/A</v>
      </c>
      <c r="J400" t="e">
        <v>#N/A</v>
      </c>
      <c r="K400">
        <v>0.39230769199999999</v>
      </c>
      <c r="L400">
        <v>0.26778242699999999</v>
      </c>
      <c r="M400">
        <v>3.3526628000000003E-2</v>
      </c>
      <c r="N400" t="e">
        <v>#N/A</v>
      </c>
      <c r="O400" t="e">
        <v>#N/A</v>
      </c>
    </row>
    <row r="401" spans="1:15" x14ac:dyDescent="0.25">
      <c r="A401" t="s">
        <v>14</v>
      </c>
      <c r="B401" t="s">
        <v>23</v>
      </c>
      <c r="C401" s="3" t="str">
        <f>IF($B401="GW1",VLOOKUP($A401,Matches!$A:$AC,2,FALSE),IF($B401="GW2",VLOOKUP($A401,Matches!$A:$AC,9,FALSE),IF($B401="GW3",VLOOKUP($A401,Matches!$A:$AC,16,FALSE))))</f>
        <v>Bournemouth</v>
      </c>
      <c r="D401" s="6">
        <v>0.74682598954443602</v>
      </c>
      <c r="E401" s="6">
        <v>0.10823565065861392</v>
      </c>
      <c r="F401" s="6">
        <v>0.63859033888582206</v>
      </c>
      <c r="G401" s="3" t="s">
        <v>1</v>
      </c>
      <c r="H401" t="e">
        <v>#N/A</v>
      </c>
      <c r="I401" t="e">
        <v>#N/A</v>
      </c>
      <c r="J401" t="e">
        <v>#N/A</v>
      </c>
      <c r="K401">
        <v>0.39230769199999999</v>
      </c>
      <c r="L401">
        <v>0.26778242699999999</v>
      </c>
      <c r="M401">
        <v>3.3526628000000003E-2</v>
      </c>
      <c r="N401" t="e">
        <v>#N/A</v>
      </c>
      <c r="O401" t="e">
        <v>#N/A</v>
      </c>
    </row>
    <row r="402" spans="1:15" x14ac:dyDescent="0.25">
      <c r="A402" t="s">
        <v>14</v>
      </c>
      <c r="B402" t="s">
        <v>23</v>
      </c>
      <c r="C402" s="3" t="str">
        <f>IF($B402="GW1",VLOOKUP($A402,Matches!$A:$AC,2,FALSE),IF($B402="GW2",VLOOKUP($A402,Matches!$A:$AC,9,FALSE),IF($B402="GW3",VLOOKUP($A402,Matches!$A:$AC,16,FALSE))))</f>
        <v>Bournemouth</v>
      </c>
      <c r="D402" s="6">
        <v>0.74682598954443602</v>
      </c>
      <c r="E402" s="6">
        <v>0.10823565065861392</v>
      </c>
      <c r="F402" s="6">
        <v>0.63859033888582206</v>
      </c>
      <c r="G402" s="3" t="s">
        <v>1</v>
      </c>
      <c r="H402" t="e">
        <v>#N/A</v>
      </c>
      <c r="I402" t="e">
        <v>#N/A</v>
      </c>
      <c r="J402" t="e">
        <v>#N/A</v>
      </c>
      <c r="K402">
        <v>0.39230769199999999</v>
      </c>
      <c r="L402">
        <v>0.26778242699999999</v>
      </c>
      <c r="M402">
        <v>3.3526628000000003E-2</v>
      </c>
      <c r="N402" t="e">
        <v>#N/A</v>
      </c>
      <c r="O402" t="e">
        <v>#N/A</v>
      </c>
    </row>
    <row r="403" spans="1:15" x14ac:dyDescent="0.25">
      <c r="A403" t="s">
        <v>14</v>
      </c>
      <c r="B403" t="s">
        <v>23</v>
      </c>
      <c r="C403" s="3" t="str">
        <f>IF($B403="GW1",VLOOKUP($A403,Matches!$A:$AC,2,FALSE),IF($B403="GW2",VLOOKUP($A403,Matches!$A:$AC,9,FALSE),IF($B403="GW3",VLOOKUP($A403,Matches!$A:$AC,16,FALSE))))</f>
        <v>Bournemouth</v>
      </c>
      <c r="D403" s="6">
        <v>0.74682598954443602</v>
      </c>
      <c r="E403" s="6">
        <v>0.10823565065861392</v>
      </c>
      <c r="F403" s="6">
        <v>0.63859033888582206</v>
      </c>
      <c r="G403" s="3" t="s">
        <v>1</v>
      </c>
      <c r="H403" t="e">
        <v>#N/A</v>
      </c>
      <c r="I403" t="e">
        <v>#N/A</v>
      </c>
      <c r="J403" t="e">
        <v>#N/A</v>
      </c>
      <c r="K403">
        <v>0.39230769199999999</v>
      </c>
      <c r="L403">
        <v>0.26778242699999999</v>
      </c>
      <c r="M403">
        <v>3.3526628000000003E-2</v>
      </c>
      <c r="N403" t="e">
        <v>#N/A</v>
      </c>
      <c r="O403" t="e">
        <v>#N/A</v>
      </c>
    </row>
    <row r="404" spans="1:15" x14ac:dyDescent="0.25">
      <c r="A404" t="s">
        <v>14</v>
      </c>
      <c r="B404" t="s">
        <v>23</v>
      </c>
      <c r="C404" s="3" t="str">
        <f>IF($B404="GW1",VLOOKUP($A404,Matches!$A:$AC,2,FALSE),IF($B404="GW2",VLOOKUP($A404,Matches!$A:$AC,9,FALSE),IF($B404="GW3",VLOOKUP($A404,Matches!$A:$AC,16,FALSE))))</f>
        <v>Bournemouth</v>
      </c>
      <c r="D404" s="6">
        <v>0.74682598954443602</v>
      </c>
      <c r="E404" s="6">
        <v>0.10823565065861392</v>
      </c>
      <c r="F404" s="6">
        <v>0.63859033888582206</v>
      </c>
      <c r="G404" s="3" t="s">
        <v>1</v>
      </c>
      <c r="H404" t="e">
        <v>#N/A</v>
      </c>
      <c r="I404" t="e">
        <v>#N/A</v>
      </c>
      <c r="J404" t="e">
        <v>#N/A</v>
      </c>
      <c r="K404">
        <v>0.39230769199999999</v>
      </c>
      <c r="L404">
        <v>0.26778242699999999</v>
      </c>
      <c r="M404">
        <v>3.3526628000000003E-2</v>
      </c>
      <c r="N404" t="e">
        <v>#N/A</v>
      </c>
      <c r="O404" t="e">
        <v>#N/A</v>
      </c>
    </row>
    <row r="405" spans="1:15" x14ac:dyDescent="0.25">
      <c r="A405" t="s">
        <v>14</v>
      </c>
      <c r="B405" t="s">
        <v>23</v>
      </c>
      <c r="C405" s="3" t="str">
        <f>IF($B405="GW1",VLOOKUP($A405,Matches!$A:$AC,2,FALSE),IF($B405="GW2",VLOOKUP($A405,Matches!$A:$AC,9,FALSE),IF($B405="GW3",VLOOKUP($A405,Matches!$A:$AC,16,FALSE))))</f>
        <v>Bournemouth</v>
      </c>
      <c r="D405" s="6">
        <v>0.74682598954443602</v>
      </c>
      <c r="E405" s="6">
        <v>0.10823565065861392</v>
      </c>
      <c r="F405" s="6">
        <v>0.63859033888582206</v>
      </c>
      <c r="G405" s="3" t="s">
        <v>1</v>
      </c>
      <c r="H405">
        <v>0.57372346500000004</v>
      </c>
      <c r="I405">
        <v>0.31746031699999999</v>
      </c>
      <c r="J405">
        <v>0.21994941200000001</v>
      </c>
      <c r="K405">
        <v>0.39230769199999999</v>
      </c>
      <c r="L405">
        <v>0.26778242699999999</v>
      </c>
      <c r="M405">
        <v>3.3526628000000003E-2</v>
      </c>
      <c r="N405" t="e">
        <v>#N/A</v>
      </c>
      <c r="O405" t="e">
        <v>#N/A</v>
      </c>
    </row>
    <row r="406" spans="1:15" x14ac:dyDescent="0.25">
      <c r="A406" t="s">
        <v>15</v>
      </c>
      <c r="B406" t="s">
        <v>23</v>
      </c>
      <c r="C406" s="3" t="str">
        <f>IF($B406="GW1",VLOOKUP($A406,Matches!$A:$AC,2,FALSE),IF($B406="GW2",VLOOKUP($A406,Matches!$A:$AC,9,FALSE),IF($B406="GW3",VLOOKUP($A406,Matches!$A:$AC,16,FALSE))))</f>
        <v>Wolves</v>
      </c>
      <c r="D406" s="6">
        <v>0.63455803033187386</v>
      </c>
      <c r="E406" s="6">
        <v>0.15337658553045291</v>
      </c>
      <c r="F406" s="6">
        <v>0.48118144480142094</v>
      </c>
      <c r="G406" s="3" t="s">
        <v>0</v>
      </c>
      <c r="H406" t="e">
        <v>#N/A</v>
      </c>
      <c r="I406" t="e">
        <v>#N/A</v>
      </c>
      <c r="J406">
        <v>0.126984127</v>
      </c>
      <c r="K406">
        <v>0.42257217800000002</v>
      </c>
      <c r="L406">
        <v>0.23371647500000001</v>
      </c>
      <c r="M406">
        <v>2.3902485000000001E-2</v>
      </c>
      <c r="N406" t="e">
        <v>#N/A</v>
      </c>
      <c r="O406" t="e">
        <v>#N/A</v>
      </c>
    </row>
    <row r="407" spans="1:15" x14ac:dyDescent="0.25">
      <c r="A407" t="s">
        <v>15</v>
      </c>
      <c r="B407" t="s">
        <v>23</v>
      </c>
      <c r="C407" s="3" t="str">
        <f>IF($B407="GW1",VLOOKUP($A407,Matches!$A:$AC,2,FALSE),IF($B407="GW2",VLOOKUP($A407,Matches!$A:$AC,9,FALSE),IF($B407="GW3",VLOOKUP($A407,Matches!$A:$AC,16,FALSE))))</f>
        <v>Wolves</v>
      </c>
      <c r="D407" s="6">
        <v>0.63455803033187386</v>
      </c>
      <c r="E407" s="6">
        <v>0.15337658553045291</v>
      </c>
      <c r="F407" s="6">
        <v>0.48118144480142094</v>
      </c>
      <c r="G407" s="3" t="s">
        <v>0</v>
      </c>
      <c r="H407" t="e">
        <v>#N/A</v>
      </c>
      <c r="I407" t="e">
        <v>#N/A</v>
      </c>
      <c r="J407">
        <v>0.126984127</v>
      </c>
      <c r="K407">
        <v>0.42257217800000002</v>
      </c>
      <c r="L407">
        <v>0.23371647500000001</v>
      </c>
      <c r="M407">
        <v>2.3902485000000001E-2</v>
      </c>
      <c r="N407">
        <v>0.47619047599999997</v>
      </c>
      <c r="O407">
        <v>0</v>
      </c>
    </row>
    <row r="408" spans="1:15" x14ac:dyDescent="0.25">
      <c r="A408" t="s">
        <v>15</v>
      </c>
      <c r="B408" t="s">
        <v>23</v>
      </c>
      <c r="C408" s="3" t="str">
        <f>IF($B408="GW1",VLOOKUP($A408,Matches!$A:$AC,2,FALSE),IF($B408="GW2",VLOOKUP($A408,Matches!$A:$AC,9,FALSE),IF($B408="GW3",VLOOKUP($A408,Matches!$A:$AC,16,FALSE))))</f>
        <v>Wolves</v>
      </c>
      <c r="D408" s="6">
        <v>0.63455803033187386</v>
      </c>
      <c r="E408" s="6">
        <v>0.15337658553045291</v>
      </c>
      <c r="F408" s="6">
        <v>0.48118144480142094</v>
      </c>
      <c r="G408" s="3" t="s">
        <v>0</v>
      </c>
      <c r="H408" t="e">
        <v>#N/A</v>
      </c>
      <c r="I408" t="e">
        <v>#N/A</v>
      </c>
      <c r="J408" t="e">
        <v>#N/A</v>
      </c>
      <c r="K408">
        <v>0.42257217800000002</v>
      </c>
      <c r="L408">
        <v>0.23371647500000001</v>
      </c>
      <c r="M408">
        <v>2.3902485000000001E-2</v>
      </c>
      <c r="N408" t="e">
        <v>#N/A</v>
      </c>
      <c r="O408" t="e">
        <v>#N/A</v>
      </c>
    </row>
    <row r="409" spans="1:15" x14ac:dyDescent="0.25">
      <c r="A409" t="s">
        <v>15</v>
      </c>
      <c r="B409" t="s">
        <v>23</v>
      </c>
      <c r="C409" s="3" t="str">
        <f>IF($B409="GW1",VLOOKUP($A409,Matches!$A:$AC,2,FALSE),IF($B409="GW2",VLOOKUP($A409,Matches!$A:$AC,9,FALSE),IF($B409="GW3",VLOOKUP($A409,Matches!$A:$AC,16,FALSE))))</f>
        <v>Wolves</v>
      </c>
      <c r="D409" s="6">
        <v>0.63455803033187386</v>
      </c>
      <c r="E409" s="6">
        <v>0.15337658553045291</v>
      </c>
      <c r="F409" s="6">
        <v>0.48118144480142094</v>
      </c>
      <c r="G409" s="3" t="s">
        <v>0</v>
      </c>
      <c r="H409" t="e">
        <v>#N/A</v>
      </c>
      <c r="I409" t="e">
        <v>#N/A</v>
      </c>
      <c r="J409">
        <v>0.126984127</v>
      </c>
      <c r="K409">
        <v>0.42257217800000002</v>
      </c>
      <c r="L409">
        <v>0.23371647500000001</v>
      </c>
      <c r="M409">
        <v>2.3902485000000001E-2</v>
      </c>
      <c r="N409" t="e">
        <v>#N/A</v>
      </c>
      <c r="O409" t="e">
        <v>#N/A</v>
      </c>
    </row>
    <row r="410" spans="1:15" x14ac:dyDescent="0.25">
      <c r="A410" t="s">
        <v>15</v>
      </c>
      <c r="B410" t="s">
        <v>23</v>
      </c>
      <c r="C410" s="3" t="str">
        <f>IF($B410="GW1",VLOOKUP($A410,Matches!$A:$AC,2,FALSE),IF($B410="GW2",VLOOKUP($A410,Matches!$A:$AC,9,FALSE),IF($B410="GW3",VLOOKUP($A410,Matches!$A:$AC,16,FALSE))))</f>
        <v>Wolves</v>
      </c>
      <c r="D410" s="6">
        <v>0.63455803033187386</v>
      </c>
      <c r="E410" s="6">
        <v>0.15337658553045291</v>
      </c>
      <c r="F410" s="6">
        <v>0.48118144480142094</v>
      </c>
      <c r="G410" s="3" t="s">
        <v>0</v>
      </c>
      <c r="H410">
        <v>0.11904761899999999</v>
      </c>
      <c r="I410">
        <v>0.19047618999999999</v>
      </c>
      <c r="J410">
        <v>0.21164021199999999</v>
      </c>
      <c r="K410">
        <v>0.42257217800000002</v>
      </c>
      <c r="L410">
        <v>0.23371647500000001</v>
      </c>
      <c r="M410">
        <v>2.3902485000000001E-2</v>
      </c>
      <c r="N410" t="e">
        <v>#N/A</v>
      </c>
      <c r="O410" t="e">
        <v>#N/A</v>
      </c>
    </row>
    <row r="411" spans="1:15" x14ac:dyDescent="0.25">
      <c r="A411" t="s">
        <v>15</v>
      </c>
      <c r="B411" t="s">
        <v>23</v>
      </c>
      <c r="C411" s="3" t="str">
        <f>IF($B411="GW1",VLOOKUP($A411,Matches!$A:$AC,2,FALSE),IF($B411="GW2",VLOOKUP($A411,Matches!$A:$AC,9,FALSE),IF($B411="GW3",VLOOKUP($A411,Matches!$A:$AC,16,FALSE))))</f>
        <v>Wolves</v>
      </c>
      <c r="D411" s="6">
        <v>0.63455803033187386</v>
      </c>
      <c r="E411" s="6">
        <v>0.15337658553045291</v>
      </c>
      <c r="F411" s="6">
        <v>0.48118144480142094</v>
      </c>
      <c r="G411" s="3" t="s">
        <v>0</v>
      </c>
      <c r="H411" t="e">
        <v>#N/A</v>
      </c>
      <c r="I411" t="e">
        <v>#N/A</v>
      </c>
      <c r="J411" t="e">
        <v>#N/A</v>
      </c>
      <c r="K411">
        <v>0.42257217800000002</v>
      </c>
      <c r="L411">
        <v>0.23371647500000001</v>
      </c>
      <c r="M411">
        <v>2.3902485000000001E-2</v>
      </c>
      <c r="N411" t="e">
        <v>#N/A</v>
      </c>
      <c r="O411" t="e">
        <v>#N/A</v>
      </c>
    </row>
    <row r="412" spans="1:15" x14ac:dyDescent="0.25">
      <c r="A412" t="s">
        <v>15</v>
      </c>
      <c r="B412" t="s">
        <v>23</v>
      </c>
      <c r="C412" s="3" t="str">
        <f>IF($B412="GW1",VLOOKUP($A412,Matches!$A:$AC,2,FALSE),IF($B412="GW2",VLOOKUP($A412,Matches!$A:$AC,9,FALSE),IF($B412="GW3",VLOOKUP($A412,Matches!$A:$AC,16,FALSE))))</f>
        <v>Wolves</v>
      </c>
      <c r="D412" s="6">
        <v>0.63455803033187386</v>
      </c>
      <c r="E412" s="6">
        <v>0.15337658553045291</v>
      </c>
      <c r="F412" s="6">
        <v>0.48118144480142094</v>
      </c>
      <c r="G412" s="3" t="s">
        <v>0</v>
      </c>
      <c r="H412">
        <v>7.9365079000000005E-2</v>
      </c>
      <c r="I412">
        <v>4.1407867000000001E-2</v>
      </c>
      <c r="J412">
        <v>0.19047618999999999</v>
      </c>
      <c r="K412">
        <v>0.42257217800000002</v>
      </c>
      <c r="L412">
        <v>0.23371647500000001</v>
      </c>
      <c r="M412">
        <v>2.3902485000000001E-2</v>
      </c>
      <c r="N412" t="e">
        <v>#N/A</v>
      </c>
      <c r="O412" t="e">
        <v>#N/A</v>
      </c>
    </row>
    <row r="413" spans="1:15" x14ac:dyDescent="0.25">
      <c r="A413" t="s">
        <v>15</v>
      </c>
      <c r="B413" t="s">
        <v>23</v>
      </c>
      <c r="C413" s="3" t="str">
        <f>IF($B413="GW1",VLOOKUP($A413,Matches!$A:$AC,2,FALSE),IF($B413="GW2",VLOOKUP($A413,Matches!$A:$AC,9,FALSE),IF($B413="GW3",VLOOKUP($A413,Matches!$A:$AC,16,FALSE))))</f>
        <v>Wolves</v>
      </c>
      <c r="D413" s="6">
        <v>0.63455803033187386</v>
      </c>
      <c r="E413" s="6">
        <v>0.15337658553045291</v>
      </c>
      <c r="F413" s="6">
        <v>0.48118144480142094</v>
      </c>
      <c r="G413" s="3" t="s">
        <v>0</v>
      </c>
      <c r="H413">
        <v>7.9365079000000005E-2</v>
      </c>
      <c r="I413">
        <v>4.1407867000000001E-2</v>
      </c>
      <c r="J413">
        <v>0.173160173</v>
      </c>
      <c r="K413">
        <v>0.42257217800000002</v>
      </c>
      <c r="L413">
        <v>0.23371647500000001</v>
      </c>
      <c r="M413">
        <v>2.3902485000000001E-2</v>
      </c>
      <c r="N413" t="e">
        <v>#N/A</v>
      </c>
      <c r="O413" t="e">
        <v>#N/A</v>
      </c>
    </row>
    <row r="414" spans="1:15" x14ac:dyDescent="0.25">
      <c r="A414" t="s">
        <v>15</v>
      </c>
      <c r="B414" t="s">
        <v>23</v>
      </c>
      <c r="C414" s="3" t="str">
        <f>IF($B414="GW1",VLOOKUP($A414,Matches!$A:$AC,2,FALSE),IF($B414="GW2",VLOOKUP($A414,Matches!$A:$AC,9,FALSE),IF($B414="GW3",VLOOKUP($A414,Matches!$A:$AC,16,FALSE))))</f>
        <v>Wolves</v>
      </c>
      <c r="D414" s="6">
        <v>0.63455803033187386</v>
      </c>
      <c r="E414" s="6">
        <v>0.15337658553045291</v>
      </c>
      <c r="F414" s="6">
        <v>0.48118144480142094</v>
      </c>
      <c r="G414" s="3" t="s">
        <v>0</v>
      </c>
      <c r="H414" t="e">
        <v>#N/A</v>
      </c>
      <c r="I414" t="e">
        <v>#N/A</v>
      </c>
      <c r="J414" t="e">
        <v>#N/A</v>
      </c>
      <c r="K414">
        <v>0.42257217800000002</v>
      </c>
      <c r="L414">
        <v>0.23371647500000001</v>
      </c>
      <c r="M414">
        <v>2.3902485000000001E-2</v>
      </c>
      <c r="N414" t="e">
        <v>#N/A</v>
      </c>
      <c r="O414" t="e">
        <v>#N/A</v>
      </c>
    </row>
    <row r="415" spans="1:15" x14ac:dyDescent="0.25">
      <c r="A415" t="s">
        <v>15</v>
      </c>
      <c r="B415" t="s">
        <v>23</v>
      </c>
      <c r="C415" s="3" t="str">
        <f>IF($B415="GW1",VLOOKUP($A415,Matches!$A:$AC,2,FALSE),IF($B415="GW2",VLOOKUP($A415,Matches!$A:$AC,9,FALSE),IF($B415="GW3",VLOOKUP($A415,Matches!$A:$AC,16,FALSE))))</f>
        <v>Wolves</v>
      </c>
      <c r="D415" s="6">
        <v>0.63455803033187386</v>
      </c>
      <c r="E415" s="6">
        <v>0.15337658553045291</v>
      </c>
      <c r="F415" s="6">
        <v>0.48118144480142094</v>
      </c>
      <c r="G415" s="3" t="s">
        <v>0</v>
      </c>
      <c r="H415">
        <v>0.14652014699999999</v>
      </c>
      <c r="I415">
        <v>0.173160173</v>
      </c>
      <c r="J415">
        <v>0.19047618999999999</v>
      </c>
      <c r="K415">
        <v>0.42257217800000002</v>
      </c>
      <c r="L415">
        <v>0.23371647500000001</v>
      </c>
      <c r="M415">
        <v>2.3902485000000001E-2</v>
      </c>
      <c r="N415" t="e">
        <v>#N/A</v>
      </c>
      <c r="O415" t="e">
        <v>#N/A</v>
      </c>
    </row>
    <row r="416" spans="1:15" x14ac:dyDescent="0.25">
      <c r="A416" t="s">
        <v>15</v>
      </c>
      <c r="B416" t="s">
        <v>23</v>
      </c>
      <c r="C416" s="3" t="str">
        <f>IF($B416="GW1",VLOOKUP($A416,Matches!$A:$AC,2,FALSE),IF($B416="GW2",VLOOKUP($A416,Matches!$A:$AC,9,FALSE),IF($B416="GW3",VLOOKUP($A416,Matches!$A:$AC,16,FALSE))))</f>
        <v>Wolves</v>
      </c>
      <c r="D416" s="6">
        <v>0.63455803033187386</v>
      </c>
      <c r="E416" s="6">
        <v>0.15337658553045291</v>
      </c>
      <c r="F416" s="6">
        <v>0.48118144480142094</v>
      </c>
      <c r="G416" s="3" t="s">
        <v>0</v>
      </c>
      <c r="H416">
        <v>7.9365079000000005E-2</v>
      </c>
      <c r="I416">
        <v>3.6630036999999997E-2</v>
      </c>
      <c r="J416">
        <v>0.19047618999999999</v>
      </c>
      <c r="K416">
        <v>0.42257217800000002</v>
      </c>
      <c r="L416">
        <v>0.23371647500000001</v>
      </c>
      <c r="M416">
        <v>2.3902485000000001E-2</v>
      </c>
      <c r="N416" t="e">
        <v>#N/A</v>
      </c>
      <c r="O416" t="e">
        <v>#N/A</v>
      </c>
    </row>
    <row r="417" spans="1:15" x14ac:dyDescent="0.25">
      <c r="A417" t="s">
        <v>15</v>
      </c>
      <c r="B417" t="s">
        <v>23</v>
      </c>
      <c r="C417" s="3" t="str">
        <f>IF($B417="GW1",VLOOKUP($A417,Matches!$A:$AC,2,FALSE),IF($B417="GW2",VLOOKUP($A417,Matches!$A:$AC,9,FALSE),IF($B417="GW3",VLOOKUP($A417,Matches!$A:$AC,16,FALSE))))</f>
        <v>Wolves</v>
      </c>
      <c r="D417" s="6">
        <v>0.63455803033187386</v>
      </c>
      <c r="E417" s="6">
        <v>0.15337658553045291</v>
      </c>
      <c r="F417" s="6">
        <v>0.48118144480142094</v>
      </c>
      <c r="G417" s="3" t="s">
        <v>0</v>
      </c>
      <c r="H417">
        <v>7.9365079000000005E-2</v>
      </c>
      <c r="I417">
        <v>7.3260072999999995E-2</v>
      </c>
      <c r="J417">
        <v>0.19047618999999999</v>
      </c>
      <c r="K417">
        <v>0.42257217800000002</v>
      </c>
      <c r="L417">
        <v>0.23371647500000001</v>
      </c>
      <c r="M417">
        <v>2.3902485000000001E-2</v>
      </c>
      <c r="N417" t="e">
        <v>#N/A</v>
      </c>
      <c r="O417" t="e">
        <v>#N/A</v>
      </c>
    </row>
    <row r="418" spans="1:15" x14ac:dyDescent="0.25">
      <c r="A418" t="s">
        <v>15</v>
      </c>
      <c r="B418" t="s">
        <v>23</v>
      </c>
      <c r="C418" s="3" t="str">
        <f>IF($B418="GW1",VLOOKUP($A418,Matches!$A:$AC,2,FALSE),IF($B418="GW2",VLOOKUP($A418,Matches!$A:$AC,9,FALSE),IF($B418="GW3",VLOOKUP($A418,Matches!$A:$AC,16,FALSE))))</f>
        <v>Wolves</v>
      </c>
      <c r="D418" s="6">
        <v>0.63455803033187386</v>
      </c>
      <c r="E418" s="6">
        <v>0.15337658553045291</v>
      </c>
      <c r="F418" s="6">
        <v>0.48118144480142094</v>
      </c>
      <c r="G418" s="3" t="s">
        <v>0</v>
      </c>
      <c r="H418">
        <v>7.9365079000000005E-2</v>
      </c>
      <c r="I418">
        <v>9.5238094999999995E-2</v>
      </c>
      <c r="J418">
        <v>0.15873015900000001</v>
      </c>
      <c r="K418">
        <v>0.42257217800000002</v>
      </c>
      <c r="L418">
        <v>0.23371647500000001</v>
      </c>
      <c r="M418">
        <v>2.3902485000000001E-2</v>
      </c>
      <c r="N418" t="e">
        <v>#N/A</v>
      </c>
      <c r="O418" t="e">
        <v>#N/A</v>
      </c>
    </row>
    <row r="419" spans="1:15" x14ac:dyDescent="0.25">
      <c r="A419" t="s">
        <v>15</v>
      </c>
      <c r="B419" t="s">
        <v>23</v>
      </c>
      <c r="C419" s="3" t="str">
        <f>IF($B419="GW1",VLOOKUP($A419,Matches!$A:$AC,2,FALSE),IF($B419="GW2",VLOOKUP($A419,Matches!$A:$AC,9,FALSE),IF($B419="GW3",VLOOKUP($A419,Matches!$A:$AC,16,FALSE))))</f>
        <v>Wolves</v>
      </c>
      <c r="D419" s="6">
        <v>0.63455803033187386</v>
      </c>
      <c r="E419" s="6">
        <v>0.15337658553045291</v>
      </c>
      <c r="F419" s="6">
        <v>0.48118144480142094</v>
      </c>
      <c r="G419" s="3" t="s">
        <v>0</v>
      </c>
      <c r="H419">
        <v>0.14652014699999999</v>
      </c>
      <c r="I419">
        <v>0.11904761899999999</v>
      </c>
      <c r="J419">
        <v>0.126984127</v>
      </c>
      <c r="K419">
        <v>0.42257217800000002</v>
      </c>
      <c r="L419">
        <v>0.23371647500000001</v>
      </c>
      <c r="M419">
        <v>2.3902485000000001E-2</v>
      </c>
      <c r="N419" t="e">
        <v>#N/A</v>
      </c>
      <c r="O419" t="e">
        <v>#N/A</v>
      </c>
    </row>
    <row r="420" spans="1:15" x14ac:dyDescent="0.25">
      <c r="A420" t="s">
        <v>15</v>
      </c>
      <c r="B420" t="s">
        <v>23</v>
      </c>
      <c r="C420" s="3" t="str">
        <f>IF($B420="GW1",VLOOKUP($A420,Matches!$A:$AC,2,FALSE),IF($B420="GW2",VLOOKUP($A420,Matches!$A:$AC,9,FALSE),IF($B420="GW3",VLOOKUP($A420,Matches!$A:$AC,16,FALSE))))</f>
        <v>Wolves</v>
      </c>
      <c r="D420" s="6">
        <v>0.63455803033187386</v>
      </c>
      <c r="E420" s="6">
        <v>0.15337658553045291</v>
      </c>
      <c r="F420" s="6">
        <v>0.48118144480142094</v>
      </c>
      <c r="G420" s="3" t="s">
        <v>0</v>
      </c>
      <c r="H420" t="e">
        <v>#N/A</v>
      </c>
      <c r="I420" t="e">
        <v>#N/A</v>
      </c>
      <c r="J420" t="e">
        <v>#N/A</v>
      </c>
      <c r="K420">
        <v>0.42257217800000002</v>
      </c>
      <c r="L420">
        <v>0.23371647500000001</v>
      </c>
      <c r="M420">
        <v>2.3902485000000001E-2</v>
      </c>
      <c r="N420" t="e">
        <v>#N/A</v>
      </c>
      <c r="O420" t="e">
        <v>#N/A</v>
      </c>
    </row>
    <row r="421" spans="1:15" x14ac:dyDescent="0.25">
      <c r="A421" t="s">
        <v>15</v>
      </c>
      <c r="B421" t="s">
        <v>23</v>
      </c>
      <c r="C421" s="3" t="str">
        <f>IF($B421="GW1",VLOOKUP($A421,Matches!$A:$AC,2,FALSE),IF($B421="GW2",VLOOKUP($A421,Matches!$A:$AC,9,FALSE),IF($B421="GW3",VLOOKUP($A421,Matches!$A:$AC,16,FALSE))))</f>
        <v>Wolves</v>
      </c>
      <c r="D421" s="6">
        <v>0.63455803033187386</v>
      </c>
      <c r="E421" s="6">
        <v>0.15337658553045291</v>
      </c>
      <c r="F421" s="6">
        <v>0.48118144480142094</v>
      </c>
      <c r="G421" s="3" t="s">
        <v>0</v>
      </c>
      <c r="H421">
        <v>0.36630036599999999</v>
      </c>
      <c r="I421">
        <v>0.27210884400000002</v>
      </c>
      <c r="J421">
        <v>0.19047618999999999</v>
      </c>
      <c r="K421">
        <v>0.42257217800000002</v>
      </c>
      <c r="L421">
        <v>0.23371647500000001</v>
      </c>
      <c r="M421">
        <v>2.3902485000000001E-2</v>
      </c>
      <c r="N421" t="e">
        <v>#N/A</v>
      </c>
      <c r="O421" t="e">
        <v>#N/A</v>
      </c>
    </row>
    <row r="422" spans="1:15" x14ac:dyDescent="0.25">
      <c r="A422" t="s">
        <v>15</v>
      </c>
      <c r="B422" t="s">
        <v>23</v>
      </c>
      <c r="C422" s="3" t="str">
        <f>IF($B422="GW1",VLOOKUP($A422,Matches!$A:$AC,2,FALSE),IF($B422="GW2",VLOOKUP($A422,Matches!$A:$AC,9,FALSE),IF($B422="GW3",VLOOKUP($A422,Matches!$A:$AC,16,FALSE))))</f>
        <v>Wolves</v>
      </c>
      <c r="D422" s="6">
        <v>0.63455803033187386</v>
      </c>
      <c r="E422" s="6">
        <v>0.15337658553045291</v>
      </c>
      <c r="F422" s="6">
        <v>0.48118144480142094</v>
      </c>
      <c r="G422" s="3" t="s">
        <v>0</v>
      </c>
      <c r="H422">
        <v>0.346320346</v>
      </c>
      <c r="I422">
        <v>0.253968254</v>
      </c>
      <c r="J422">
        <v>0.112044818</v>
      </c>
      <c r="K422">
        <v>0.42257217800000002</v>
      </c>
      <c r="L422">
        <v>0.23371647500000001</v>
      </c>
      <c r="M422">
        <v>2.3902485000000001E-2</v>
      </c>
      <c r="N422" t="e">
        <v>#N/A</v>
      </c>
      <c r="O422" t="e">
        <v>#N/A</v>
      </c>
    </row>
    <row r="423" spans="1:15" x14ac:dyDescent="0.25">
      <c r="A423" t="s">
        <v>15</v>
      </c>
      <c r="B423" t="s">
        <v>23</v>
      </c>
      <c r="C423" s="3" t="str">
        <f>IF($B423="GW1",VLOOKUP($A423,Matches!$A:$AC,2,FALSE),IF($B423="GW2",VLOOKUP($A423,Matches!$A:$AC,9,FALSE),IF($B423="GW3",VLOOKUP($A423,Matches!$A:$AC,16,FALSE))))</f>
        <v>Wolves</v>
      </c>
      <c r="D423" s="6">
        <v>0.63455803033187386</v>
      </c>
      <c r="E423" s="6">
        <v>0.15337658553045291</v>
      </c>
      <c r="F423" s="6">
        <v>0.48118144480142094</v>
      </c>
      <c r="G423" s="3" t="s">
        <v>0</v>
      </c>
      <c r="H423" t="e">
        <v>#N/A</v>
      </c>
      <c r="I423" t="e">
        <v>#N/A</v>
      </c>
      <c r="J423" t="e">
        <v>#N/A</v>
      </c>
      <c r="K423">
        <v>0.42257217800000002</v>
      </c>
      <c r="L423">
        <v>0.23371647500000001</v>
      </c>
      <c r="M423">
        <v>2.3902485000000001E-2</v>
      </c>
      <c r="N423" t="e">
        <v>#N/A</v>
      </c>
      <c r="O423" t="e">
        <v>#N/A</v>
      </c>
    </row>
    <row r="424" spans="1:15" x14ac:dyDescent="0.25">
      <c r="A424" t="s">
        <v>15</v>
      </c>
      <c r="B424" t="s">
        <v>23</v>
      </c>
      <c r="C424" s="3" t="str">
        <f>IF($B424="GW1",VLOOKUP($A424,Matches!$A:$AC,2,FALSE),IF($B424="GW2",VLOOKUP($A424,Matches!$A:$AC,9,FALSE),IF($B424="GW3",VLOOKUP($A424,Matches!$A:$AC,16,FALSE))))</f>
        <v>Wolves</v>
      </c>
      <c r="D424" s="6">
        <v>0.63455803033187386</v>
      </c>
      <c r="E424" s="6">
        <v>0.15337658553045291</v>
      </c>
      <c r="F424" s="6">
        <v>0.48118144480142094</v>
      </c>
      <c r="G424" s="3" t="s">
        <v>0</v>
      </c>
      <c r="H424">
        <v>0.21994941200000001</v>
      </c>
      <c r="I424">
        <v>0.21164021199999999</v>
      </c>
      <c r="J424">
        <v>0.253968254</v>
      </c>
      <c r="K424">
        <v>0.42257217800000002</v>
      </c>
      <c r="L424">
        <v>0.23371647500000001</v>
      </c>
      <c r="M424">
        <v>2.3902485000000001E-2</v>
      </c>
      <c r="N424" t="e">
        <v>#N/A</v>
      </c>
      <c r="O424" t="e">
        <v>#N/A</v>
      </c>
    </row>
    <row r="425" spans="1:15" x14ac:dyDescent="0.25">
      <c r="A425" t="s">
        <v>15</v>
      </c>
      <c r="B425" t="s">
        <v>23</v>
      </c>
      <c r="C425" s="3" t="str">
        <f>IF($B425="GW1",VLOOKUP($A425,Matches!$A:$AC,2,FALSE),IF($B425="GW2",VLOOKUP($A425,Matches!$A:$AC,9,FALSE),IF($B425="GW3",VLOOKUP($A425,Matches!$A:$AC,16,FALSE))))</f>
        <v>Wolves</v>
      </c>
      <c r="D425" s="6">
        <v>0.63455803033187386</v>
      </c>
      <c r="E425" s="6">
        <v>0.15337658553045291</v>
      </c>
      <c r="F425" s="6">
        <v>0.48118144480142094</v>
      </c>
      <c r="G425" s="3" t="s">
        <v>0</v>
      </c>
      <c r="H425">
        <v>0.27210884400000002</v>
      </c>
      <c r="I425">
        <v>0.27210884400000002</v>
      </c>
      <c r="J425">
        <v>0.173160173</v>
      </c>
      <c r="K425">
        <v>0.42257217800000002</v>
      </c>
      <c r="L425">
        <v>0.23371647500000001</v>
      </c>
      <c r="M425">
        <v>2.3902485000000001E-2</v>
      </c>
      <c r="N425" t="e">
        <v>#N/A</v>
      </c>
      <c r="O425" t="e">
        <v>#N/A</v>
      </c>
    </row>
    <row r="426" spans="1:15" x14ac:dyDescent="0.25">
      <c r="A426" t="s">
        <v>15</v>
      </c>
      <c r="B426" t="s">
        <v>23</v>
      </c>
      <c r="C426" s="3" t="str">
        <f>IF($B426="GW1",VLOOKUP($A426,Matches!$A:$AC,2,FALSE),IF($B426="GW2",VLOOKUP($A426,Matches!$A:$AC,9,FALSE),IF($B426="GW3",VLOOKUP($A426,Matches!$A:$AC,16,FALSE))))</f>
        <v>Wolves</v>
      </c>
      <c r="D426" s="6">
        <v>0.63455803033187386</v>
      </c>
      <c r="E426" s="6">
        <v>0.15337658553045291</v>
      </c>
      <c r="F426" s="6">
        <v>0.48118144480142094</v>
      </c>
      <c r="G426" s="3" t="s">
        <v>0</v>
      </c>
      <c r="H426">
        <v>0.23809523799999999</v>
      </c>
      <c r="I426">
        <v>0.21164021199999999</v>
      </c>
      <c r="J426">
        <v>0.15873015900000001</v>
      </c>
      <c r="K426">
        <v>0.42257217800000002</v>
      </c>
      <c r="L426">
        <v>0.23371647500000001</v>
      </c>
      <c r="M426">
        <v>2.3902485000000001E-2</v>
      </c>
      <c r="N426" t="e">
        <v>#N/A</v>
      </c>
      <c r="O426" t="e">
        <v>#N/A</v>
      </c>
    </row>
    <row r="427" spans="1:15" x14ac:dyDescent="0.25">
      <c r="A427" t="s">
        <v>15</v>
      </c>
      <c r="B427" t="s">
        <v>23</v>
      </c>
      <c r="C427" s="3" t="str">
        <f>IF($B427="GW1",VLOOKUP($A427,Matches!$A:$AC,2,FALSE),IF($B427="GW2",VLOOKUP($A427,Matches!$A:$AC,9,FALSE),IF($B427="GW3",VLOOKUP($A427,Matches!$A:$AC,16,FALSE))))</f>
        <v>Wolves</v>
      </c>
      <c r="D427" s="6">
        <v>0.63455803033187386</v>
      </c>
      <c r="E427" s="6">
        <v>0.15337658553045291</v>
      </c>
      <c r="F427" s="6">
        <v>0.48118144480142094</v>
      </c>
      <c r="G427" s="3" t="s">
        <v>0</v>
      </c>
      <c r="H427">
        <v>0.19047618999999999</v>
      </c>
      <c r="I427">
        <v>0.14652014699999999</v>
      </c>
      <c r="J427">
        <v>0.21164021199999999</v>
      </c>
      <c r="K427">
        <v>0.42257217800000002</v>
      </c>
      <c r="L427">
        <v>0.23371647500000001</v>
      </c>
      <c r="M427">
        <v>2.3902485000000001E-2</v>
      </c>
      <c r="N427" t="e">
        <v>#N/A</v>
      </c>
      <c r="O427" t="e">
        <v>#N/A</v>
      </c>
    </row>
    <row r="428" spans="1:15" x14ac:dyDescent="0.25">
      <c r="A428" t="s">
        <v>15</v>
      </c>
      <c r="B428" t="s">
        <v>23</v>
      </c>
      <c r="C428" s="3" t="str">
        <f>IF($B428="GW1",VLOOKUP($A428,Matches!$A:$AC,2,FALSE),IF($B428="GW2",VLOOKUP($A428,Matches!$A:$AC,9,FALSE),IF($B428="GW3",VLOOKUP($A428,Matches!$A:$AC,16,FALSE))))</f>
        <v>Wolves</v>
      </c>
      <c r="D428" s="6">
        <v>0.63455803033187386</v>
      </c>
      <c r="E428" s="6">
        <v>0.15337658553045291</v>
      </c>
      <c r="F428" s="6">
        <v>0.48118144480142094</v>
      </c>
      <c r="G428" s="3" t="s">
        <v>0</v>
      </c>
      <c r="H428">
        <v>0.173160173</v>
      </c>
      <c r="I428">
        <v>0.14652014699999999</v>
      </c>
      <c r="J428">
        <v>0.19047618999999999</v>
      </c>
      <c r="K428">
        <v>0.42257217800000002</v>
      </c>
      <c r="L428">
        <v>0.23371647500000001</v>
      </c>
      <c r="M428">
        <v>2.3902485000000001E-2</v>
      </c>
      <c r="N428" t="e">
        <v>#N/A</v>
      </c>
      <c r="O428" t="e">
        <v>#N/A</v>
      </c>
    </row>
    <row r="429" spans="1:15" x14ac:dyDescent="0.25">
      <c r="A429" t="s">
        <v>15</v>
      </c>
      <c r="B429" t="s">
        <v>23</v>
      </c>
      <c r="C429" s="3" t="str">
        <f>IF($B429="GW1",VLOOKUP($A429,Matches!$A:$AC,2,FALSE),IF($B429="GW2",VLOOKUP($A429,Matches!$A:$AC,9,FALSE),IF($B429="GW3",VLOOKUP($A429,Matches!$A:$AC,16,FALSE))))</f>
        <v>Wolves</v>
      </c>
      <c r="D429" s="6">
        <v>0.63455803033187386</v>
      </c>
      <c r="E429" s="6">
        <v>0.15337658553045291</v>
      </c>
      <c r="F429" s="6">
        <v>0.48118144480142094</v>
      </c>
      <c r="G429" s="3" t="s">
        <v>0</v>
      </c>
      <c r="H429" t="e">
        <v>#N/A</v>
      </c>
      <c r="I429" t="e">
        <v>#N/A</v>
      </c>
      <c r="J429" t="e">
        <v>#N/A</v>
      </c>
      <c r="K429">
        <v>0.42257217800000002</v>
      </c>
      <c r="L429">
        <v>0.23371647500000001</v>
      </c>
      <c r="M429">
        <v>2.3902485000000001E-2</v>
      </c>
      <c r="N429" t="e">
        <v>#N/A</v>
      </c>
      <c r="O429" t="e">
        <v>#N/A</v>
      </c>
    </row>
    <row r="430" spans="1:15" x14ac:dyDescent="0.25">
      <c r="A430" t="s">
        <v>15</v>
      </c>
      <c r="B430" t="s">
        <v>23</v>
      </c>
      <c r="C430" s="3" t="str">
        <f>IF($B430="GW1",VLOOKUP($A430,Matches!$A:$AC,2,FALSE),IF($B430="GW2",VLOOKUP($A430,Matches!$A:$AC,9,FALSE),IF($B430="GW3",VLOOKUP($A430,Matches!$A:$AC,16,FALSE))))</f>
        <v>Wolves</v>
      </c>
      <c r="D430" s="6">
        <v>0.63455803033187386</v>
      </c>
      <c r="E430" s="6">
        <v>0.15337658553045291</v>
      </c>
      <c r="F430" s="6">
        <v>0.48118144480142094</v>
      </c>
      <c r="G430" s="3" t="s">
        <v>0</v>
      </c>
      <c r="H430" t="e">
        <v>#N/A</v>
      </c>
      <c r="I430" t="e">
        <v>#N/A</v>
      </c>
      <c r="J430" t="e">
        <v>#N/A</v>
      </c>
      <c r="K430">
        <v>0.42257217800000002</v>
      </c>
      <c r="L430">
        <v>0.23371647500000001</v>
      </c>
      <c r="M430">
        <v>2.3902485000000001E-2</v>
      </c>
      <c r="N430" t="e">
        <v>#N/A</v>
      </c>
      <c r="O430" t="e">
        <v>#N/A</v>
      </c>
    </row>
    <row r="431" spans="1:15" x14ac:dyDescent="0.25">
      <c r="A431" t="s">
        <v>15</v>
      </c>
      <c r="B431" t="s">
        <v>23</v>
      </c>
      <c r="C431" s="3" t="str">
        <f>IF($B431="GW1",VLOOKUP($A431,Matches!$A:$AC,2,FALSE),IF($B431="GW2",VLOOKUP($A431,Matches!$A:$AC,9,FALSE),IF($B431="GW3",VLOOKUP($A431,Matches!$A:$AC,16,FALSE))))</f>
        <v>Wolves</v>
      </c>
      <c r="D431" s="6">
        <v>0.63455803033187386</v>
      </c>
      <c r="E431" s="6">
        <v>0.15337658553045291</v>
      </c>
      <c r="F431" s="6">
        <v>0.48118144480142094</v>
      </c>
      <c r="G431" s="3" t="s">
        <v>0</v>
      </c>
      <c r="H431" t="e">
        <v>#N/A</v>
      </c>
      <c r="I431" t="e">
        <v>#N/A</v>
      </c>
      <c r="J431" t="e">
        <v>#N/A</v>
      </c>
      <c r="K431">
        <v>0.42257217800000002</v>
      </c>
      <c r="L431">
        <v>0.23371647500000001</v>
      </c>
      <c r="M431">
        <v>2.3902485000000001E-2</v>
      </c>
      <c r="N431" t="e">
        <v>#N/A</v>
      </c>
      <c r="O431" t="e">
        <v>#N/A</v>
      </c>
    </row>
    <row r="432" spans="1:15" x14ac:dyDescent="0.25">
      <c r="A432" t="s">
        <v>15</v>
      </c>
      <c r="B432" t="s">
        <v>23</v>
      </c>
      <c r="C432" s="3" t="str">
        <f>IF($B432="GW1",VLOOKUP($A432,Matches!$A:$AC,2,FALSE),IF($B432="GW2",VLOOKUP($A432,Matches!$A:$AC,9,FALSE),IF($B432="GW3",VLOOKUP($A432,Matches!$A:$AC,16,FALSE))))</f>
        <v>Wolves</v>
      </c>
      <c r="D432" s="6">
        <v>0.63455803033187386</v>
      </c>
      <c r="E432" s="6">
        <v>0.15337658553045291</v>
      </c>
      <c r="F432" s="6">
        <v>0.48118144480142094</v>
      </c>
      <c r="G432" s="3" t="s">
        <v>0</v>
      </c>
      <c r="H432">
        <v>0.27210884400000002</v>
      </c>
      <c r="I432">
        <v>0.21164021199999999</v>
      </c>
      <c r="J432">
        <v>0.10025062699999999</v>
      </c>
      <c r="K432">
        <v>0.42257217800000002</v>
      </c>
      <c r="L432">
        <v>0.23371647500000001</v>
      </c>
      <c r="M432">
        <v>2.3902485000000001E-2</v>
      </c>
      <c r="N432" t="e">
        <v>#N/A</v>
      </c>
      <c r="O432" t="e">
        <v>#N/A</v>
      </c>
    </row>
    <row r="433" spans="1:15" x14ac:dyDescent="0.25">
      <c r="A433" t="s">
        <v>15</v>
      </c>
      <c r="B433" t="s">
        <v>23</v>
      </c>
      <c r="C433" s="3" t="str">
        <f>IF($B433="GW1",VLOOKUP($A433,Matches!$A:$AC,2,FALSE),IF($B433="GW2",VLOOKUP($A433,Matches!$A:$AC,9,FALSE),IF($B433="GW3",VLOOKUP($A433,Matches!$A:$AC,16,FALSE))))</f>
        <v>Wolves</v>
      </c>
      <c r="D433" s="6">
        <v>0.63455803033187386</v>
      </c>
      <c r="E433" s="6">
        <v>0.15337658553045291</v>
      </c>
      <c r="F433" s="6">
        <v>0.48118144480142094</v>
      </c>
      <c r="G433" s="3" t="s">
        <v>0</v>
      </c>
      <c r="H433">
        <v>0.27210884400000002</v>
      </c>
      <c r="I433">
        <v>0.23809523799999999</v>
      </c>
      <c r="J433">
        <v>0.126984127</v>
      </c>
      <c r="K433">
        <v>0.42257217800000002</v>
      </c>
      <c r="L433">
        <v>0.23371647500000001</v>
      </c>
      <c r="M433">
        <v>2.3902485000000001E-2</v>
      </c>
      <c r="N433" t="e">
        <v>#N/A</v>
      </c>
      <c r="O433" t="e">
        <v>#N/A</v>
      </c>
    </row>
    <row r="434" spans="1:15" x14ac:dyDescent="0.25">
      <c r="A434" t="s">
        <v>15</v>
      </c>
      <c r="B434" t="s">
        <v>23</v>
      </c>
      <c r="C434" s="3" t="str">
        <f>IF($B434="GW1",VLOOKUP($A434,Matches!$A:$AC,2,FALSE),IF($B434="GW2",VLOOKUP($A434,Matches!$A:$AC,9,FALSE),IF($B434="GW3",VLOOKUP($A434,Matches!$A:$AC,16,FALSE))))</f>
        <v>Wolves</v>
      </c>
      <c r="D434" s="6">
        <v>0.63455803033187386</v>
      </c>
      <c r="E434" s="6">
        <v>0.15337658553045291</v>
      </c>
      <c r="F434" s="6">
        <v>0.48118144480142094</v>
      </c>
      <c r="G434" s="3" t="s">
        <v>0</v>
      </c>
      <c r="H434" t="e">
        <v>#N/A</v>
      </c>
      <c r="I434" t="e">
        <v>#N/A</v>
      </c>
      <c r="J434" t="e">
        <v>#N/A</v>
      </c>
      <c r="K434">
        <v>0.42257217800000002</v>
      </c>
      <c r="L434">
        <v>0.23371647500000001</v>
      </c>
      <c r="M434">
        <v>2.3902485000000001E-2</v>
      </c>
      <c r="N434" t="e">
        <v>#N/A</v>
      </c>
      <c r="O434" t="e">
        <v>#N/A</v>
      </c>
    </row>
    <row r="435" spans="1:15" x14ac:dyDescent="0.25">
      <c r="A435" t="s">
        <v>15</v>
      </c>
      <c r="B435" t="s">
        <v>23</v>
      </c>
      <c r="C435" s="3" t="str">
        <f>IF($B435="GW1",VLOOKUP($A435,Matches!$A:$AC,2,FALSE),IF($B435="GW2",VLOOKUP($A435,Matches!$A:$AC,9,FALSE),IF($B435="GW3",VLOOKUP($A435,Matches!$A:$AC,16,FALSE))))</f>
        <v>Wolves</v>
      </c>
      <c r="D435" s="6">
        <v>0.63455803033187386</v>
      </c>
      <c r="E435" s="6">
        <v>0.15337658553045291</v>
      </c>
      <c r="F435" s="6">
        <v>0.48118144480142094</v>
      </c>
      <c r="G435" s="3" t="s">
        <v>0</v>
      </c>
      <c r="H435">
        <v>0.21994941200000001</v>
      </c>
      <c r="I435">
        <v>0.14652014699999999</v>
      </c>
      <c r="J435">
        <v>0.21164021199999999</v>
      </c>
      <c r="K435">
        <v>0.42257217800000002</v>
      </c>
      <c r="L435">
        <v>0.23371647500000001</v>
      </c>
      <c r="M435">
        <v>2.3902485000000001E-2</v>
      </c>
      <c r="N435" t="e">
        <v>#N/A</v>
      </c>
      <c r="O435" t="e">
        <v>#N/A</v>
      </c>
    </row>
    <row r="436" spans="1:15" x14ac:dyDescent="0.25">
      <c r="A436" t="s">
        <v>15</v>
      </c>
      <c r="B436" t="s">
        <v>23</v>
      </c>
      <c r="C436" s="3" t="str">
        <f>IF($B436="GW1",VLOOKUP($A436,Matches!$A:$AC,2,FALSE),IF($B436="GW2",VLOOKUP($A436,Matches!$A:$AC,9,FALSE),IF($B436="GW3",VLOOKUP($A436,Matches!$A:$AC,16,FALSE))))</f>
        <v>Wolves</v>
      </c>
      <c r="D436" s="6">
        <v>0.63455803033187386</v>
      </c>
      <c r="E436" s="6">
        <v>0.15337658553045291</v>
      </c>
      <c r="F436" s="6">
        <v>0.48118144480142094</v>
      </c>
      <c r="G436" s="3" t="s">
        <v>0</v>
      </c>
      <c r="H436" t="e">
        <v>#N/A</v>
      </c>
      <c r="I436" t="e">
        <v>#N/A</v>
      </c>
      <c r="J436" t="e">
        <v>#N/A</v>
      </c>
      <c r="K436">
        <v>0.42257217800000002</v>
      </c>
      <c r="L436">
        <v>0.23371647500000001</v>
      </c>
      <c r="M436">
        <v>2.3902485000000001E-2</v>
      </c>
      <c r="N436" t="e">
        <v>#N/A</v>
      </c>
      <c r="O436" t="e">
        <v>#N/A</v>
      </c>
    </row>
    <row r="437" spans="1:15" x14ac:dyDescent="0.25">
      <c r="A437" t="s">
        <v>15</v>
      </c>
      <c r="B437" t="s">
        <v>23</v>
      </c>
      <c r="C437" s="3" t="str">
        <f>IF($B437="GW1",VLOOKUP($A437,Matches!$A:$AC,2,FALSE),IF($B437="GW2",VLOOKUP($A437,Matches!$A:$AC,9,FALSE),IF($B437="GW3",VLOOKUP($A437,Matches!$A:$AC,16,FALSE))))</f>
        <v>Wolves</v>
      </c>
      <c r="D437" s="6">
        <v>0.63455803033187386</v>
      </c>
      <c r="E437" s="6">
        <v>0.15337658553045291</v>
      </c>
      <c r="F437" s="6">
        <v>0.48118144480142094</v>
      </c>
      <c r="G437" s="3" t="s">
        <v>0</v>
      </c>
      <c r="H437" t="e">
        <v>#N/A</v>
      </c>
      <c r="I437" t="e">
        <v>#N/A</v>
      </c>
      <c r="J437" t="e">
        <v>#N/A</v>
      </c>
      <c r="K437">
        <v>0.42257217800000002</v>
      </c>
      <c r="L437">
        <v>0.23371647500000001</v>
      </c>
      <c r="M437">
        <v>2.3902485000000001E-2</v>
      </c>
      <c r="N437" t="e">
        <v>#N/A</v>
      </c>
      <c r="O437" t="e">
        <v>#N/A</v>
      </c>
    </row>
    <row r="438" spans="1:15" x14ac:dyDescent="0.25">
      <c r="A438" t="s">
        <v>15</v>
      </c>
      <c r="B438" t="s">
        <v>23</v>
      </c>
      <c r="C438" s="3" t="str">
        <f>IF($B438="GW1",VLOOKUP($A438,Matches!$A:$AC,2,FALSE),IF($B438="GW2",VLOOKUP($A438,Matches!$A:$AC,9,FALSE),IF($B438="GW3",VLOOKUP($A438,Matches!$A:$AC,16,FALSE))))</f>
        <v>Wolves</v>
      </c>
      <c r="D438" s="6">
        <v>0.63455803033187386</v>
      </c>
      <c r="E438" s="6">
        <v>0.15337658553045291</v>
      </c>
      <c r="F438" s="6">
        <v>0.48118144480142094</v>
      </c>
      <c r="G438" s="3" t="s">
        <v>0</v>
      </c>
      <c r="H438">
        <v>0.57372346500000004</v>
      </c>
      <c r="I438">
        <v>0.13605442200000001</v>
      </c>
      <c r="J438">
        <v>0.15873015900000001</v>
      </c>
      <c r="K438">
        <v>0.42257217800000002</v>
      </c>
      <c r="L438">
        <v>0.23371647500000001</v>
      </c>
      <c r="M438">
        <v>2.3902485000000001E-2</v>
      </c>
      <c r="N438" t="e">
        <v>#N/A</v>
      </c>
      <c r="O438" t="e">
        <v>#N/A</v>
      </c>
    </row>
    <row r="439" spans="1:15" x14ac:dyDescent="0.25">
      <c r="A439" t="s">
        <v>16</v>
      </c>
      <c r="B439" t="s">
        <v>23</v>
      </c>
      <c r="C439" s="3" t="str">
        <f>IF($B439="GW1",VLOOKUP($A439,Matches!$A:$AC,2,FALSE),IF($B439="GW2",VLOOKUP($A439,Matches!$A:$AC,9,FALSE),IF($B439="GW3",VLOOKUP($A439,Matches!$A:$AC,16,FALSE))))</f>
        <v>Arsenal</v>
      </c>
      <c r="D439" s="6">
        <v>0.25482251611752416</v>
      </c>
      <c r="E439" s="6">
        <v>0.49534376857539131</v>
      </c>
      <c r="F439" s="6">
        <v>-0.24052125245786715</v>
      </c>
      <c r="G439" s="3" t="s">
        <v>1</v>
      </c>
      <c r="H439">
        <v>0.21994941200000001</v>
      </c>
      <c r="I439">
        <v>0.14652014699999999</v>
      </c>
      <c r="J439">
        <v>0.20050125299999999</v>
      </c>
      <c r="K439">
        <v>0.20774647900000001</v>
      </c>
      <c r="L439">
        <v>0.5</v>
      </c>
      <c r="M439">
        <v>9.6004338999999994E-2</v>
      </c>
      <c r="N439" t="e">
        <v>#N/A</v>
      </c>
      <c r="O439" t="e">
        <v>#N/A</v>
      </c>
    </row>
    <row r="440" spans="1:15" x14ac:dyDescent="0.25">
      <c r="A440" t="s">
        <v>16</v>
      </c>
      <c r="B440" t="s">
        <v>23</v>
      </c>
      <c r="C440" s="3" t="str">
        <f>IF($B440="GW1",VLOOKUP($A440,Matches!$A:$AC,2,FALSE),IF($B440="GW2",VLOOKUP($A440,Matches!$A:$AC,9,FALSE),IF($B440="GW3",VLOOKUP($A440,Matches!$A:$AC,16,FALSE))))</f>
        <v>Arsenal</v>
      </c>
      <c r="D440" s="6">
        <v>0.25482251611752416</v>
      </c>
      <c r="E440" s="6">
        <v>0.49534376857539131</v>
      </c>
      <c r="F440" s="6">
        <v>-0.24052125245786715</v>
      </c>
      <c r="G440" s="3" t="s">
        <v>1</v>
      </c>
      <c r="H440" t="e">
        <v>#N/A</v>
      </c>
      <c r="I440" t="e">
        <v>#N/A</v>
      </c>
      <c r="J440">
        <v>0.173160173</v>
      </c>
      <c r="K440">
        <v>0.20774647900000001</v>
      </c>
      <c r="L440">
        <v>0.5</v>
      </c>
      <c r="M440">
        <v>9.6004338999999994E-2</v>
      </c>
      <c r="N440">
        <v>0.57372346500000004</v>
      </c>
      <c r="O440">
        <v>9.5238094999999995E-2</v>
      </c>
    </row>
    <row r="441" spans="1:15" x14ac:dyDescent="0.25">
      <c r="A441" t="s">
        <v>16</v>
      </c>
      <c r="B441" t="s">
        <v>23</v>
      </c>
      <c r="C441" s="3" t="str">
        <f>IF($B441="GW1",VLOOKUP($A441,Matches!$A:$AC,2,FALSE),IF($B441="GW2",VLOOKUP($A441,Matches!$A:$AC,9,FALSE),IF($B441="GW3",VLOOKUP($A441,Matches!$A:$AC,16,FALSE))))</f>
        <v>Arsenal</v>
      </c>
      <c r="D441" s="6">
        <v>0.25482251611752416</v>
      </c>
      <c r="E441" s="6">
        <v>0.49534376857539131</v>
      </c>
      <c r="F441" s="6">
        <v>-0.24052125245786715</v>
      </c>
      <c r="G441" s="3" t="s">
        <v>1</v>
      </c>
      <c r="H441" t="e">
        <v>#N/A</v>
      </c>
      <c r="I441" t="e">
        <v>#N/A</v>
      </c>
      <c r="J441">
        <v>0.173160173</v>
      </c>
      <c r="K441">
        <v>0.20774647900000001</v>
      </c>
      <c r="L441">
        <v>0.5</v>
      </c>
      <c r="M441">
        <v>9.6004338999999994E-2</v>
      </c>
      <c r="N441" t="e">
        <v>#N/A</v>
      </c>
      <c r="O441" t="e">
        <v>#N/A</v>
      </c>
    </row>
    <row r="442" spans="1:15" x14ac:dyDescent="0.25">
      <c r="A442" t="s">
        <v>16</v>
      </c>
      <c r="B442" t="s">
        <v>23</v>
      </c>
      <c r="C442" s="3" t="str">
        <f>IF($B442="GW1",VLOOKUP($A442,Matches!$A:$AC,2,FALSE),IF($B442="GW2",VLOOKUP($A442,Matches!$A:$AC,9,FALSE),IF($B442="GW3",VLOOKUP($A442,Matches!$A:$AC,16,FALSE))))</f>
        <v>Arsenal</v>
      </c>
      <c r="D442" s="6">
        <v>0.25482251611752416</v>
      </c>
      <c r="E442" s="6">
        <v>0.49534376857539131</v>
      </c>
      <c r="F442" s="6">
        <v>-0.24052125245786715</v>
      </c>
      <c r="G442" s="3" t="s">
        <v>1</v>
      </c>
      <c r="H442" t="e">
        <v>#N/A</v>
      </c>
      <c r="I442" t="e">
        <v>#N/A</v>
      </c>
      <c r="J442" t="e">
        <v>#N/A</v>
      </c>
      <c r="K442">
        <v>0.20774647900000001</v>
      </c>
      <c r="L442">
        <v>0.5</v>
      </c>
      <c r="M442">
        <v>9.6004338999999994E-2</v>
      </c>
      <c r="N442" t="e">
        <v>#N/A</v>
      </c>
      <c r="O442" t="e">
        <v>#N/A</v>
      </c>
    </row>
    <row r="443" spans="1:15" x14ac:dyDescent="0.25">
      <c r="A443" t="s">
        <v>16</v>
      </c>
      <c r="B443" t="s">
        <v>23</v>
      </c>
      <c r="C443" s="3" t="str">
        <f>IF($B443="GW1",VLOOKUP($A443,Matches!$A:$AC,2,FALSE),IF($B443="GW2",VLOOKUP($A443,Matches!$A:$AC,9,FALSE),IF($B443="GW3",VLOOKUP($A443,Matches!$A:$AC,16,FALSE))))</f>
        <v>Arsenal</v>
      </c>
      <c r="D443" s="6">
        <v>0.25482251611752416</v>
      </c>
      <c r="E443" s="6">
        <v>0.49534376857539131</v>
      </c>
      <c r="F443" s="6">
        <v>-0.24052125245786715</v>
      </c>
      <c r="G443" s="3" t="s">
        <v>1</v>
      </c>
      <c r="H443" t="e">
        <v>#N/A</v>
      </c>
      <c r="I443" t="e">
        <v>#N/A</v>
      </c>
      <c r="J443">
        <v>0.173160173</v>
      </c>
      <c r="K443">
        <v>0.20774647900000001</v>
      </c>
      <c r="L443">
        <v>0.5</v>
      </c>
      <c r="M443">
        <v>9.6004338999999994E-2</v>
      </c>
      <c r="N443" t="e">
        <v>#N/A</v>
      </c>
      <c r="O443" t="e">
        <v>#N/A</v>
      </c>
    </row>
    <row r="444" spans="1:15" x14ac:dyDescent="0.25">
      <c r="A444" t="s">
        <v>16</v>
      </c>
      <c r="B444" t="s">
        <v>23</v>
      </c>
      <c r="C444" s="3" t="str">
        <f>IF($B444="GW1",VLOOKUP($A444,Matches!$A:$AC,2,FALSE),IF($B444="GW2",VLOOKUP($A444,Matches!$A:$AC,9,FALSE),IF($B444="GW3",VLOOKUP($A444,Matches!$A:$AC,16,FALSE))))</f>
        <v>Arsenal</v>
      </c>
      <c r="D444" s="6">
        <v>0.25482251611752416</v>
      </c>
      <c r="E444" s="6">
        <v>0.49534376857539131</v>
      </c>
      <c r="F444" s="6">
        <v>-0.24052125245786715</v>
      </c>
      <c r="G444" s="3" t="s">
        <v>1</v>
      </c>
      <c r="H444" t="e">
        <v>#N/A</v>
      </c>
      <c r="I444" t="e">
        <v>#N/A</v>
      </c>
      <c r="J444">
        <v>0.173160173</v>
      </c>
      <c r="K444">
        <v>0.20774647900000001</v>
      </c>
      <c r="L444">
        <v>0.5</v>
      </c>
      <c r="M444">
        <v>9.6004338999999994E-2</v>
      </c>
      <c r="N444" t="e">
        <v>#N/A</v>
      </c>
      <c r="O444" t="e">
        <v>#N/A</v>
      </c>
    </row>
    <row r="445" spans="1:15" x14ac:dyDescent="0.25">
      <c r="A445" t="s">
        <v>16</v>
      </c>
      <c r="B445" t="s">
        <v>23</v>
      </c>
      <c r="C445" s="3" t="str">
        <f>IF($B445="GW1",VLOOKUP($A445,Matches!$A:$AC,2,FALSE),IF($B445="GW2",VLOOKUP($A445,Matches!$A:$AC,9,FALSE),IF($B445="GW3",VLOOKUP($A445,Matches!$A:$AC,16,FALSE))))</f>
        <v>Arsenal</v>
      </c>
      <c r="D445" s="6">
        <v>0.25482251611752416</v>
      </c>
      <c r="E445" s="6">
        <v>0.49534376857539131</v>
      </c>
      <c r="F445" s="6">
        <v>-0.24052125245786715</v>
      </c>
      <c r="G445" s="3" t="s">
        <v>1</v>
      </c>
      <c r="H445">
        <v>7.9365079000000005E-2</v>
      </c>
      <c r="I445">
        <v>2.3228803999999999E-2</v>
      </c>
      <c r="J445">
        <v>0.21164021199999999</v>
      </c>
      <c r="K445">
        <v>0.20774647900000001</v>
      </c>
      <c r="L445">
        <v>0.5</v>
      </c>
      <c r="M445">
        <v>9.6004338999999994E-2</v>
      </c>
      <c r="N445" t="e">
        <v>#N/A</v>
      </c>
      <c r="O445" t="e">
        <v>#N/A</v>
      </c>
    </row>
    <row r="446" spans="1:15" x14ac:dyDescent="0.25">
      <c r="A446" t="s">
        <v>16</v>
      </c>
      <c r="B446" t="s">
        <v>23</v>
      </c>
      <c r="C446" s="3" t="str">
        <f>IF($B446="GW1",VLOOKUP($A446,Matches!$A:$AC,2,FALSE),IF($B446="GW2",VLOOKUP($A446,Matches!$A:$AC,9,FALSE),IF($B446="GW3",VLOOKUP($A446,Matches!$A:$AC,16,FALSE))))</f>
        <v>Arsenal</v>
      </c>
      <c r="D446" s="6">
        <v>0.25482251611752416</v>
      </c>
      <c r="E446" s="6">
        <v>0.49534376857539131</v>
      </c>
      <c r="F446" s="6">
        <v>-0.24052125245786715</v>
      </c>
      <c r="G446" s="3" t="s">
        <v>1</v>
      </c>
      <c r="H446" t="e">
        <v>#N/A</v>
      </c>
      <c r="I446" t="e">
        <v>#N/A</v>
      </c>
      <c r="J446" t="e">
        <v>#N/A</v>
      </c>
      <c r="K446">
        <v>0.20774647900000001</v>
      </c>
      <c r="L446">
        <v>0.5</v>
      </c>
      <c r="M446">
        <v>9.6004338999999994E-2</v>
      </c>
      <c r="N446" t="e">
        <v>#N/A</v>
      </c>
      <c r="O446" t="e">
        <v>#N/A</v>
      </c>
    </row>
    <row r="447" spans="1:15" x14ac:dyDescent="0.25">
      <c r="A447" t="s">
        <v>16</v>
      </c>
      <c r="B447" t="s">
        <v>23</v>
      </c>
      <c r="C447" s="3" t="str">
        <f>IF($B447="GW1",VLOOKUP($A447,Matches!$A:$AC,2,FALSE),IF($B447="GW2",VLOOKUP($A447,Matches!$A:$AC,9,FALSE),IF($B447="GW3",VLOOKUP($A447,Matches!$A:$AC,16,FALSE))))</f>
        <v>Arsenal</v>
      </c>
      <c r="D447" s="6">
        <v>0.25482251611752416</v>
      </c>
      <c r="E447" s="6">
        <v>0.49534376857539131</v>
      </c>
      <c r="F447" s="6">
        <v>-0.24052125245786715</v>
      </c>
      <c r="G447" s="3" t="s">
        <v>1</v>
      </c>
      <c r="H447">
        <v>6.3492063000000001E-2</v>
      </c>
      <c r="I447">
        <v>5.0125312999999998E-2</v>
      </c>
      <c r="J447">
        <v>0.253968254</v>
      </c>
      <c r="K447">
        <v>0.20774647900000001</v>
      </c>
      <c r="L447">
        <v>0.5</v>
      </c>
      <c r="M447">
        <v>9.6004338999999994E-2</v>
      </c>
      <c r="N447" t="e">
        <v>#N/A</v>
      </c>
      <c r="O447" t="e">
        <v>#N/A</v>
      </c>
    </row>
    <row r="448" spans="1:15" x14ac:dyDescent="0.25">
      <c r="A448" t="s">
        <v>16</v>
      </c>
      <c r="B448" t="s">
        <v>23</v>
      </c>
      <c r="C448" s="3" t="str">
        <f>IF($B448="GW1",VLOOKUP($A448,Matches!$A:$AC,2,FALSE),IF($B448="GW2",VLOOKUP($A448,Matches!$A:$AC,9,FALSE),IF($B448="GW3",VLOOKUP($A448,Matches!$A:$AC,16,FALSE))))</f>
        <v>Arsenal</v>
      </c>
      <c r="D448" s="6">
        <v>0.25482251611752416</v>
      </c>
      <c r="E448" s="6">
        <v>0.49534376857539131</v>
      </c>
      <c r="F448" s="6">
        <v>-0.24052125245786715</v>
      </c>
      <c r="G448" s="3" t="s">
        <v>1</v>
      </c>
      <c r="H448" t="e">
        <v>#N/A</v>
      </c>
      <c r="I448" t="e">
        <v>#N/A</v>
      </c>
      <c r="J448" t="e">
        <v>#N/A</v>
      </c>
      <c r="K448">
        <v>0.20774647900000001</v>
      </c>
      <c r="L448">
        <v>0.5</v>
      </c>
      <c r="M448">
        <v>9.6004338999999994E-2</v>
      </c>
      <c r="N448" t="e">
        <v>#N/A</v>
      </c>
      <c r="O448" t="e">
        <v>#N/A</v>
      </c>
    </row>
    <row r="449" spans="1:15" x14ac:dyDescent="0.25">
      <c r="A449" t="s">
        <v>16</v>
      </c>
      <c r="B449" t="s">
        <v>23</v>
      </c>
      <c r="C449" s="3" t="str">
        <f>IF($B449="GW1",VLOOKUP($A449,Matches!$A:$AC,2,FALSE),IF($B449="GW2",VLOOKUP($A449,Matches!$A:$AC,9,FALSE),IF($B449="GW3",VLOOKUP($A449,Matches!$A:$AC,16,FALSE))))</f>
        <v>Arsenal</v>
      </c>
      <c r="D449" s="6">
        <v>0.25482251611752416</v>
      </c>
      <c r="E449" s="6">
        <v>0.49534376857539131</v>
      </c>
      <c r="F449" s="6">
        <v>-0.24052125245786715</v>
      </c>
      <c r="G449" s="3" t="s">
        <v>1</v>
      </c>
      <c r="H449" t="e">
        <v>#N/A</v>
      </c>
      <c r="I449" t="e">
        <v>#N/A</v>
      </c>
      <c r="J449" t="e">
        <v>#N/A</v>
      </c>
      <c r="K449">
        <v>0.20774647900000001</v>
      </c>
      <c r="L449">
        <v>0.5</v>
      </c>
      <c r="M449">
        <v>9.6004338999999994E-2</v>
      </c>
      <c r="N449" t="e">
        <v>#N/A</v>
      </c>
      <c r="O449" t="e">
        <v>#N/A</v>
      </c>
    </row>
    <row r="450" spans="1:15" x14ac:dyDescent="0.25">
      <c r="A450" t="s">
        <v>16</v>
      </c>
      <c r="B450" t="s">
        <v>23</v>
      </c>
      <c r="C450" s="3" t="str">
        <f>IF($B450="GW1",VLOOKUP($A450,Matches!$A:$AC,2,FALSE),IF($B450="GW2",VLOOKUP($A450,Matches!$A:$AC,9,FALSE),IF($B450="GW3",VLOOKUP($A450,Matches!$A:$AC,16,FALSE))))</f>
        <v>Arsenal</v>
      </c>
      <c r="D450" s="6">
        <v>0.25482251611752416</v>
      </c>
      <c r="E450" s="6">
        <v>0.49534376857539131</v>
      </c>
      <c r="F450" s="6">
        <v>-0.24052125245786715</v>
      </c>
      <c r="G450" s="3" t="s">
        <v>1</v>
      </c>
      <c r="H450">
        <v>8.6580087E-2</v>
      </c>
      <c r="I450">
        <v>9.5238094999999995E-2</v>
      </c>
      <c r="J450">
        <v>0.23809523799999999</v>
      </c>
      <c r="K450">
        <v>0.20774647900000001</v>
      </c>
      <c r="L450">
        <v>0.5</v>
      </c>
      <c r="M450">
        <v>9.6004338999999994E-2</v>
      </c>
      <c r="N450" t="e">
        <v>#N/A</v>
      </c>
      <c r="O450" t="e">
        <v>#N/A</v>
      </c>
    </row>
    <row r="451" spans="1:15" x14ac:dyDescent="0.25">
      <c r="A451" t="s">
        <v>16</v>
      </c>
      <c r="B451" t="s">
        <v>23</v>
      </c>
      <c r="C451" s="3" t="str">
        <f>IF($B451="GW1",VLOOKUP($A451,Matches!$A:$AC,2,FALSE),IF($B451="GW2",VLOOKUP($A451,Matches!$A:$AC,9,FALSE),IF($B451="GW3",VLOOKUP($A451,Matches!$A:$AC,16,FALSE))))</f>
        <v>Arsenal</v>
      </c>
      <c r="D451" s="6">
        <v>0.25482251611752416</v>
      </c>
      <c r="E451" s="6">
        <v>0.49534376857539131</v>
      </c>
      <c r="F451" s="6">
        <v>-0.24052125245786715</v>
      </c>
      <c r="G451" s="3" t="s">
        <v>1</v>
      </c>
      <c r="H451">
        <v>7.9365079000000005E-2</v>
      </c>
      <c r="I451">
        <v>3.2840722000000003E-2</v>
      </c>
      <c r="J451">
        <v>0.28011204499999998</v>
      </c>
      <c r="K451">
        <v>0.20774647900000001</v>
      </c>
      <c r="L451">
        <v>0.5</v>
      </c>
      <c r="M451">
        <v>9.6004338999999994E-2</v>
      </c>
      <c r="N451" t="e">
        <v>#N/A</v>
      </c>
      <c r="O451" t="e">
        <v>#N/A</v>
      </c>
    </row>
    <row r="452" spans="1:15" x14ac:dyDescent="0.25">
      <c r="A452" t="s">
        <v>16</v>
      </c>
      <c r="B452" t="s">
        <v>23</v>
      </c>
      <c r="C452" s="3" t="str">
        <f>IF($B452="GW1",VLOOKUP($A452,Matches!$A:$AC,2,FALSE),IF($B452="GW2",VLOOKUP($A452,Matches!$A:$AC,9,FALSE),IF($B452="GW3",VLOOKUP($A452,Matches!$A:$AC,16,FALSE))))</f>
        <v>Arsenal</v>
      </c>
      <c r="D452" s="6">
        <v>0.25482251611752416</v>
      </c>
      <c r="E452" s="6">
        <v>0.49534376857539131</v>
      </c>
      <c r="F452" s="6">
        <v>-0.24052125245786715</v>
      </c>
      <c r="G452" s="3" t="s">
        <v>1</v>
      </c>
      <c r="H452">
        <v>6.3492063000000001E-2</v>
      </c>
      <c r="I452">
        <v>7.3260072999999995E-2</v>
      </c>
      <c r="J452">
        <v>0.39682539700000002</v>
      </c>
      <c r="K452">
        <v>0.20774647900000001</v>
      </c>
      <c r="L452">
        <v>0.5</v>
      </c>
      <c r="M452">
        <v>9.6004338999999994E-2</v>
      </c>
      <c r="N452" t="e">
        <v>#N/A</v>
      </c>
      <c r="O452" t="e">
        <v>#N/A</v>
      </c>
    </row>
    <row r="453" spans="1:15" x14ac:dyDescent="0.25">
      <c r="A453" t="s">
        <v>16</v>
      </c>
      <c r="B453" t="s">
        <v>23</v>
      </c>
      <c r="C453" s="3" t="str">
        <f>IF($B453="GW1",VLOOKUP($A453,Matches!$A:$AC,2,FALSE),IF($B453="GW2",VLOOKUP($A453,Matches!$A:$AC,9,FALSE),IF($B453="GW3",VLOOKUP($A453,Matches!$A:$AC,16,FALSE))))</f>
        <v>Arsenal</v>
      </c>
      <c r="D453" s="6">
        <v>0.25482251611752416</v>
      </c>
      <c r="E453" s="6">
        <v>0.49534376857539131</v>
      </c>
      <c r="F453" s="6">
        <v>-0.24052125245786715</v>
      </c>
      <c r="G453" s="3" t="s">
        <v>1</v>
      </c>
      <c r="H453">
        <v>7.9365079000000005E-2</v>
      </c>
      <c r="I453">
        <v>3.2840722000000003E-2</v>
      </c>
      <c r="J453">
        <v>0.21164021199999999</v>
      </c>
      <c r="K453">
        <v>0.20774647900000001</v>
      </c>
      <c r="L453">
        <v>0.5</v>
      </c>
      <c r="M453">
        <v>9.6004338999999994E-2</v>
      </c>
      <c r="N453" t="e">
        <v>#N/A</v>
      </c>
      <c r="O453" t="e">
        <v>#N/A</v>
      </c>
    </row>
    <row r="454" spans="1:15" x14ac:dyDescent="0.25">
      <c r="A454" t="s">
        <v>16</v>
      </c>
      <c r="B454" t="s">
        <v>23</v>
      </c>
      <c r="C454" s="3" t="str">
        <f>IF($B454="GW1",VLOOKUP($A454,Matches!$A:$AC,2,FALSE),IF($B454="GW2",VLOOKUP($A454,Matches!$A:$AC,9,FALSE),IF($B454="GW3",VLOOKUP($A454,Matches!$A:$AC,16,FALSE))))</f>
        <v>Arsenal</v>
      </c>
      <c r="D454" s="6">
        <v>0.25482251611752416</v>
      </c>
      <c r="E454" s="6">
        <v>0.49534376857539131</v>
      </c>
      <c r="F454" s="6">
        <v>-0.24052125245786715</v>
      </c>
      <c r="G454" s="3" t="s">
        <v>1</v>
      </c>
      <c r="H454" t="e">
        <v>#N/A</v>
      </c>
      <c r="I454" t="e">
        <v>#N/A</v>
      </c>
      <c r="J454" t="e">
        <v>#N/A</v>
      </c>
      <c r="K454">
        <v>0.20774647900000001</v>
      </c>
      <c r="L454">
        <v>0.5</v>
      </c>
      <c r="M454">
        <v>9.6004338999999994E-2</v>
      </c>
      <c r="N454" t="e">
        <v>#N/A</v>
      </c>
      <c r="O454" t="e">
        <v>#N/A</v>
      </c>
    </row>
    <row r="455" spans="1:15" x14ac:dyDescent="0.25">
      <c r="A455" t="s">
        <v>16</v>
      </c>
      <c r="B455" t="s">
        <v>23</v>
      </c>
      <c r="C455" s="3" t="str">
        <f>IF($B455="GW1",VLOOKUP($A455,Matches!$A:$AC,2,FALSE),IF($B455="GW2",VLOOKUP($A455,Matches!$A:$AC,9,FALSE),IF($B455="GW3",VLOOKUP($A455,Matches!$A:$AC,16,FALSE))))</f>
        <v>Arsenal</v>
      </c>
      <c r="D455" s="6">
        <v>0.25482251611752416</v>
      </c>
      <c r="E455" s="6">
        <v>0.49534376857539131</v>
      </c>
      <c r="F455" s="6">
        <v>-0.24052125245786715</v>
      </c>
      <c r="G455" s="3" t="s">
        <v>1</v>
      </c>
      <c r="H455" t="e">
        <v>#N/A</v>
      </c>
      <c r="I455" t="e">
        <v>#N/A</v>
      </c>
      <c r="J455" t="e">
        <v>#N/A</v>
      </c>
      <c r="K455">
        <v>0.20774647900000001</v>
      </c>
      <c r="L455">
        <v>0.5</v>
      </c>
      <c r="M455">
        <v>9.6004338999999994E-2</v>
      </c>
      <c r="N455" t="e">
        <v>#N/A</v>
      </c>
      <c r="O455" t="e">
        <v>#N/A</v>
      </c>
    </row>
    <row r="456" spans="1:15" x14ac:dyDescent="0.25">
      <c r="A456" t="s">
        <v>16</v>
      </c>
      <c r="B456" t="s">
        <v>23</v>
      </c>
      <c r="C456" s="3" t="str">
        <f>IF($B456="GW1",VLOOKUP($A456,Matches!$A:$AC,2,FALSE),IF($B456="GW2",VLOOKUP($A456,Matches!$A:$AC,9,FALSE),IF($B456="GW3",VLOOKUP($A456,Matches!$A:$AC,16,FALSE))))</f>
        <v>Arsenal</v>
      </c>
      <c r="D456" s="6">
        <v>0.25482251611752416</v>
      </c>
      <c r="E456" s="6">
        <v>0.49534376857539131</v>
      </c>
      <c r="F456" s="6">
        <v>-0.24052125245786715</v>
      </c>
      <c r="G456" s="3" t="s">
        <v>1</v>
      </c>
      <c r="H456" t="e">
        <v>#N/A</v>
      </c>
      <c r="I456" t="e">
        <v>#N/A</v>
      </c>
      <c r="J456">
        <v>0.21164021199999999</v>
      </c>
      <c r="K456">
        <v>0.20774647900000001</v>
      </c>
      <c r="L456">
        <v>0.5</v>
      </c>
      <c r="M456">
        <v>9.6004338999999994E-2</v>
      </c>
      <c r="N456" t="e">
        <v>#N/A</v>
      </c>
      <c r="O456" t="e">
        <v>#N/A</v>
      </c>
    </row>
    <row r="457" spans="1:15" x14ac:dyDescent="0.25">
      <c r="A457" t="s">
        <v>16</v>
      </c>
      <c r="B457" t="s">
        <v>23</v>
      </c>
      <c r="C457" s="3" t="str">
        <f>IF($B457="GW1",VLOOKUP($A457,Matches!$A:$AC,2,FALSE),IF($B457="GW2",VLOOKUP($A457,Matches!$A:$AC,9,FALSE),IF($B457="GW3",VLOOKUP($A457,Matches!$A:$AC,16,FALSE))))</f>
        <v>Arsenal</v>
      </c>
      <c r="D457" s="6">
        <v>0.25482251611752416</v>
      </c>
      <c r="E457" s="6">
        <v>0.49534376857539131</v>
      </c>
      <c r="F457" s="6">
        <v>-0.24052125245786715</v>
      </c>
      <c r="G457" s="3" t="s">
        <v>1</v>
      </c>
      <c r="H457" t="e">
        <v>#N/A</v>
      </c>
      <c r="I457" t="e">
        <v>#N/A</v>
      </c>
      <c r="J457" t="e">
        <v>#N/A</v>
      </c>
      <c r="K457">
        <v>0.20774647900000001</v>
      </c>
      <c r="L457">
        <v>0.5</v>
      </c>
      <c r="M457">
        <v>9.6004338999999994E-2</v>
      </c>
      <c r="N457" t="e">
        <v>#N/A</v>
      </c>
      <c r="O457" t="e">
        <v>#N/A</v>
      </c>
    </row>
    <row r="458" spans="1:15" x14ac:dyDescent="0.25">
      <c r="A458" t="s">
        <v>16</v>
      </c>
      <c r="B458" t="s">
        <v>23</v>
      </c>
      <c r="C458" s="3" t="str">
        <f>IF($B458="GW1",VLOOKUP($A458,Matches!$A:$AC,2,FALSE),IF($B458="GW2",VLOOKUP($A458,Matches!$A:$AC,9,FALSE),IF($B458="GW3",VLOOKUP($A458,Matches!$A:$AC,16,FALSE))))</f>
        <v>Arsenal</v>
      </c>
      <c r="D458" s="6">
        <v>0.25482251611752416</v>
      </c>
      <c r="E458" s="6">
        <v>0.49534376857539131</v>
      </c>
      <c r="F458" s="6">
        <v>-0.24052125245786715</v>
      </c>
      <c r="G458" s="3" t="s">
        <v>1</v>
      </c>
      <c r="H458">
        <v>0.23809523799999999</v>
      </c>
      <c r="I458">
        <v>0.173160173</v>
      </c>
      <c r="J458">
        <v>0.31746031699999999</v>
      </c>
      <c r="K458">
        <v>0.20774647900000001</v>
      </c>
      <c r="L458">
        <v>0.5</v>
      </c>
      <c r="M458">
        <v>9.6004338999999994E-2</v>
      </c>
      <c r="N458" t="e">
        <v>#N/A</v>
      </c>
      <c r="O458" t="e">
        <v>#N/A</v>
      </c>
    </row>
    <row r="459" spans="1:15" x14ac:dyDescent="0.25">
      <c r="A459" t="s">
        <v>16</v>
      </c>
      <c r="B459" t="s">
        <v>23</v>
      </c>
      <c r="C459" s="3" t="str">
        <f>IF($B459="GW1",VLOOKUP($A459,Matches!$A:$AC,2,FALSE),IF($B459="GW2",VLOOKUP($A459,Matches!$A:$AC,9,FALSE),IF($B459="GW3",VLOOKUP($A459,Matches!$A:$AC,16,FALSE))))</f>
        <v>Arsenal</v>
      </c>
      <c r="D459" s="6">
        <v>0.25482251611752416</v>
      </c>
      <c r="E459" s="6">
        <v>0.49534376857539131</v>
      </c>
      <c r="F459" s="6">
        <v>-0.24052125245786715</v>
      </c>
      <c r="G459" s="3" t="s">
        <v>1</v>
      </c>
      <c r="H459">
        <v>0.21994941200000001</v>
      </c>
      <c r="I459">
        <v>0.173160173</v>
      </c>
      <c r="J459">
        <v>0.28011204499999998</v>
      </c>
      <c r="K459">
        <v>0.20774647900000001</v>
      </c>
      <c r="L459">
        <v>0.5</v>
      </c>
      <c r="M459">
        <v>9.6004338999999994E-2</v>
      </c>
      <c r="N459" t="e">
        <v>#N/A</v>
      </c>
      <c r="O459" t="e">
        <v>#N/A</v>
      </c>
    </row>
    <row r="460" spans="1:15" x14ac:dyDescent="0.25">
      <c r="A460" t="s">
        <v>16</v>
      </c>
      <c r="B460" t="s">
        <v>23</v>
      </c>
      <c r="C460" s="3" t="str">
        <f>IF($B460="GW1",VLOOKUP($A460,Matches!$A:$AC,2,FALSE),IF($B460="GW2",VLOOKUP($A460,Matches!$A:$AC,9,FALSE),IF($B460="GW3",VLOOKUP($A460,Matches!$A:$AC,16,FALSE))))</f>
        <v>Arsenal</v>
      </c>
      <c r="D460" s="6">
        <v>0.25482251611752416</v>
      </c>
      <c r="E460" s="6">
        <v>0.49534376857539131</v>
      </c>
      <c r="F460" s="6">
        <v>-0.24052125245786715</v>
      </c>
      <c r="G460" s="3" t="s">
        <v>1</v>
      </c>
      <c r="H460" t="e">
        <v>#N/A</v>
      </c>
      <c r="I460" t="e">
        <v>#N/A</v>
      </c>
      <c r="J460" t="e">
        <v>#N/A</v>
      </c>
      <c r="K460">
        <v>0.20774647900000001</v>
      </c>
      <c r="L460">
        <v>0.5</v>
      </c>
      <c r="M460">
        <v>9.6004338999999994E-2</v>
      </c>
      <c r="N460" t="e">
        <v>#N/A</v>
      </c>
      <c r="O460" t="e">
        <v>#N/A</v>
      </c>
    </row>
    <row r="461" spans="1:15" x14ac:dyDescent="0.25">
      <c r="A461" t="s">
        <v>16</v>
      </c>
      <c r="B461" t="s">
        <v>23</v>
      </c>
      <c r="C461" s="3" t="str">
        <f>IF($B461="GW1",VLOOKUP($A461,Matches!$A:$AC,2,FALSE),IF($B461="GW2",VLOOKUP($A461,Matches!$A:$AC,9,FALSE),IF($B461="GW3",VLOOKUP($A461,Matches!$A:$AC,16,FALSE))))</f>
        <v>Arsenal</v>
      </c>
      <c r="D461" s="6">
        <v>0.25482251611752416</v>
      </c>
      <c r="E461" s="6">
        <v>0.49534376857539131</v>
      </c>
      <c r="F461" s="6">
        <v>-0.24052125245786715</v>
      </c>
      <c r="G461" s="3" t="s">
        <v>1</v>
      </c>
      <c r="H461">
        <v>0.21994941200000001</v>
      </c>
      <c r="I461">
        <v>0.13605442200000001</v>
      </c>
      <c r="J461">
        <v>0.173160173</v>
      </c>
      <c r="K461">
        <v>0.20774647900000001</v>
      </c>
      <c r="L461">
        <v>0.5</v>
      </c>
      <c r="M461">
        <v>9.6004338999999994E-2</v>
      </c>
      <c r="N461" t="e">
        <v>#N/A</v>
      </c>
      <c r="O461" t="e">
        <v>#N/A</v>
      </c>
    </row>
    <row r="462" spans="1:15" x14ac:dyDescent="0.25">
      <c r="A462" t="s">
        <v>16</v>
      </c>
      <c r="B462" t="s">
        <v>23</v>
      </c>
      <c r="C462" s="3" t="str">
        <f>IF($B462="GW1",VLOOKUP($A462,Matches!$A:$AC,2,FALSE),IF($B462="GW2",VLOOKUP($A462,Matches!$A:$AC,9,FALSE),IF($B462="GW3",VLOOKUP($A462,Matches!$A:$AC,16,FALSE))))</f>
        <v>Arsenal</v>
      </c>
      <c r="D462" s="6">
        <v>0.25482251611752416</v>
      </c>
      <c r="E462" s="6">
        <v>0.49534376857539131</v>
      </c>
      <c r="F462" s="6">
        <v>-0.24052125245786715</v>
      </c>
      <c r="G462" s="3" t="s">
        <v>1</v>
      </c>
      <c r="H462" t="e">
        <v>#N/A</v>
      </c>
      <c r="I462" t="e">
        <v>#N/A</v>
      </c>
      <c r="J462" t="e">
        <v>#N/A</v>
      </c>
      <c r="K462">
        <v>0.20774647900000001</v>
      </c>
      <c r="L462">
        <v>0.5</v>
      </c>
      <c r="M462">
        <v>9.6004338999999994E-2</v>
      </c>
      <c r="N462" t="e">
        <v>#N/A</v>
      </c>
      <c r="O462" t="e">
        <v>#N/A</v>
      </c>
    </row>
    <row r="463" spans="1:15" x14ac:dyDescent="0.25">
      <c r="A463" t="s">
        <v>16</v>
      </c>
      <c r="B463" t="s">
        <v>23</v>
      </c>
      <c r="C463" s="3" t="str">
        <f>IF($B463="GW1",VLOOKUP($A463,Matches!$A:$AC,2,FALSE),IF($B463="GW2",VLOOKUP($A463,Matches!$A:$AC,9,FALSE),IF($B463="GW3",VLOOKUP($A463,Matches!$A:$AC,16,FALSE))))</f>
        <v>Arsenal</v>
      </c>
      <c r="D463" s="6">
        <v>0.25482251611752416</v>
      </c>
      <c r="E463" s="6">
        <v>0.49534376857539131</v>
      </c>
      <c r="F463" s="6">
        <v>-0.24052125245786715</v>
      </c>
      <c r="G463" s="3" t="s">
        <v>1</v>
      </c>
      <c r="H463" t="e">
        <v>#N/A</v>
      </c>
      <c r="I463" t="e">
        <v>#N/A</v>
      </c>
      <c r="J463" t="e">
        <v>#N/A</v>
      </c>
      <c r="K463">
        <v>0.20774647900000001</v>
      </c>
      <c r="L463">
        <v>0.5</v>
      </c>
      <c r="M463">
        <v>9.6004338999999994E-2</v>
      </c>
      <c r="N463" t="e">
        <v>#N/A</v>
      </c>
      <c r="O463" t="e">
        <v>#N/A</v>
      </c>
    </row>
    <row r="464" spans="1:15" x14ac:dyDescent="0.25">
      <c r="A464" t="s">
        <v>16</v>
      </c>
      <c r="B464" t="s">
        <v>23</v>
      </c>
      <c r="C464" s="3" t="str">
        <f>IF($B464="GW1",VLOOKUP($A464,Matches!$A:$AC,2,FALSE),IF($B464="GW2",VLOOKUP($A464,Matches!$A:$AC,9,FALSE),IF($B464="GW3",VLOOKUP($A464,Matches!$A:$AC,16,FALSE))))</f>
        <v>Arsenal</v>
      </c>
      <c r="D464" s="6">
        <v>0.25482251611752416</v>
      </c>
      <c r="E464" s="6">
        <v>0.49534376857539131</v>
      </c>
      <c r="F464" s="6">
        <v>-0.24052125245786715</v>
      </c>
      <c r="G464" s="3" t="s">
        <v>1</v>
      </c>
      <c r="H464">
        <v>0.11904761899999999</v>
      </c>
      <c r="I464">
        <v>9.5238094999999995E-2</v>
      </c>
      <c r="J464">
        <v>0.253968254</v>
      </c>
      <c r="K464">
        <v>0.20774647900000001</v>
      </c>
      <c r="L464">
        <v>0.5</v>
      </c>
      <c r="M464">
        <v>9.6004338999999994E-2</v>
      </c>
      <c r="N464" t="e">
        <v>#N/A</v>
      </c>
      <c r="O464" t="e">
        <v>#N/A</v>
      </c>
    </row>
    <row r="465" spans="1:15" x14ac:dyDescent="0.25">
      <c r="A465" t="s">
        <v>16</v>
      </c>
      <c r="B465" t="s">
        <v>23</v>
      </c>
      <c r="C465" s="3" t="str">
        <f>IF($B465="GW1",VLOOKUP($A465,Matches!$A:$AC,2,FALSE),IF($B465="GW2",VLOOKUP($A465,Matches!$A:$AC,9,FALSE),IF($B465="GW3",VLOOKUP($A465,Matches!$A:$AC,16,FALSE))))</f>
        <v>Arsenal</v>
      </c>
      <c r="D465" s="6">
        <v>0.25482251611752416</v>
      </c>
      <c r="E465" s="6">
        <v>0.49534376857539131</v>
      </c>
      <c r="F465" s="6">
        <v>-0.24052125245786715</v>
      </c>
      <c r="G465" s="3" t="s">
        <v>1</v>
      </c>
      <c r="H465" t="e">
        <v>#N/A</v>
      </c>
      <c r="I465" t="e">
        <v>#N/A</v>
      </c>
      <c r="J465" t="e">
        <v>#N/A</v>
      </c>
      <c r="K465">
        <v>0.20774647900000001</v>
      </c>
      <c r="L465">
        <v>0.5</v>
      </c>
      <c r="M465">
        <v>9.6004338999999994E-2</v>
      </c>
      <c r="N465" t="e">
        <v>#N/A</v>
      </c>
      <c r="O465" t="e">
        <v>#N/A</v>
      </c>
    </row>
    <row r="466" spans="1:15" x14ac:dyDescent="0.25">
      <c r="A466" t="s">
        <v>16</v>
      </c>
      <c r="B466" t="s">
        <v>23</v>
      </c>
      <c r="C466" s="3" t="str">
        <f>IF($B466="GW1",VLOOKUP($A466,Matches!$A:$AC,2,FALSE),IF($B466="GW2",VLOOKUP($A466,Matches!$A:$AC,9,FALSE),IF($B466="GW3",VLOOKUP($A466,Matches!$A:$AC,16,FALSE))))</f>
        <v>Arsenal</v>
      </c>
      <c r="D466" s="6">
        <v>0.25482251611752416</v>
      </c>
      <c r="E466" s="6">
        <v>0.49534376857539131</v>
      </c>
      <c r="F466" s="6">
        <v>-0.24052125245786715</v>
      </c>
      <c r="G466" s="3" t="s">
        <v>1</v>
      </c>
      <c r="H466">
        <v>7.9365079000000005E-2</v>
      </c>
      <c r="I466">
        <v>9.5238094999999995E-2</v>
      </c>
      <c r="J466">
        <v>0.39682539700000002</v>
      </c>
      <c r="K466">
        <v>0.20774647900000001</v>
      </c>
      <c r="L466">
        <v>0.5</v>
      </c>
      <c r="M466">
        <v>9.6004338999999994E-2</v>
      </c>
      <c r="N466" t="e">
        <v>#N/A</v>
      </c>
      <c r="O466" t="e">
        <v>#N/A</v>
      </c>
    </row>
    <row r="467" spans="1:15" x14ac:dyDescent="0.25">
      <c r="A467" t="s">
        <v>16</v>
      </c>
      <c r="B467" t="s">
        <v>23</v>
      </c>
      <c r="C467" s="3" t="str">
        <f>IF($B467="GW1",VLOOKUP($A467,Matches!$A:$AC,2,FALSE),IF($B467="GW2",VLOOKUP($A467,Matches!$A:$AC,9,FALSE),IF($B467="GW3",VLOOKUP($A467,Matches!$A:$AC,16,FALSE))))</f>
        <v>Arsenal</v>
      </c>
      <c r="D467" s="6">
        <v>0.25482251611752416</v>
      </c>
      <c r="E467" s="6">
        <v>0.49534376857539131</v>
      </c>
      <c r="F467" s="6">
        <v>-0.24052125245786715</v>
      </c>
      <c r="G467" s="3" t="s">
        <v>1</v>
      </c>
      <c r="H467">
        <v>0.11904761899999999</v>
      </c>
      <c r="I467">
        <v>6.3492063000000001E-2</v>
      </c>
      <c r="J467">
        <v>0.28011204499999998</v>
      </c>
      <c r="K467">
        <v>0.20774647900000001</v>
      </c>
      <c r="L467">
        <v>0.5</v>
      </c>
      <c r="M467">
        <v>9.6004338999999994E-2</v>
      </c>
      <c r="N467" t="e">
        <v>#N/A</v>
      </c>
      <c r="O467" t="e">
        <v>#N/A</v>
      </c>
    </row>
    <row r="468" spans="1:15" x14ac:dyDescent="0.25">
      <c r="A468" t="s">
        <v>16</v>
      </c>
      <c r="B468" t="s">
        <v>23</v>
      </c>
      <c r="C468" s="3" t="str">
        <f>IF($B468="GW1",VLOOKUP($A468,Matches!$A:$AC,2,FALSE),IF($B468="GW2",VLOOKUP($A468,Matches!$A:$AC,9,FALSE),IF($B468="GW3",VLOOKUP($A468,Matches!$A:$AC,16,FALSE))))</f>
        <v>Arsenal</v>
      </c>
      <c r="D468" s="6">
        <v>0.25482251611752416</v>
      </c>
      <c r="E468" s="6">
        <v>0.49534376857539131</v>
      </c>
      <c r="F468" s="6">
        <v>-0.24052125245786715</v>
      </c>
      <c r="G468" s="3" t="s">
        <v>1</v>
      </c>
      <c r="H468">
        <v>7.9365079000000005E-2</v>
      </c>
      <c r="I468">
        <v>6.3492063000000001E-2</v>
      </c>
      <c r="J468">
        <v>0.31746031699999999</v>
      </c>
      <c r="K468">
        <v>0.20774647900000001</v>
      </c>
      <c r="L468">
        <v>0.5</v>
      </c>
      <c r="M468">
        <v>9.6004338999999994E-2</v>
      </c>
      <c r="N468" t="e">
        <v>#N/A</v>
      </c>
      <c r="O468" t="e">
        <v>#N/A</v>
      </c>
    </row>
    <row r="469" spans="1:15" x14ac:dyDescent="0.25">
      <c r="A469" t="s">
        <v>16</v>
      </c>
      <c r="B469" t="s">
        <v>23</v>
      </c>
      <c r="C469" s="3" t="str">
        <f>IF($B469="GW1",VLOOKUP($A469,Matches!$A:$AC,2,FALSE),IF($B469="GW2",VLOOKUP($A469,Matches!$A:$AC,9,FALSE),IF($B469="GW3",VLOOKUP($A469,Matches!$A:$AC,16,FALSE))))</f>
        <v>Arsenal</v>
      </c>
      <c r="D469" s="6">
        <v>0.25482251611752416</v>
      </c>
      <c r="E469" s="6">
        <v>0.49534376857539131</v>
      </c>
      <c r="F469" s="6">
        <v>-0.24052125245786715</v>
      </c>
      <c r="G469" s="3" t="s">
        <v>1</v>
      </c>
      <c r="H469" t="e">
        <v>#N/A</v>
      </c>
      <c r="I469" t="e">
        <v>#N/A</v>
      </c>
      <c r="J469" t="e">
        <v>#N/A</v>
      </c>
      <c r="K469">
        <v>0.20774647900000001</v>
      </c>
      <c r="L469">
        <v>0.5</v>
      </c>
      <c r="M469">
        <v>9.6004338999999994E-2</v>
      </c>
      <c r="N469" t="e">
        <v>#N/A</v>
      </c>
      <c r="O469" t="e">
        <v>#N/A</v>
      </c>
    </row>
    <row r="470" spans="1:15" x14ac:dyDescent="0.25">
      <c r="A470" t="s">
        <v>16</v>
      </c>
      <c r="B470" t="s">
        <v>23</v>
      </c>
      <c r="C470" s="3" t="str">
        <f>IF($B470="GW1",VLOOKUP($A470,Matches!$A:$AC,2,FALSE),IF($B470="GW2",VLOOKUP($A470,Matches!$A:$AC,9,FALSE),IF($B470="GW3",VLOOKUP($A470,Matches!$A:$AC,16,FALSE))))</f>
        <v>Arsenal</v>
      </c>
      <c r="D470" s="6">
        <v>0.25482251611752416</v>
      </c>
      <c r="E470" s="6">
        <v>0.49534376857539131</v>
      </c>
      <c r="F470" s="6">
        <v>-0.24052125245786715</v>
      </c>
      <c r="G470" s="3" t="s">
        <v>1</v>
      </c>
      <c r="H470" t="e">
        <v>#N/A</v>
      </c>
      <c r="I470" t="e">
        <v>#N/A</v>
      </c>
      <c r="J470" t="e">
        <v>#N/A</v>
      </c>
      <c r="K470">
        <v>0.20774647900000001</v>
      </c>
      <c r="L470">
        <v>0.5</v>
      </c>
      <c r="M470">
        <v>9.6004338999999994E-2</v>
      </c>
      <c r="N470" t="e">
        <v>#N/A</v>
      </c>
      <c r="O470" t="e">
        <v>#N/A</v>
      </c>
    </row>
    <row r="471" spans="1:15" x14ac:dyDescent="0.25">
      <c r="A471" t="s">
        <v>16</v>
      </c>
      <c r="B471" t="s">
        <v>23</v>
      </c>
      <c r="C471" s="3" t="str">
        <f>IF($B471="GW1",VLOOKUP($A471,Matches!$A:$AC,2,FALSE),IF($B471="GW2",VLOOKUP($A471,Matches!$A:$AC,9,FALSE),IF($B471="GW3",VLOOKUP($A471,Matches!$A:$AC,16,FALSE))))</f>
        <v>Arsenal</v>
      </c>
      <c r="D471" s="6">
        <v>0.25482251611752416</v>
      </c>
      <c r="E471" s="6">
        <v>0.49534376857539131</v>
      </c>
      <c r="F471" s="6">
        <v>-0.24052125245786715</v>
      </c>
      <c r="G471" s="3" t="s">
        <v>1</v>
      </c>
      <c r="H471">
        <v>0.112044818</v>
      </c>
      <c r="I471">
        <v>5.6022409000000002E-2</v>
      </c>
      <c r="J471">
        <v>0.13605442200000001</v>
      </c>
      <c r="K471">
        <v>0.20774647900000001</v>
      </c>
      <c r="L471">
        <v>0.5</v>
      </c>
      <c r="M471">
        <v>9.6004338999999994E-2</v>
      </c>
      <c r="N471" t="e">
        <v>#N/A</v>
      </c>
      <c r="O471" t="e">
        <v>#N/A</v>
      </c>
    </row>
    <row r="472" spans="1:15" x14ac:dyDescent="0.25">
      <c r="A472" t="s">
        <v>16</v>
      </c>
      <c r="B472" t="s">
        <v>23</v>
      </c>
      <c r="C472" s="3" t="str">
        <f>IF($B472="GW1",VLOOKUP($A472,Matches!$A:$AC,2,FALSE),IF($B472="GW2",VLOOKUP($A472,Matches!$A:$AC,9,FALSE),IF($B472="GW3",VLOOKUP($A472,Matches!$A:$AC,16,FALSE))))</f>
        <v>Arsenal</v>
      </c>
      <c r="D472" s="6">
        <v>0.25482251611752416</v>
      </c>
      <c r="E472" s="6">
        <v>0.49534376857539131</v>
      </c>
      <c r="F472" s="6">
        <v>-0.24052125245786715</v>
      </c>
      <c r="G472" s="3" t="s">
        <v>1</v>
      </c>
      <c r="H472" t="e">
        <v>#N/A</v>
      </c>
      <c r="I472" t="e">
        <v>#N/A</v>
      </c>
      <c r="J472" t="e">
        <v>#N/A</v>
      </c>
      <c r="K472">
        <v>0.20774647900000001</v>
      </c>
      <c r="L472">
        <v>0.5</v>
      </c>
      <c r="M472">
        <v>9.6004338999999994E-2</v>
      </c>
      <c r="N472" t="e">
        <v>#N/A</v>
      </c>
      <c r="O472" t="e">
        <v>#N/A</v>
      </c>
    </row>
    <row r="473" spans="1:15" x14ac:dyDescent="0.25">
      <c r="A473" t="s">
        <v>16</v>
      </c>
      <c r="B473" t="s">
        <v>23</v>
      </c>
      <c r="C473" s="3" t="str">
        <f>IF($B473="GW1",VLOOKUP($A473,Matches!$A:$AC,2,FALSE),IF($B473="GW2",VLOOKUP($A473,Matches!$A:$AC,9,FALSE),IF($B473="GW3",VLOOKUP($A473,Matches!$A:$AC,16,FALSE))))</f>
        <v>Arsenal</v>
      </c>
      <c r="D473" s="6">
        <v>0.25482251611752416</v>
      </c>
      <c r="E473" s="6">
        <v>0.49534376857539131</v>
      </c>
      <c r="F473" s="6">
        <v>-0.24052125245786715</v>
      </c>
      <c r="G473" s="3" t="s">
        <v>1</v>
      </c>
      <c r="H473" t="e">
        <v>#N/A</v>
      </c>
      <c r="I473" t="e">
        <v>#N/A</v>
      </c>
      <c r="J473" t="e">
        <v>#N/A</v>
      </c>
      <c r="K473">
        <v>0.20774647900000001</v>
      </c>
      <c r="L473">
        <v>0.5</v>
      </c>
      <c r="M473">
        <v>9.6004338999999994E-2</v>
      </c>
      <c r="N473" t="e">
        <v>#N/A</v>
      </c>
      <c r="O473" t="e">
        <v>#N/A</v>
      </c>
    </row>
    <row r="474" spans="1:15" x14ac:dyDescent="0.25">
      <c r="A474" t="s">
        <v>16</v>
      </c>
      <c r="B474" t="s">
        <v>23</v>
      </c>
      <c r="C474" s="3" t="str">
        <f>IF($B474="GW1",VLOOKUP($A474,Matches!$A:$AC,2,FALSE),IF($B474="GW2",VLOOKUP($A474,Matches!$A:$AC,9,FALSE),IF($B474="GW3",VLOOKUP($A474,Matches!$A:$AC,16,FALSE))))</f>
        <v>Arsenal</v>
      </c>
      <c r="D474" s="6">
        <v>0.25482251611752416</v>
      </c>
      <c r="E474" s="6">
        <v>0.49534376857539131</v>
      </c>
      <c r="F474" s="6">
        <v>-0.24052125245786715</v>
      </c>
      <c r="G474" s="3" t="s">
        <v>1</v>
      </c>
      <c r="H474" t="e">
        <v>#N/A</v>
      </c>
      <c r="I474" t="e">
        <v>#N/A</v>
      </c>
      <c r="J474" t="e">
        <v>#N/A</v>
      </c>
      <c r="K474">
        <v>0.20774647900000001</v>
      </c>
      <c r="L474">
        <v>0.5</v>
      </c>
      <c r="M474">
        <v>9.6004338999999994E-2</v>
      </c>
      <c r="N474" t="e">
        <v>#N/A</v>
      </c>
      <c r="O474" t="e">
        <v>#N/A</v>
      </c>
    </row>
    <row r="475" spans="1:15" x14ac:dyDescent="0.25">
      <c r="A475" t="s">
        <v>16</v>
      </c>
      <c r="B475" t="s">
        <v>23</v>
      </c>
      <c r="C475" s="3" t="str">
        <f>IF($B475="GW1",VLOOKUP($A475,Matches!$A:$AC,2,FALSE),IF($B475="GW2",VLOOKUP($A475,Matches!$A:$AC,9,FALSE),IF($B475="GW3",VLOOKUP($A475,Matches!$A:$AC,16,FALSE))))</f>
        <v>Arsenal</v>
      </c>
      <c r="D475" s="6">
        <v>0.25482251611752416</v>
      </c>
      <c r="E475" s="6">
        <v>0.49534376857539131</v>
      </c>
      <c r="F475" s="6">
        <v>-0.24052125245786715</v>
      </c>
      <c r="G475" s="3" t="s">
        <v>1</v>
      </c>
      <c r="H475">
        <v>0.21994941200000001</v>
      </c>
      <c r="I475">
        <v>7.3260072999999995E-2</v>
      </c>
      <c r="J475">
        <v>0.21164021199999999</v>
      </c>
      <c r="K475">
        <v>0.20774647900000001</v>
      </c>
      <c r="L475">
        <v>0.5</v>
      </c>
      <c r="M475">
        <v>9.6004338999999994E-2</v>
      </c>
      <c r="N475" t="e">
        <v>#N/A</v>
      </c>
      <c r="O475" t="e">
        <v>#N/A</v>
      </c>
    </row>
    <row r="476" spans="1:15" x14ac:dyDescent="0.25">
      <c r="A476" t="s">
        <v>16</v>
      </c>
      <c r="B476" t="s">
        <v>23</v>
      </c>
      <c r="C476" s="3" t="str">
        <f>IF($B476="GW1",VLOOKUP($A476,Matches!$A:$AC,2,FALSE),IF($B476="GW2",VLOOKUP($A476,Matches!$A:$AC,9,FALSE),IF($B476="GW3",VLOOKUP($A476,Matches!$A:$AC,16,FALSE))))</f>
        <v>Arsenal</v>
      </c>
      <c r="D476" s="6">
        <v>0.25482251611752416</v>
      </c>
      <c r="E476" s="6">
        <v>0.49534376857539131</v>
      </c>
      <c r="F476" s="6">
        <v>-0.24052125245786715</v>
      </c>
      <c r="G476" s="3" t="s">
        <v>1</v>
      </c>
      <c r="H476" t="e">
        <v>#N/A</v>
      </c>
      <c r="I476" t="e">
        <v>#N/A</v>
      </c>
      <c r="J476" t="e">
        <v>#N/A</v>
      </c>
      <c r="K476">
        <v>0.20774647900000001</v>
      </c>
      <c r="L476">
        <v>0.5</v>
      </c>
      <c r="M476">
        <v>9.6004338999999994E-2</v>
      </c>
      <c r="N476" t="e">
        <v>#N/A</v>
      </c>
      <c r="O476" t="e">
        <v>#N/A</v>
      </c>
    </row>
    <row r="477" spans="1:15" x14ac:dyDescent="0.25">
      <c r="A477" t="s">
        <v>16</v>
      </c>
      <c r="B477" t="s">
        <v>23</v>
      </c>
      <c r="C477" s="3" t="str">
        <f>IF($B477="GW1",VLOOKUP($A477,Matches!$A:$AC,2,FALSE),IF($B477="GW2",VLOOKUP($A477,Matches!$A:$AC,9,FALSE),IF($B477="GW3",VLOOKUP($A477,Matches!$A:$AC,16,FALSE))))</f>
        <v>Arsenal</v>
      </c>
      <c r="D477" s="6">
        <v>0.25482251611752416</v>
      </c>
      <c r="E477" s="6">
        <v>0.49534376857539131</v>
      </c>
      <c r="F477" s="6">
        <v>-0.24052125245786715</v>
      </c>
      <c r="G477" s="3" t="s">
        <v>1</v>
      </c>
      <c r="H477" t="e">
        <v>#N/A</v>
      </c>
      <c r="I477" t="e">
        <v>#N/A</v>
      </c>
      <c r="J477" t="e">
        <v>#N/A</v>
      </c>
      <c r="K477">
        <v>0.20774647900000001</v>
      </c>
      <c r="L477">
        <v>0.5</v>
      </c>
      <c r="M477">
        <v>9.6004338999999994E-2</v>
      </c>
      <c r="N477" t="e">
        <v>#N/A</v>
      </c>
      <c r="O477" t="e">
        <v>#N/A</v>
      </c>
    </row>
    <row r="478" spans="1:15" x14ac:dyDescent="0.25">
      <c r="A478" t="s">
        <v>17</v>
      </c>
      <c r="B478" t="s">
        <v>23</v>
      </c>
      <c r="C478" s="3" t="str">
        <f>IF($B478="GW1",VLOOKUP($A478,Matches!$A:$AC,2,FALSE),IF($B478="GW2",VLOOKUP($A478,Matches!$A:$AC,9,FALSE),IF($B478="GW3",VLOOKUP($A478,Matches!$A:$AC,16,FALSE))))</f>
        <v>Aston Villa</v>
      </c>
      <c r="D478" s="6">
        <v>0.32799790081343477</v>
      </c>
      <c r="E478" s="6">
        <v>0.4045307443365696</v>
      </c>
      <c r="F478" s="6">
        <v>-7.653284352313483E-2</v>
      </c>
      <c r="G478" s="3" t="s">
        <v>0</v>
      </c>
      <c r="H478" t="e">
        <v>#N/A</v>
      </c>
      <c r="I478" t="e">
        <v>#N/A</v>
      </c>
      <c r="J478">
        <v>0.23809523799999999</v>
      </c>
      <c r="K478">
        <v>0.20774647900000001</v>
      </c>
      <c r="L478">
        <v>0.5</v>
      </c>
      <c r="M478">
        <v>9.6004338999999994E-2</v>
      </c>
      <c r="N478">
        <v>0.71607590399999999</v>
      </c>
      <c r="O478">
        <v>0.19047618999999999</v>
      </c>
    </row>
    <row r="479" spans="1:15" x14ac:dyDescent="0.25">
      <c r="A479" t="s">
        <v>17</v>
      </c>
      <c r="B479" t="s">
        <v>23</v>
      </c>
      <c r="C479" s="3" t="str">
        <f>IF($B479="GW1",VLOOKUP($A479,Matches!$A:$AC,2,FALSE),IF($B479="GW2",VLOOKUP($A479,Matches!$A:$AC,9,FALSE),IF($B479="GW3",VLOOKUP($A479,Matches!$A:$AC,16,FALSE))))</f>
        <v>Aston Villa</v>
      </c>
      <c r="D479" s="6">
        <v>0.32799790081343477</v>
      </c>
      <c r="E479" s="6">
        <v>0.4045307443365696</v>
      </c>
      <c r="F479" s="6">
        <v>-7.653284352313483E-2</v>
      </c>
      <c r="G479" s="3" t="s">
        <v>0</v>
      </c>
      <c r="H479" t="e">
        <v>#N/A</v>
      </c>
      <c r="I479" t="e">
        <v>#N/A</v>
      </c>
      <c r="J479">
        <v>0.15873015900000001</v>
      </c>
      <c r="K479">
        <v>0.20774647900000001</v>
      </c>
      <c r="L479">
        <v>0.5</v>
      </c>
      <c r="M479">
        <v>9.6004338999999994E-2</v>
      </c>
      <c r="N479">
        <v>0.78064012500000002</v>
      </c>
      <c r="O479">
        <v>0.253968254</v>
      </c>
    </row>
    <row r="480" spans="1:15" x14ac:dyDescent="0.25">
      <c r="A480" t="s">
        <v>17</v>
      </c>
      <c r="B480" t="s">
        <v>23</v>
      </c>
      <c r="C480" s="3" t="str">
        <f>IF($B480="GW1",VLOOKUP($A480,Matches!$A:$AC,2,FALSE),IF($B480="GW2",VLOOKUP($A480,Matches!$A:$AC,9,FALSE),IF($B480="GW3",VLOOKUP($A480,Matches!$A:$AC,16,FALSE))))</f>
        <v>Aston Villa</v>
      </c>
      <c r="D480" s="6">
        <v>0.32799790081343477</v>
      </c>
      <c r="E480" s="6">
        <v>0.4045307443365696</v>
      </c>
      <c r="F480" s="6">
        <v>-7.653284352313483E-2</v>
      </c>
      <c r="G480" s="3" t="s">
        <v>0</v>
      </c>
      <c r="H480" t="e">
        <v>#N/A</v>
      </c>
      <c r="I480" t="e">
        <v>#N/A</v>
      </c>
      <c r="J480">
        <v>0.23809523799999999</v>
      </c>
      <c r="K480">
        <v>0.20774647900000001</v>
      </c>
      <c r="L480">
        <v>0.5</v>
      </c>
      <c r="M480">
        <v>9.6004338999999994E-2</v>
      </c>
      <c r="N480" t="e">
        <v>#N/A</v>
      </c>
      <c r="O480" t="e">
        <v>#N/A</v>
      </c>
    </row>
    <row r="481" spans="1:15" x14ac:dyDescent="0.25">
      <c r="A481" t="s">
        <v>17</v>
      </c>
      <c r="B481" t="s">
        <v>23</v>
      </c>
      <c r="C481" s="3" t="str">
        <f>IF($B481="GW1",VLOOKUP($A481,Matches!$A:$AC,2,FALSE),IF($B481="GW2",VLOOKUP($A481,Matches!$A:$AC,9,FALSE),IF($B481="GW3",VLOOKUP($A481,Matches!$A:$AC,16,FALSE))))</f>
        <v>Aston Villa</v>
      </c>
      <c r="D481" s="6">
        <v>0.32799790081343477</v>
      </c>
      <c r="E481" s="6">
        <v>0.4045307443365696</v>
      </c>
      <c r="F481" s="6">
        <v>-7.653284352313483E-2</v>
      </c>
      <c r="G481" s="3" t="s">
        <v>0</v>
      </c>
      <c r="H481" t="e">
        <v>#N/A</v>
      </c>
      <c r="I481" t="e">
        <v>#N/A</v>
      </c>
      <c r="J481" t="e">
        <v>#N/A</v>
      </c>
      <c r="K481">
        <v>0.20774647900000001</v>
      </c>
      <c r="L481">
        <v>0.5</v>
      </c>
      <c r="M481">
        <v>9.6004338999999994E-2</v>
      </c>
      <c r="N481" t="e">
        <v>#N/A</v>
      </c>
      <c r="O481" t="e">
        <v>#N/A</v>
      </c>
    </row>
    <row r="482" spans="1:15" x14ac:dyDescent="0.25">
      <c r="A482" t="s">
        <v>17</v>
      </c>
      <c r="B482" t="s">
        <v>23</v>
      </c>
      <c r="C482" s="3" t="str">
        <f>IF($B482="GW1",VLOOKUP($A482,Matches!$A:$AC,2,FALSE),IF($B482="GW2",VLOOKUP($A482,Matches!$A:$AC,9,FALSE),IF($B482="GW3",VLOOKUP($A482,Matches!$A:$AC,16,FALSE))))</f>
        <v>Aston Villa</v>
      </c>
      <c r="D482" s="6">
        <v>0.32799790081343477</v>
      </c>
      <c r="E482" s="6">
        <v>0.4045307443365696</v>
      </c>
      <c r="F482" s="6">
        <v>-7.653284352313483E-2</v>
      </c>
      <c r="G482" s="3" t="s">
        <v>0</v>
      </c>
      <c r="H482">
        <v>8.6580087E-2</v>
      </c>
      <c r="I482">
        <v>0.173160173</v>
      </c>
      <c r="J482">
        <v>0.23809523799999999</v>
      </c>
      <c r="K482">
        <v>0.20774647900000001</v>
      </c>
      <c r="L482">
        <v>0.5</v>
      </c>
      <c r="M482">
        <v>9.6004338999999994E-2</v>
      </c>
      <c r="N482" t="e">
        <v>#N/A</v>
      </c>
      <c r="O482" t="e">
        <v>#N/A</v>
      </c>
    </row>
    <row r="483" spans="1:15" x14ac:dyDescent="0.25">
      <c r="A483" t="s">
        <v>17</v>
      </c>
      <c r="B483" t="s">
        <v>23</v>
      </c>
      <c r="C483" s="3" t="str">
        <f>IF($B483="GW1",VLOOKUP($A483,Matches!$A:$AC,2,FALSE),IF($B483="GW2",VLOOKUP($A483,Matches!$A:$AC,9,FALSE),IF($B483="GW3",VLOOKUP($A483,Matches!$A:$AC,16,FALSE))))</f>
        <v>Aston Villa</v>
      </c>
      <c r="D483" s="6">
        <v>0.32799790081343477</v>
      </c>
      <c r="E483" s="6">
        <v>0.4045307443365696</v>
      </c>
      <c r="F483" s="6">
        <v>-7.653284352313483E-2</v>
      </c>
      <c r="G483" s="3" t="s">
        <v>0</v>
      </c>
      <c r="H483">
        <v>0.13605442200000001</v>
      </c>
      <c r="I483">
        <v>3.6630036999999997E-2</v>
      </c>
      <c r="J483">
        <v>0.297619048</v>
      </c>
      <c r="K483">
        <v>0.20774647900000001</v>
      </c>
      <c r="L483">
        <v>0.5</v>
      </c>
      <c r="M483">
        <v>9.6004338999999994E-2</v>
      </c>
      <c r="N483" t="e">
        <v>#N/A</v>
      </c>
      <c r="O483" t="e">
        <v>#N/A</v>
      </c>
    </row>
    <row r="484" spans="1:15" x14ac:dyDescent="0.25">
      <c r="A484" t="s">
        <v>17</v>
      </c>
      <c r="B484" t="s">
        <v>23</v>
      </c>
      <c r="C484" s="3" t="str">
        <f>IF($B484="GW1",VLOOKUP($A484,Matches!$A:$AC,2,FALSE),IF($B484="GW2",VLOOKUP($A484,Matches!$A:$AC,9,FALSE),IF($B484="GW3",VLOOKUP($A484,Matches!$A:$AC,16,FALSE))))</f>
        <v>Aston Villa</v>
      </c>
      <c r="D484" s="6">
        <v>0.32799790081343477</v>
      </c>
      <c r="E484" s="6">
        <v>0.4045307443365696</v>
      </c>
      <c r="F484" s="6">
        <v>-7.653284352313483E-2</v>
      </c>
      <c r="G484" s="3" t="s">
        <v>0</v>
      </c>
      <c r="H484">
        <v>7.3260072999999995E-2</v>
      </c>
      <c r="I484">
        <v>5.6022409000000002E-2</v>
      </c>
      <c r="J484">
        <v>0.19047618999999999</v>
      </c>
      <c r="K484">
        <v>0.20774647900000001</v>
      </c>
      <c r="L484">
        <v>0.5</v>
      </c>
      <c r="M484">
        <v>9.6004338999999994E-2</v>
      </c>
      <c r="N484" t="e">
        <v>#N/A</v>
      </c>
      <c r="O484" t="e">
        <v>#N/A</v>
      </c>
    </row>
    <row r="485" spans="1:15" x14ac:dyDescent="0.25">
      <c r="A485" t="s">
        <v>17</v>
      </c>
      <c r="B485" t="s">
        <v>23</v>
      </c>
      <c r="C485" s="3" t="str">
        <f>IF($B485="GW1",VLOOKUP($A485,Matches!$A:$AC,2,FALSE),IF($B485="GW2",VLOOKUP($A485,Matches!$A:$AC,9,FALSE),IF($B485="GW3",VLOOKUP($A485,Matches!$A:$AC,16,FALSE))))</f>
        <v>Aston Villa</v>
      </c>
      <c r="D485" s="6">
        <v>0.32799790081343477</v>
      </c>
      <c r="E485" s="6">
        <v>0.4045307443365696</v>
      </c>
      <c r="F485" s="6">
        <v>-7.653284352313483E-2</v>
      </c>
      <c r="G485" s="3" t="s">
        <v>0</v>
      </c>
      <c r="H485">
        <v>7.3260072999999995E-2</v>
      </c>
      <c r="I485">
        <v>3.2840722000000003E-2</v>
      </c>
      <c r="J485">
        <v>0.26455026500000001</v>
      </c>
      <c r="K485">
        <v>0.20774647900000001</v>
      </c>
      <c r="L485">
        <v>0.5</v>
      </c>
      <c r="M485">
        <v>9.6004338999999994E-2</v>
      </c>
      <c r="N485" t="e">
        <v>#N/A</v>
      </c>
      <c r="O485" t="e">
        <v>#N/A</v>
      </c>
    </row>
    <row r="486" spans="1:15" x14ac:dyDescent="0.25">
      <c r="A486" t="s">
        <v>17</v>
      </c>
      <c r="B486" t="s">
        <v>23</v>
      </c>
      <c r="C486" s="3" t="str">
        <f>IF($B486="GW1",VLOOKUP($A486,Matches!$A:$AC,2,FALSE),IF($B486="GW2",VLOOKUP($A486,Matches!$A:$AC,9,FALSE),IF($B486="GW3",VLOOKUP($A486,Matches!$A:$AC,16,FALSE))))</f>
        <v>Aston Villa</v>
      </c>
      <c r="D486" s="6">
        <v>0.32799790081343477</v>
      </c>
      <c r="E486" s="6">
        <v>0.4045307443365696</v>
      </c>
      <c r="F486" s="6">
        <v>-7.653284352313483E-2</v>
      </c>
      <c r="G486" s="3" t="s">
        <v>0</v>
      </c>
      <c r="H486">
        <v>7.3260072999999995E-2</v>
      </c>
      <c r="I486">
        <v>6.3492063000000001E-2</v>
      </c>
      <c r="J486">
        <v>0.19047618999999999</v>
      </c>
      <c r="K486">
        <v>0.20774647900000001</v>
      </c>
      <c r="L486">
        <v>0.5</v>
      </c>
      <c r="M486">
        <v>9.6004338999999994E-2</v>
      </c>
      <c r="N486" t="e">
        <v>#N/A</v>
      </c>
      <c r="O486" t="e">
        <v>#N/A</v>
      </c>
    </row>
    <row r="487" spans="1:15" x14ac:dyDescent="0.25">
      <c r="A487" t="s">
        <v>17</v>
      </c>
      <c r="B487" t="s">
        <v>23</v>
      </c>
      <c r="C487" s="3" t="str">
        <f>IF($B487="GW1",VLOOKUP($A487,Matches!$A:$AC,2,FALSE),IF($B487="GW2",VLOOKUP($A487,Matches!$A:$AC,9,FALSE),IF($B487="GW3",VLOOKUP($A487,Matches!$A:$AC,16,FALSE))))</f>
        <v>Aston Villa</v>
      </c>
      <c r="D487" s="6">
        <v>0.32799790081343477</v>
      </c>
      <c r="E487" s="6">
        <v>0.4045307443365696</v>
      </c>
      <c r="F487" s="6">
        <v>-7.653284352313483E-2</v>
      </c>
      <c r="G487" s="3" t="s">
        <v>0</v>
      </c>
      <c r="H487">
        <v>8.6580087E-2</v>
      </c>
      <c r="I487">
        <v>0.13605442200000001</v>
      </c>
      <c r="J487">
        <v>0.23809523799999999</v>
      </c>
      <c r="K487">
        <v>0.20774647900000001</v>
      </c>
      <c r="L487">
        <v>0.5</v>
      </c>
      <c r="M487">
        <v>9.6004338999999994E-2</v>
      </c>
      <c r="N487" t="e">
        <v>#N/A</v>
      </c>
      <c r="O487" t="e">
        <v>#N/A</v>
      </c>
    </row>
    <row r="488" spans="1:15" x14ac:dyDescent="0.25">
      <c r="A488" t="s">
        <v>17</v>
      </c>
      <c r="B488" t="s">
        <v>23</v>
      </c>
      <c r="C488" s="3" t="str">
        <f>IF($B488="GW1",VLOOKUP($A488,Matches!$A:$AC,2,FALSE),IF($B488="GW2",VLOOKUP($A488,Matches!$A:$AC,9,FALSE),IF($B488="GW3",VLOOKUP($A488,Matches!$A:$AC,16,FALSE))))</f>
        <v>Aston Villa</v>
      </c>
      <c r="D488" s="6">
        <v>0.32799790081343477</v>
      </c>
      <c r="E488" s="6">
        <v>0.4045307443365696</v>
      </c>
      <c r="F488" s="6">
        <v>-7.653284352313483E-2</v>
      </c>
      <c r="G488" s="3" t="s">
        <v>0</v>
      </c>
      <c r="H488">
        <v>5.6022409000000002E-2</v>
      </c>
      <c r="I488">
        <v>4.1407867000000001E-2</v>
      </c>
      <c r="J488">
        <v>0.21994941200000001</v>
      </c>
      <c r="K488">
        <v>0.20774647900000001</v>
      </c>
      <c r="L488">
        <v>0.5</v>
      </c>
      <c r="M488">
        <v>9.6004338999999994E-2</v>
      </c>
      <c r="N488" t="e">
        <v>#N/A</v>
      </c>
      <c r="O488" t="e">
        <v>#N/A</v>
      </c>
    </row>
    <row r="489" spans="1:15" x14ac:dyDescent="0.25">
      <c r="A489" t="s">
        <v>17</v>
      </c>
      <c r="B489" t="s">
        <v>23</v>
      </c>
      <c r="C489" s="3" t="str">
        <f>IF($B489="GW1",VLOOKUP($A489,Matches!$A:$AC,2,FALSE),IF($B489="GW2",VLOOKUP($A489,Matches!$A:$AC,9,FALSE),IF($B489="GW3",VLOOKUP($A489,Matches!$A:$AC,16,FALSE))))</f>
        <v>Aston Villa</v>
      </c>
      <c r="D489" s="6">
        <v>0.32799790081343477</v>
      </c>
      <c r="E489" s="6">
        <v>0.4045307443365696</v>
      </c>
      <c r="F489" s="6">
        <v>-7.653284352313483E-2</v>
      </c>
      <c r="G489" s="3" t="s">
        <v>0</v>
      </c>
      <c r="H489">
        <v>5.6022409000000002E-2</v>
      </c>
      <c r="I489">
        <v>5.0125312999999998E-2</v>
      </c>
      <c r="J489">
        <v>0.297619048</v>
      </c>
      <c r="K489">
        <v>0.20774647900000001</v>
      </c>
      <c r="L489">
        <v>0.5</v>
      </c>
      <c r="M489">
        <v>9.6004338999999994E-2</v>
      </c>
      <c r="N489" t="e">
        <v>#N/A</v>
      </c>
      <c r="O489" t="e">
        <v>#N/A</v>
      </c>
    </row>
    <row r="490" spans="1:15" x14ac:dyDescent="0.25">
      <c r="A490" t="s">
        <v>17</v>
      </c>
      <c r="B490" t="s">
        <v>23</v>
      </c>
      <c r="C490" s="3" t="str">
        <f>IF($B490="GW1",VLOOKUP($A490,Matches!$A:$AC,2,FALSE),IF($B490="GW2",VLOOKUP($A490,Matches!$A:$AC,9,FALSE),IF($B490="GW3",VLOOKUP($A490,Matches!$A:$AC,16,FALSE))))</f>
        <v>Aston Villa</v>
      </c>
      <c r="D490" s="6">
        <v>0.32799790081343477</v>
      </c>
      <c r="E490" s="6">
        <v>0.4045307443365696</v>
      </c>
      <c r="F490" s="6">
        <v>-7.653284352313483E-2</v>
      </c>
      <c r="G490" s="3" t="s">
        <v>0</v>
      </c>
      <c r="H490">
        <v>8.6580087E-2</v>
      </c>
      <c r="I490">
        <v>4.1407867000000001E-2</v>
      </c>
      <c r="J490">
        <v>0.36630036599999999</v>
      </c>
      <c r="K490">
        <v>0.20774647900000001</v>
      </c>
      <c r="L490">
        <v>0.5</v>
      </c>
      <c r="M490">
        <v>9.6004338999999994E-2</v>
      </c>
      <c r="N490" t="e">
        <v>#N/A</v>
      </c>
      <c r="O490" t="e">
        <v>#N/A</v>
      </c>
    </row>
    <row r="491" spans="1:15" x14ac:dyDescent="0.25">
      <c r="A491" t="s">
        <v>17</v>
      </c>
      <c r="B491" t="s">
        <v>23</v>
      </c>
      <c r="C491" s="3" t="str">
        <f>IF($B491="GW1",VLOOKUP($A491,Matches!$A:$AC,2,FALSE),IF($B491="GW2",VLOOKUP($A491,Matches!$A:$AC,9,FALSE),IF($B491="GW3",VLOOKUP($A491,Matches!$A:$AC,16,FALSE))))</f>
        <v>Aston Villa</v>
      </c>
      <c r="D491" s="6">
        <v>0.32799790081343477</v>
      </c>
      <c r="E491" s="6">
        <v>0.4045307443365696</v>
      </c>
      <c r="F491" s="6">
        <v>-7.653284352313483E-2</v>
      </c>
      <c r="G491" s="3" t="s">
        <v>0</v>
      </c>
      <c r="H491">
        <v>8.6580087E-2</v>
      </c>
      <c r="I491">
        <v>5.6022409000000002E-2</v>
      </c>
      <c r="J491">
        <v>0.39682539700000002</v>
      </c>
      <c r="K491">
        <v>0.20774647900000001</v>
      </c>
      <c r="L491">
        <v>0.5</v>
      </c>
      <c r="M491">
        <v>9.6004338999999994E-2</v>
      </c>
      <c r="N491" t="e">
        <v>#N/A</v>
      </c>
      <c r="O491" t="e">
        <v>#N/A</v>
      </c>
    </row>
    <row r="492" spans="1:15" x14ac:dyDescent="0.25">
      <c r="A492" t="s">
        <v>17</v>
      </c>
      <c r="B492" t="s">
        <v>23</v>
      </c>
      <c r="C492" s="3" t="str">
        <f>IF($B492="GW1",VLOOKUP($A492,Matches!$A:$AC,2,FALSE),IF($B492="GW2",VLOOKUP($A492,Matches!$A:$AC,9,FALSE),IF($B492="GW3",VLOOKUP($A492,Matches!$A:$AC,16,FALSE))))</f>
        <v>Aston Villa</v>
      </c>
      <c r="D492" s="6">
        <v>0.32799790081343477</v>
      </c>
      <c r="E492" s="6">
        <v>0.4045307443365696</v>
      </c>
      <c r="F492" s="6">
        <v>-7.653284352313483E-2</v>
      </c>
      <c r="G492" s="3" t="s">
        <v>0</v>
      </c>
      <c r="H492" t="e">
        <v>#N/A</v>
      </c>
      <c r="I492" t="e">
        <v>#N/A</v>
      </c>
      <c r="J492" t="e">
        <v>#N/A</v>
      </c>
      <c r="K492">
        <v>0.20774647900000001</v>
      </c>
      <c r="L492">
        <v>0.5</v>
      </c>
      <c r="M492">
        <v>9.6004338999999994E-2</v>
      </c>
      <c r="N492" t="e">
        <v>#N/A</v>
      </c>
      <c r="O492" t="e">
        <v>#N/A</v>
      </c>
    </row>
    <row r="493" spans="1:15" x14ac:dyDescent="0.25">
      <c r="A493" t="s">
        <v>17</v>
      </c>
      <c r="B493" t="s">
        <v>23</v>
      </c>
      <c r="C493" s="3" t="str">
        <f>IF($B493="GW1",VLOOKUP($A493,Matches!$A:$AC,2,FALSE),IF($B493="GW2",VLOOKUP($A493,Matches!$A:$AC,9,FALSE),IF($B493="GW3",VLOOKUP($A493,Matches!$A:$AC,16,FALSE))))</f>
        <v>Aston Villa</v>
      </c>
      <c r="D493" s="6">
        <v>0.32799790081343477</v>
      </c>
      <c r="E493" s="6">
        <v>0.4045307443365696</v>
      </c>
      <c r="F493" s="6">
        <v>-7.653284352313483E-2</v>
      </c>
      <c r="G493" s="3" t="s">
        <v>0</v>
      </c>
      <c r="H493">
        <v>5.6022409000000002E-2</v>
      </c>
      <c r="I493">
        <v>9.5238094999999995E-2</v>
      </c>
      <c r="J493">
        <v>0.21994941200000001</v>
      </c>
      <c r="K493">
        <v>0.20774647900000001</v>
      </c>
      <c r="L493">
        <v>0.5</v>
      </c>
      <c r="M493">
        <v>9.6004338999999994E-2</v>
      </c>
      <c r="N493" t="e">
        <v>#N/A</v>
      </c>
      <c r="O493" t="e">
        <v>#N/A</v>
      </c>
    </row>
    <row r="494" spans="1:15" x14ac:dyDescent="0.25">
      <c r="A494" t="s">
        <v>17</v>
      </c>
      <c r="B494" t="s">
        <v>23</v>
      </c>
      <c r="C494" s="3" t="str">
        <f>IF($B494="GW1",VLOOKUP($A494,Matches!$A:$AC,2,FALSE),IF($B494="GW2",VLOOKUP($A494,Matches!$A:$AC,9,FALSE),IF($B494="GW3",VLOOKUP($A494,Matches!$A:$AC,16,FALSE))))</f>
        <v>Aston Villa</v>
      </c>
      <c r="D494" s="6">
        <v>0.32799790081343477</v>
      </c>
      <c r="E494" s="6">
        <v>0.4045307443365696</v>
      </c>
      <c r="F494" s="6">
        <v>-7.653284352313483E-2</v>
      </c>
      <c r="G494" s="3" t="s">
        <v>0</v>
      </c>
      <c r="H494">
        <v>0.27210884400000002</v>
      </c>
      <c r="I494">
        <v>0.173160173</v>
      </c>
      <c r="J494">
        <v>0.346320346</v>
      </c>
      <c r="K494">
        <v>0.20774647900000001</v>
      </c>
      <c r="L494">
        <v>0.5</v>
      </c>
      <c r="M494">
        <v>9.6004338999999994E-2</v>
      </c>
      <c r="N494" t="e">
        <v>#N/A</v>
      </c>
      <c r="O494" t="e">
        <v>#N/A</v>
      </c>
    </row>
    <row r="495" spans="1:15" x14ac:dyDescent="0.25">
      <c r="A495" t="s">
        <v>17</v>
      </c>
      <c r="B495" t="s">
        <v>23</v>
      </c>
      <c r="C495" s="3" t="str">
        <f>IF($B495="GW1",VLOOKUP($A495,Matches!$A:$AC,2,FALSE),IF($B495="GW2",VLOOKUP($A495,Matches!$A:$AC,9,FALSE),IF($B495="GW3",VLOOKUP($A495,Matches!$A:$AC,16,FALSE))))</f>
        <v>Aston Villa</v>
      </c>
      <c r="D495" s="6">
        <v>0.32799790081343477</v>
      </c>
      <c r="E495" s="6">
        <v>0.4045307443365696</v>
      </c>
      <c r="F495" s="6">
        <v>-7.653284352313483E-2</v>
      </c>
      <c r="G495" s="3" t="s">
        <v>0</v>
      </c>
      <c r="H495">
        <v>0.27210884400000002</v>
      </c>
      <c r="I495">
        <v>0.173160173</v>
      </c>
      <c r="J495">
        <v>0.126984127</v>
      </c>
      <c r="K495">
        <v>0.20774647900000001</v>
      </c>
      <c r="L495">
        <v>0.5</v>
      </c>
      <c r="M495">
        <v>9.6004338999999994E-2</v>
      </c>
      <c r="N495" t="e">
        <v>#N/A</v>
      </c>
      <c r="O495" t="e">
        <v>#N/A</v>
      </c>
    </row>
    <row r="496" spans="1:15" x14ac:dyDescent="0.25">
      <c r="A496" t="s">
        <v>17</v>
      </c>
      <c r="B496" t="s">
        <v>23</v>
      </c>
      <c r="C496" s="3" t="str">
        <f>IF($B496="GW1",VLOOKUP($A496,Matches!$A:$AC,2,FALSE),IF($B496="GW2",VLOOKUP($A496,Matches!$A:$AC,9,FALSE),IF($B496="GW3",VLOOKUP($A496,Matches!$A:$AC,16,FALSE))))</f>
        <v>Aston Villa</v>
      </c>
      <c r="D496" s="6">
        <v>0.32799790081343477</v>
      </c>
      <c r="E496" s="6">
        <v>0.4045307443365696</v>
      </c>
      <c r="F496" s="6">
        <v>-7.653284352313483E-2</v>
      </c>
      <c r="G496" s="3" t="s">
        <v>0</v>
      </c>
      <c r="H496">
        <v>0.27210884400000002</v>
      </c>
      <c r="I496">
        <v>0.19047618999999999</v>
      </c>
      <c r="J496">
        <v>0.19047618999999999</v>
      </c>
      <c r="K496">
        <v>0.20774647900000001</v>
      </c>
      <c r="L496">
        <v>0.5</v>
      </c>
      <c r="M496">
        <v>9.6004338999999994E-2</v>
      </c>
      <c r="N496" t="e">
        <v>#N/A</v>
      </c>
      <c r="O496" t="e">
        <v>#N/A</v>
      </c>
    </row>
    <row r="497" spans="1:15" x14ac:dyDescent="0.25">
      <c r="A497" t="s">
        <v>17</v>
      </c>
      <c r="B497" t="s">
        <v>23</v>
      </c>
      <c r="C497" s="3" t="str">
        <f>IF($B497="GW1",VLOOKUP($A497,Matches!$A:$AC,2,FALSE),IF($B497="GW2",VLOOKUP($A497,Matches!$A:$AC,9,FALSE),IF($B497="GW3",VLOOKUP($A497,Matches!$A:$AC,16,FALSE))))</f>
        <v>Aston Villa</v>
      </c>
      <c r="D497" s="6">
        <v>0.32799790081343477</v>
      </c>
      <c r="E497" s="6">
        <v>0.4045307443365696</v>
      </c>
      <c r="F497" s="6">
        <v>-7.653284352313483E-2</v>
      </c>
      <c r="G497" s="3" t="s">
        <v>0</v>
      </c>
      <c r="H497">
        <v>0.105820106</v>
      </c>
      <c r="I497">
        <v>0.13605442200000001</v>
      </c>
      <c r="J497">
        <v>0.36630036599999999</v>
      </c>
      <c r="K497">
        <v>0.20774647900000001</v>
      </c>
      <c r="L497">
        <v>0.5</v>
      </c>
      <c r="M497">
        <v>9.6004338999999994E-2</v>
      </c>
      <c r="N497" t="e">
        <v>#N/A</v>
      </c>
      <c r="O497" t="e">
        <v>#N/A</v>
      </c>
    </row>
    <row r="498" spans="1:15" x14ac:dyDescent="0.25">
      <c r="A498" t="s">
        <v>17</v>
      </c>
      <c r="B498" t="s">
        <v>23</v>
      </c>
      <c r="C498" s="3" t="str">
        <f>IF($B498="GW1",VLOOKUP($A498,Matches!$A:$AC,2,FALSE),IF($B498="GW2",VLOOKUP($A498,Matches!$A:$AC,9,FALSE),IF($B498="GW3",VLOOKUP($A498,Matches!$A:$AC,16,FALSE))))</f>
        <v>Aston Villa</v>
      </c>
      <c r="D498" s="6">
        <v>0.32799790081343477</v>
      </c>
      <c r="E498" s="6">
        <v>0.4045307443365696</v>
      </c>
      <c r="F498" s="6">
        <v>-7.653284352313483E-2</v>
      </c>
      <c r="G498" s="3" t="s">
        <v>0</v>
      </c>
      <c r="H498">
        <v>0.21164021199999999</v>
      </c>
      <c r="I498">
        <v>0.19047618999999999</v>
      </c>
      <c r="J498">
        <v>0.21994941200000001</v>
      </c>
      <c r="K498">
        <v>0.20774647900000001</v>
      </c>
      <c r="L498">
        <v>0.5</v>
      </c>
      <c r="M498">
        <v>9.6004338999999994E-2</v>
      </c>
      <c r="N498" t="e">
        <v>#N/A</v>
      </c>
      <c r="O498" t="e">
        <v>#N/A</v>
      </c>
    </row>
    <row r="499" spans="1:15" x14ac:dyDescent="0.25">
      <c r="A499" t="s">
        <v>17</v>
      </c>
      <c r="B499" t="s">
        <v>23</v>
      </c>
      <c r="C499" s="3" t="str">
        <f>IF($B499="GW1",VLOOKUP($A499,Matches!$A:$AC,2,FALSE),IF($B499="GW2",VLOOKUP($A499,Matches!$A:$AC,9,FALSE),IF($B499="GW3",VLOOKUP($A499,Matches!$A:$AC,16,FALSE))))</f>
        <v>Aston Villa</v>
      </c>
      <c r="D499" s="6">
        <v>0.32799790081343477</v>
      </c>
      <c r="E499" s="6">
        <v>0.4045307443365696</v>
      </c>
      <c r="F499" s="6">
        <v>-7.653284352313483E-2</v>
      </c>
      <c r="G499" s="3" t="s">
        <v>0</v>
      </c>
      <c r="H499">
        <v>0.23809523799999999</v>
      </c>
      <c r="I499">
        <v>9.5238094999999995E-2</v>
      </c>
      <c r="J499">
        <v>0.346320346</v>
      </c>
      <c r="K499">
        <v>0.20774647900000001</v>
      </c>
      <c r="L499">
        <v>0.5</v>
      </c>
      <c r="M499">
        <v>9.6004338999999994E-2</v>
      </c>
      <c r="N499" t="e">
        <v>#N/A</v>
      </c>
      <c r="O499" t="e">
        <v>#N/A</v>
      </c>
    </row>
    <row r="500" spans="1:15" x14ac:dyDescent="0.25">
      <c r="A500" t="s">
        <v>17</v>
      </c>
      <c r="B500" t="s">
        <v>23</v>
      </c>
      <c r="C500" s="3" t="str">
        <f>IF($B500="GW1",VLOOKUP($A500,Matches!$A:$AC,2,FALSE),IF($B500="GW2",VLOOKUP($A500,Matches!$A:$AC,9,FALSE),IF($B500="GW3",VLOOKUP($A500,Matches!$A:$AC,16,FALSE))))</f>
        <v>Aston Villa</v>
      </c>
      <c r="D500" s="6">
        <v>0.32799790081343477</v>
      </c>
      <c r="E500" s="6">
        <v>0.4045307443365696</v>
      </c>
      <c r="F500" s="6">
        <v>-7.653284352313483E-2</v>
      </c>
      <c r="G500" s="3" t="s">
        <v>0</v>
      </c>
      <c r="H500">
        <v>0.13605442200000001</v>
      </c>
      <c r="I500">
        <v>8.6580087E-2</v>
      </c>
      <c r="J500">
        <v>0.36630036599999999</v>
      </c>
      <c r="K500">
        <v>0.20774647900000001</v>
      </c>
      <c r="L500">
        <v>0.5</v>
      </c>
      <c r="M500">
        <v>9.6004338999999994E-2</v>
      </c>
      <c r="N500" t="e">
        <v>#N/A</v>
      </c>
      <c r="O500" t="e">
        <v>#N/A</v>
      </c>
    </row>
    <row r="501" spans="1:15" x14ac:dyDescent="0.25">
      <c r="A501" t="s">
        <v>17</v>
      </c>
      <c r="B501" t="s">
        <v>23</v>
      </c>
      <c r="C501" s="3" t="str">
        <f>IF($B501="GW1",VLOOKUP($A501,Matches!$A:$AC,2,FALSE),IF($B501="GW2",VLOOKUP($A501,Matches!$A:$AC,9,FALSE),IF($B501="GW3",VLOOKUP($A501,Matches!$A:$AC,16,FALSE))))</f>
        <v>Aston Villa</v>
      </c>
      <c r="D501" s="6">
        <v>0.32799790081343477</v>
      </c>
      <c r="E501" s="6">
        <v>0.4045307443365696</v>
      </c>
      <c r="F501" s="6">
        <v>-7.653284352313483E-2</v>
      </c>
      <c r="G501" s="3" t="s">
        <v>0</v>
      </c>
      <c r="H501" t="e">
        <v>#N/A</v>
      </c>
      <c r="I501" t="e">
        <v>#N/A</v>
      </c>
      <c r="J501" t="e">
        <v>#N/A</v>
      </c>
      <c r="K501">
        <v>0.20774647900000001</v>
      </c>
      <c r="L501">
        <v>0.5</v>
      </c>
      <c r="M501">
        <v>9.6004338999999994E-2</v>
      </c>
      <c r="N501" t="e">
        <v>#N/A</v>
      </c>
      <c r="O501" t="e">
        <v>#N/A</v>
      </c>
    </row>
    <row r="502" spans="1:15" x14ac:dyDescent="0.25">
      <c r="A502" t="s">
        <v>17</v>
      </c>
      <c r="B502" t="s">
        <v>23</v>
      </c>
      <c r="C502" s="3" t="str">
        <f>IF($B502="GW1",VLOOKUP($A502,Matches!$A:$AC,2,FALSE),IF($B502="GW2",VLOOKUP($A502,Matches!$A:$AC,9,FALSE),IF($B502="GW3",VLOOKUP($A502,Matches!$A:$AC,16,FALSE))))</f>
        <v>Aston Villa</v>
      </c>
      <c r="D502" s="6">
        <v>0.32799790081343477</v>
      </c>
      <c r="E502" s="6">
        <v>0.4045307443365696</v>
      </c>
      <c r="F502" s="6">
        <v>-7.653284352313483E-2</v>
      </c>
      <c r="G502" s="3" t="s">
        <v>0</v>
      </c>
      <c r="H502" t="e">
        <v>#N/A</v>
      </c>
      <c r="I502" t="e">
        <v>#N/A</v>
      </c>
      <c r="J502" t="e">
        <v>#N/A</v>
      </c>
      <c r="K502">
        <v>0.20774647900000001</v>
      </c>
      <c r="L502">
        <v>0.5</v>
      </c>
      <c r="M502">
        <v>9.6004338999999994E-2</v>
      </c>
      <c r="N502" t="e">
        <v>#N/A</v>
      </c>
      <c r="O502" t="e">
        <v>#N/A</v>
      </c>
    </row>
    <row r="503" spans="1:15" x14ac:dyDescent="0.25">
      <c r="A503" t="s">
        <v>17</v>
      </c>
      <c r="B503" t="s">
        <v>23</v>
      </c>
      <c r="C503" s="3" t="str">
        <f>IF($B503="GW1",VLOOKUP($A503,Matches!$A:$AC,2,FALSE),IF($B503="GW2",VLOOKUP($A503,Matches!$A:$AC,9,FALSE),IF($B503="GW3",VLOOKUP($A503,Matches!$A:$AC,16,FALSE))))</f>
        <v>Aston Villa</v>
      </c>
      <c r="D503" s="6">
        <v>0.32799790081343477</v>
      </c>
      <c r="E503" s="6">
        <v>0.4045307443365696</v>
      </c>
      <c r="F503" s="6">
        <v>-7.653284352313483E-2</v>
      </c>
      <c r="G503" s="3" t="s">
        <v>0</v>
      </c>
      <c r="H503" t="e">
        <v>#N/A</v>
      </c>
      <c r="I503" t="e">
        <v>#N/A</v>
      </c>
      <c r="J503" t="e">
        <v>#N/A</v>
      </c>
      <c r="K503">
        <v>0.20774647900000001</v>
      </c>
      <c r="L503">
        <v>0.5</v>
      </c>
      <c r="M503">
        <v>9.6004338999999994E-2</v>
      </c>
      <c r="N503" t="e">
        <v>#N/A</v>
      </c>
      <c r="O503" t="e">
        <v>#N/A</v>
      </c>
    </row>
    <row r="504" spans="1:15" x14ac:dyDescent="0.25">
      <c r="A504" t="s">
        <v>17</v>
      </c>
      <c r="B504" t="s">
        <v>23</v>
      </c>
      <c r="C504" s="3" t="str">
        <f>IF($B504="GW1",VLOOKUP($A504,Matches!$A:$AC,2,FALSE),IF($B504="GW2",VLOOKUP($A504,Matches!$A:$AC,9,FALSE),IF($B504="GW3",VLOOKUP($A504,Matches!$A:$AC,16,FALSE))))</f>
        <v>Aston Villa</v>
      </c>
      <c r="D504" s="6">
        <v>0.32799790081343477</v>
      </c>
      <c r="E504" s="6">
        <v>0.4045307443365696</v>
      </c>
      <c r="F504" s="6">
        <v>-7.653284352313483E-2</v>
      </c>
      <c r="G504" s="3" t="s">
        <v>0</v>
      </c>
      <c r="H504" t="e">
        <v>#N/A</v>
      </c>
      <c r="I504" t="e">
        <v>#N/A</v>
      </c>
      <c r="J504" t="e">
        <v>#N/A</v>
      </c>
      <c r="K504">
        <v>0.20774647900000001</v>
      </c>
      <c r="L504">
        <v>0.5</v>
      </c>
      <c r="M504">
        <v>9.6004338999999994E-2</v>
      </c>
      <c r="N504" t="e">
        <v>#N/A</v>
      </c>
      <c r="O504" t="e">
        <v>#N/A</v>
      </c>
    </row>
    <row r="505" spans="1:15" x14ac:dyDescent="0.25">
      <c r="A505" t="s">
        <v>17</v>
      </c>
      <c r="B505" t="s">
        <v>23</v>
      </c>
      <c r="C505" s="3" t="str">
        <f>IF($B505="GW1",VLOOKUP($A505,Matches!$A:$AC,2,FALSE),IF($B505="GW2",VLOOKUP($A505,Matches!$A:$AC,9,FALSE),IF($B505="GW3",VLOOKUP($A505,Matches!$A:$AC,16,FALSE))))</f>
        <v>Aston Villa</v>
      </c>
      <c r="D505" s="6">
        <v>0.32799790081343477</v>
      </c>
      <c r="E505" s="6">
        <v>0.4045307443365696</v>
      </c>
      <c r="F505" s="6">
        <v>-7.653284352313483E-2</v>
      </c>
      <c r="G505" s="3" t="s">
        <v>0</v>
      </c>
      <c r="H505">
        <v>0.105820106</v>
      </c>
      <c r="I505">
        <v>0.13605442200000001</v>
      </c>
      <c r="J505">
        <v>0.20050125299999999</v>
      </c>
      <c r="K505">
        <v>0.20774647900000001</v>
      </c>
      <c r="L505">
        <v>0.5</v>
      </c>
      <c r="M505">
        <v>9.6004338999999994E-2</v>
      </c>
      <c r="N505" t="e">
        <v>#N/A</v>
      </c>
      <c r="O505" t="e">
        <v>#N/A</v>
      </c>
    </row>
    <row r="506" spans="1:15" x14ac:dyDescent="0.25">
      <c r="A506" t="s">
        <v>17</v>
      </c>
      <c r="B506" t="s">
        <v>23</v>
      </c>
      <c r="C506" s="3" t="str">
        <f>IF($B506="GW1",VLOOKUP($A506,Matches!$A:$AC,2,FALSE),IF($B506="GW2",VLOOKUP($A506,Matches!$A:$AC,9,FALSE),IF($B506="GW3",VLOOKUP($A506,Matches!$A:$AC,16,FALSE))))</f>
        <v>Aston Villa</v>
      </c>
      <c r="D506" s="6">
        <v>0.32799790081343477</v>
      </c>
      <c r="E506" s="6">
        <v>0.4045307443365696</v>
      </c>
      <c r="F506" s="6">
        <v>-7.653284352313483E-2</v>
      </c>
      <c r="G506" s="3" t="s">
        <v>0</v>
      </c>
      <c r="H506" t="e">
        <v>#N/A</v>
      </c>
      <c r="I506" t="e">
        <v>#N/A</v>
      </c>
      <c r="J506" t="e">
        <v>#N/A</v>
      </c>
      <c r="K506">
        <v>0.20774647900000001</v>
      </c>
      <c r="L506">
        <v>0.5</v>
      </c>
      <c r="M506">
        <v>9.6004338999999994E-2</v>
      </c>
      <c r="N506" t="e">
        <v>#N/A</v>
      </c>
      <c r="O506" t="e">
        <v>#N/A</v>
      </c>
    </row>
    <row r="507" spans="1:15" x14ac:dyDescent="0.25">
      <c r="A507" t="s">
        <v>17</v>
      </c>
      <c r="B507" t="s">
        <v>23</v>
      </c>
      <c r="C507" s="3" t="str">
        <f>IF($B507="GW1",VLOOKUP($A507,Matches!$A:$AC,2,FALSE),IF($B507="GW2",VLOOKUP($A507,Matches!$A:$AC,9,FALSE),IF($B507="GW3",VLOOKUP($A507,Matches!$A:$AC,16,FALSE))))</f>
        <v>Aston Villa</v>
      </c>
      <c r="D507" s="6">
        <v>0.32799790081343477</v>
      </c>
      <c r="E507" s="6">
        <v>0.4045307443365696</v>
      </c>
      <c r="F507" s="6">
        <v>-7.653284352313483E-2</v>
      </c>
      <c r="G507" s="3" t="s">
        <v>0</v>
      </c>
      <c r="H507" t="e">
        <v>#N/A</v>
      </c>
      <c r="I507" t="e">
        <v>#N/A</v>
      </c>
      <c r="J507" t="e">
        <v>#N/A</v>
      </c>
      <c r="K507">
        <v>0.20774647900000001</v>
      </c>
      <c r="L507">
        <v>0.5</v>
      </c>
      <c r="M507">
        <v>9.6004338999999994E-2</v>
      </c>
      <c r="N507" t="e">
        <v>#N/A</v>
      </c>
      <c r="O507" t="e">
        <v>#N/A</v>
      </c>
    </row>
    <row r="508" spans="1:15" x14ac:dyDescent="0.25">
      <c r="A508" t="s">
        <v>17</v>
      </c>
      <c r="B508" t="s">
        <v>23</v>
      </c>
      <c r="C508" s="3" t="str">
        <f>IF($B508="GW1",VLOOKUP($A508,Matches!$A:$AC,2,FALSE),IF($B508="GW2",VLOOKUP($A508,Matches!$A:$AC,9,FALSE),IF($B508="GW3",VLOOKUP($A508,Matches!$A:$AC,16,FALSE))))</f>
        <v>Aston Villa</v>
      </c>
      <c r="D508" s="6">
        <v>0.32799790081343477</v>
      </c>
      <c r="E508" s="6">
        <v>0.4045307443365696</v>
      </c>
      <c r="F508" s="6">
        <v>-7.653284352313483E-2</v>
      </c>
      <c r="G508" s="3" t="s">
        <v>0</v>
      </c>
      <c r="H508">
        <v>0.27210884400000002</v>
      </c>
      <c r="I508">
        <v>0.105820106</v>
      </c>
      <c r="J508">
        <v>0.26455026500000001</v>
      </c>
      <c r="K508">
        <v>0.20774647900000001</v>
      </c>
      <c r="L508">
        <v>0.5</v>
      </c>
      <c r="M508">
        <v>9.6004338999999994E-2</v>
      </c>
      <c r="N508" t="e">
        <v>#N/A</v>
      </c>
      <c r="O508" t="e">
        <v>#N/A</v>
      </c>
    </row>
    <row r="509" spans="1:15" x14ac:dyDescent="0.25">
      <c r="A509" t="s">
        <v>17</v>
      </c>
      <c r="B509" t="s">
        <v>23</v>
      </c>
      <c r="C509" s="3" t="str">
        <f>IF($B509="GW1",VLOOKUP($A509,Matches!$A:$AC,2,FALSE),IF($B509="GW2",VLOOKUP($A509,Matches!$A:$AC,9,FALSE),IF($B509="GW3",VLOOKUP($A509,Matches!$A:$AC,16,FALSE))))</f>
        <v>Aston Villa</v>
      </c>
      <c r="D509" s="6">
        <v>0.32799790081343477</v>
      </c>
      <c r="E509" s="6">
        <v>0.4045307443365696</v>
      </c>
      <c r="F509" s="6">
        <v>-7.653284352313483E-2</v>
      </c>
      <c r="G509" s="3" t="s">
        <v>0</v>
      </c>
      <c r="H509">
        <v>0.29304029300000001</v>
      </c>
      <c r="I509">
        <v>7.3260072999999995E-2</v>
      </c>
      <c r="J509">
        <v>0.21994941200000001</v>
      </c>
      <c r="K509">
        <v>0.20774647900000001</v>
      </c>
      <c r="L509">
        <v>0.5</v>
      </c>
      <c r="M509">
        <v>9.6004338999999994E-2</v>
      </c>
      <c r="N509" t="e">
        <v>#N/A</v>
      </c>
      <c r="O509" t="e">
        <v>#N/A</v>
      </c>
    </row>
    <row r="510" spans="1:15" x14ac:dyDescent="0.25">
      <c r="A510" t="s">
        <v>18</v>
      </c>
      <c r="B510" t="s">
        <v>23</v>
      </c>
      <c r="C510" s="3" t="str">
        <f>IF($B510="GW1",VLOOKUP($A510,Matches!$A:$AC,2,FALSE),IF($B510="GW2",VLOOKUP($A510,Matches!$A:$AC,9,FALSE),IF($B510="GW3",VLOOKUP($A510,Matches!$A:$AC,16,FALSE))))</f>
        <v>Brentford</v>
      </c>
      <c r="D510" s="6">
        <v>0.50831088293600368</v>
      </c>
      <c r="E510" s="6">
        <v>0.2289796666056054</v>
      </c>
      <c r="F510" s="6">
        <v>0.27933121633039826</v>
      </c>
      <c r="G510" s="3" t="s">
        <v>1</v>
      </c>
      <c r="H510" t="e">
        <v>#N/A</v>
      </c>
      <c r="I510" t="e">
        <v>#N/A</v>
      </c>
      <c r="J510">
        <v>0.13605442200000001</v>
      </c>
      <c r="K510" t="e">
        <v>#N/A</v>
      </c>
      <c r="L510" t="e">
        <v>#N/A</v>
      </c>
      <c r="M510" t="e">
        <v>#N/A</v>
      </c>
      <c r="N510">
        <v>0.57372346500000004</v>
      </c>
      <c r="O510">
        <v>8.6580087E-2</v>
      </c>
    </row>
    <row r="511" spans="1:15" x14ac:dyDescent="0.25">
      <c r="A511" t="s">
        <v>18</v>
      </c>
      <c r="B511" t="s">
        <v>23</v>
      </c>
      <c r="C511" s="3" t="str">
        <f>IF($B511="GW1",VLOOKUP($A511,Matches!$A:$AC,2,FALSE),IF($B511="GW2",VLOOKUP($A511,Matches!$A:$AC,9,FALSE),IF($B511="GW3",VLOOKUP($A511,Matches!$A:$AC,16,FALSE))))</f>
        <v>Brentford</v>
      </c>
      <c r="D511" s="6">
        <v>0.50831088293600368</v>
      </c>
      <c r="E511" s="6">
        <v>0.2289796666056054</v>
      </c>
      <c r="F511" s="6">
        <v>0.27933121633039826</v>
      </c>
      <c r="G511" s="3" t="s">
        <v>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</row>
    <row r="512" spans="1:15" x14ac:dyDescent="0.25">
      <c r="A512" t="s">
        <v>18</v>
      </c>
      <c r="B512" t="s">
        <v>23</v>
      </c>
      <c r="C512" s="3" t="str">
        <f>IF($B512="GW1",VLOOKUP($A512,Matches!$A:$AC,2,FALSE),IF($B512="GW2",VLOOKUP($A512,Matches!$A:$AC,9,FALSE),IF($B512="GW3",VLOOKUP($A512,Matches!$A:$AC,16,FALSE))))</f>
        <v>Brentford</v>
      </c>
      <c r="D512" s="6">
        <v>0.50831088293600368</v>
      </c>
      <c r="E512" s="6">
        <v>0.2289796666056054</v>
      </c>
      <c r="F512" s="6">
        <v>0.27933121633039826</v>
      </c>
      <c r="G512" s="3" t="s">
        <v>1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</row>
    <row r="513" spans="1:15" x14ac:dyDescent="0.25">
      <c r="A513" t="s">
        <v>18</v>
      </c>
      <c r="B513" t="s">
        <v>23</v>
      </c>
      <c r="C513" s="3" t="str">
        <f>IF($B513="GW1",VLOOKUP($A513,Matches!$A:$AC,2,FALSE),IF($B513="GW2",VLOOKUP($A513,Matches!$A:$AC,9,FALSE),IF($B513="GW3",VLOOKUP($A513,Matches!$A:$AC,16,FALSE))))</f>
        <v>Brentford</v>
      </c>
      <c r="D513" s="6">
        <v>0.50831088293600368</v>
      </c>
      <c r="E513" s="6">
        <v>0.2289796666056054</v>
      </c>
      <c r="F513" s="6">
        <v>0.27933121633039826</v>
      </c>
      <c r="G513" s="3" t="s">
        <v>1</v>
      </c>
      <c r="H513">
        <v>0.105820106</v>
      </c>
      <c r="I513">
        <v>3.6630036999999997E-2</v>
      </c>
      <c r="J513">
        <v>0.253968254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</row>
    <row r="514" spans="1:15" x14ac:dyDescent="0.25">
      <c r="A514" t="s">
        <v>18</v>
      </c>
      <c r="B514" t="s">
        <v>23</v>
      </c>
      <c r="C514" s="3" t="str">
        <f>IF($B514="GW1",VLOOKUP($A514,Matches!$A:$AC,2,FALSE),IF($B514="GW2",VLOOKUP($A514,Matches!$A:$AC,9,FALSE),IF($B514="GW3",VLOOKUP($A514,Matches!$A:$AC,16,FALSE))))</f>
        <v>Brentford</v>
      </c>
      <c r="D514" s="6">
        <v>0.50831088293600368</v>
      </c>
      <c r="E514" s="6">
        <v>0.2289796666056054</v>
      </c>
      <c r="F514" s="6">
        <v>0.27933121633039826</v>
      </c>
      <c r="G514" s="3" t="s">
        <v>1</v>
      </c>
      <c r="H514">
        <v>8.6580087E-2</v>
      </c>
      <c r="I514">
        <v>8.6580087E-2</v>
      </c>
      <c r="J514">
        <v>0.15873015900000001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</row>
    <row r="515" spans="1:15" x14ac:dyDescent="0.25">
      <c r="A515" t="s">
        <v>18</v>
      </c>
      <c r="B515" t="s">
        <v>23</v>
      </c>
      <c r="C515" s="3" t="str">
        <f>IF($B515="GW1",VLOOKUP($A515,Matches!$A:$AC,2,FALSE),IF($B515="GW2",VLOOKUP($A515,Matches!$A:$AC,9,FALSE),IF($B515="GW3",VLOOKUP($A515,Matches!$A:$AC,16,FALSE))))</f>
        <v>Brentford</v>
      </c>
      <c r="D515" s="6">
        <v>0.50831088293600368</v>
      </c>
      <c r="E515" s="6">
        <v>0.2289796666056054</v>
      </c>
      <c r="F515" s="6">
        <v>0.27933121633039826</v>
      </c>
      <c r="G515" s="3" t="s">
        <v>1</v>
      </c>
      <c r="H515">
        <v>8.6580087E-2</v>
      </c>
      <c r="I515">
        <v>5.6022409000000002E-2</v>
      </c>
      <c r="J515">
        <v>0.253968254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</row>
    <row r="516" spans="1:15" x14ac:dyDescent="0.25">
      <c r="A516" t="s">
        <v>18</v>
      </c>
      <c r="B516" t="s">
        <v>23</v>
      </c>
      <c r="C516" s="3" t="str">
        <f>IF($B516="GW1",VLOOKUP($A516,Matches!$A:$AC,2,FALSE),IF($B516="GW2",VLOOKUP($A516,Matches!$A:$AC,9,FALSE),IF($B516="GW3",VLOOKUP($A516,Matches!$A:$AC,16,FALSE))))</f>
        <v>Brentford</v>
      </c>
      <c r="D516" s="6">
        <v>0.50831088293600368</v>
      </c>
      <c r="E516" s="6">
        <v>0.2289796666056054</v>
      </c>
      <c r="F516" s="6">
        <v>0.27933121633039826</v>
      </c>
      <c r="G516" s="3" t="s">
        <v>1</v>
      </c>
      <c r="H516">
        <v>0.105820106</v>
      </c>
      <c r="I516">
        <v>8.6580087E-2</v>
      </c>
      <c r="J516">
        <v>0.253968254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</row>
    <row r="517" spans="1:15" x14ac:dyDescent="0.25">
      <c r="A517" t="s">
        <v>18</v>
      </c>
      <c r="B517" t="s">
        <v>23</v>
      </c>
      <c r="C517" s="3" t="str">
        <f>IF($B517="GW1",VLOOKUP($A517,Matches!$A:$AC,2,FALSE),IF($B517="GW2",VLOOKUP($A517,Matches!$A:$AC,9,FALSE),IF($B517="GW3",VLOOKUP($A517,Matches!$A:$AC,16,FALSE))))</f>
        <v>Brentford</v>
      </c>
      <c r="D517" s="6">
        <v>0.50831088293600368</v>
      </c>
      <c r="E517" s="6">
        <v>0.2289796666056054</v>
      </c>
      <c r="F517" s="6">
        <v>0.27933121633039826</v>
      </c>
      <c r="G517" s="3" t="s">
        <v>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</row>
    <row r="518" spans="1:15" x14ac:dyDescent="0.25">
      <c r="A518" t="s">
        <v>18</v>
      </c>
      <c r="B518" t="s">
        <v>23</v>
      </c>
      <c r="C518" s="3" t="str">
        <f>IF($B518="GW1",VLOOKUP($A518,Matches!$A:$AC,2,FALSE),IF($B518="GW2",VLOOKUP($A518,Matches!$A:$AC,9,FALSE),IF($B518="GW3",VLOOKUP($A518,Matches!$A:$AC,16,FALSE))))</f>
        <v>Brentford</v>
      </c>
      <c r="D518" s="6">
        <v>0.50831088293600368</v>
      </c>
      <c r="E518" s="6">
        <v>0.2289796666056054</v>
      </c>
      <c r="F518" s="6">
        <v>0.27933121633039826</v>
      </c>
      <c r="G518" s="3" t="s">
        <v>1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</row>
    <row r="519" spans="1:15" x14ac:dyDescent="0.25">
      <c r="A519" t="s">
        <v>18</v>
      </c>
      <c r="B519" t="s">
        <v>23</v>
      </c>
      <c r="C519" s="3" t="str">
        <f>IF($B519="GW1",VLOOKUP($A519,Matches!$A:$AC,2,FALSE),IF($B519="GW2",VLOOKUP($A519,Matches!$A:$AC,9,FALSE),IF($B519="GW3",VLOOKUP($A519,Matches!$A:$AC,16,FALSE))))</f>
        <v>Brentford</v>
      </c>
      <c r="D519" s="6">
        <v>0.50831088293600368</v>
      </c>
      <c r="E519" s="6">
        <v>0.2289796666056054</v>
      </c>
      <c r="F519" s="6">
        <v>0.27933121633039826</v>
      </c>
      <c r="G519" s="3" t="s">
        <v>1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</row>
    <row r="520" spans="1:15" x14ac:dyDescent="0.25">
      <c r="A520" t="s">
        <v>18</v>
      </c>
      <c r="B520" t="s">
        <v>23</v>
      </c>
      <c r="C520" s="3" t="str">
        <f>IF($B520="GW1",VLOOKUP($A520,Matches!$A:$AC,2,FALSE),IF($B520="GW2",VLOOKUP($A520,Matches!$A:$AC,9,FALSE),IF($B520="GW3",VLOOKUP($A520,Matches!$A:$AC,16,FALSE))))</f>
        <v>Brentford</v>
      </c>
      <c r="D520" s="6">
        <v>0.50831088293600368</v>
      </c>
      <c r="E520" s="6">
        <v>0.2289796666056054</v>
      </c>
      <c r="F520" s="6">
        <v>0.27933121633039826</v>
      </c>
      <c r="G520" s="3" t="s">
        <v>1</v>
      </c>
      <c r="H520">
        <v>8.6580087E-2</v>
      </c>
      <c r="I520">
        <v>4.1407867000000001E-2</v>
      </c>
      <c r="J520">
        <v>0.15873015900000001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</row>
    <row r="521" spans="1:15" x14ac:dyDescent="0.25">
      <c r="A521" t="s">
        <v>18</v>
      </c>
      <c r="B521" t="s">
        <v>23</v>
      </c>
      <c r="C521" s="3" t="str">
        <f>IF($B521="GW1",VLOOKUP($A521,Matches!$A:$AC,2,FALSE),IF($B521="GW2",VLOOKUP($A521,Matches!$A:$AC,9,FALSE),IF($B521="GW3",VLOOKUP($A521,Matches!$A:$AC,16,FALSE))))</f>
        <v>Brentford</v>
      </c>
      <c r="D521" s="6">
        <v>0.50831088293600368</v>
      </c>
      <c r="E521" s="6">
        <v>0.2289796666056054</v>
      </c>
      <c r="F521" s="6">
        <v>0.27933121633039826</v>
      </c>
      <c r="G521" s="3" t="s">
        <v>1</v>
      </c>
      <c r="H521">
        <v>7.3260072999999995E-2</v>
      </c>
      <c r="I521">
        <v>5.6022409000000002E-2</v>
      </c>
      <c r="J521">
        <v>0.20050125299999999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</row>
    <row r="522" spans="1:15" x14ac:dyDescent="0.25">
      <c r="A522" t="s">
        <v>18</v>
      </c>
      <c r="B522" t="s">
        <v>23</v>
      </c>
      <c r="C522" s="3" t="str">
        <f>IF($B522="GW1",VLOOKUP($A522,Matches!$A:$AC,2,FALSE),IF($B522="GW2",VLOOKUP($A522,Matches!$A:$AC,9,FALSE),IF($B522="GW3",VLOOKUP($A522,Matches!$A:$AC,16,FALSE))))</f>
        <v>Brentford</v>
      </c>
      <c r="D522" s="6">
        <v>0.50831088293600368</v>
      </c>
      <c r="E522" s="6">
        <v>0.2289796666056054</v>
      </c>
      <c r="F522" s="6">
        <v>0.27933121633039826</v>
      </c>
      <c r="G522" s="3" t="s">
        <v>1</v>
      </c>
      <c r="H522">
        <v>8.6580087E-2</v>
      </c>
      <c r="I522">
        <v>5.0125312999999998E-2</v>
      </c>
      <c r="J522">
        <v>0.15873015900000001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</row>
    <row r="523" spans="1:15" x14ac:dyDescent="0.25">
      <c r="A523" t="s">
        <v>18</v>
      </c>
      <c r="B523" t="s">
        <v>23</v>
      </c>
      <c r="C523" s="3" t="str">
        <f>IF($B523="GW1",VLOOKUP($A523,Matches!$A:$AC,2,FALSE),IF($B523="GW2",VLOOKUP($A523,Matches!$A:$AC,9,FALSE),IF($B523="GW3",VLOOKUP($A523,Matches!$A:$AC,16,FALSE))))</f>
        <v>Brentford</v>
      </c>
      <c r="D523" s="6">
        <v>0.50831088293600368</v>
      </c>
      <c r="E523" s="6">
        <v>0.2289796666056054</v>
      </c>
      <c r="F523" s="6">
        <v>0.27933121633039826</v>
      </c>
      <c r="G523" s="3" t="s">
        <v>1</v>
      </c>
      <c r="H523">
        <v>0.27210884400000002</v>
      </c>
      <c r="I523">
        <v>0.19047618999999999</v>
      </c>
      <c r="J523">
        <v>0.253968254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</row>
    <row r="524" spans="1:15" x14ac:dyDescent="0.25">
      <c r="A524" t="s">
        <v>18</v>
      </c>
      <c r="B524" t="s">
        <v>23</v>
      </c>
      <c r="C524" s="3" t="str">
        <f>IF($B524="GW1",VLOOKUP($A524,Matches!$A:$AC,2,FALSE),IF($B524="GW2",VLOOKUP($A524,Matches!$A:$AC,9,FALSE),IF($B524="GW3",VLOOKUP($A524,Matches!$A:$AC,16,FALSE))))</f>
        <v>Brentford</v>
      </c>
      <c r="D524" s="6">
        <v>0.50831088293600368</v>
      </c>
      <c r="E524" s="6">
        <v>0.2289796666056054</v>
      </c>
      <c r="F524" s="6">
        <v>0.27933121633039826</v>
      </c>
      <c r="G524" s="3" t="s">
        <v>1</v>
      </c>
      <c r="H524">
        <v>0.23809523799999999</v>
      </c>
      <c r="I524">
        <v>0.11904761899999999</v>
      </c>
      <c r="J524">
        <v>0.11904761899999999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</row>
    <row r="525" spans="1:15" x14ac:dyDescent="0.25">
      <c r="A525" t="s">
        <v>18</v>
      </c>
      <c r="B525" t="s">
        <v>23</v>
      </c>
      <c r="C525" s="3" t="str">
        <f>IF($B525="GW1",VLOOKUP($A525,Matches!$A:$AC,2,FALSE),IF($B525="GW2",VLOOKUP($A525,Matches!$A:$AC,9,FALSE),IF($B525="GW3",VLOOKUP($A525,Matches!$A:$AC,16,FALSE))))</f>
        <v>Brentford</v>
      </c>
      <c r="D525" s="6">
        <v>0.50831088293600368</v>
      </c>
      <c r="E525" s="6">
        <v>0.2289796666056054</v>
      </c>
      <c r="F525" s="6">
        <v>0.27933121633039826</v>
      </c>
      <c r="G525" s="3" t="s">
        <v>1</v>
      </c>
      <c r="H525">
        <v>0.126984127</v>
      </c>
      <c r="I525">
        <v>0.19047618999999999</v>
      </c>
      <c r="J525">
        <v>0.20050125299999999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</row>
    <row r="526" spans="1:15" x14ac:dyDescent="0.25">
      <c r="A526" t="s">
        <v>18</v>
      </c>
      <c r="B526" t="s">
        <v>23</v>
      </c>
      <c r="C526" s="3" t="str">
        <f>IF($B526="GW1",VLOOKUP($A526,Matches!$A:$AC,2,FALSE),IF($B526="GW2",VLOOKUP($A526,Matches!$A:$AC,9,FALSE),IF($B526="GW3",VLOOKUP($A526,Matches!$A:$AC,16,FALSE))))</f>
        <v>Brentford</v>
      </c>
      <c r="D526" s="6">
        <v>0.50831088293600368</v>
      </c>
      <c r="E526" s="6">
        <v>0.2289796666056054</v>
      </c>
      <c r="F526" s="6">
        <v>0.27933121633039826</v>
      </c>
      <c r="G526" s="3" t="s">
        <v>1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</row>
    <row r="527" spans="1:15" x14ac:dyDescent="0.25">
      <c r="A527" t="s">
        <v>18</v>
      </c>
      <c r="B527" t="s">
        <v>23</v>
      </c>
      <c r="C527" s="3" t="str">
        <f>IF($B527="GW1",VLOOKUP($A527,Matches!$A:$AC,2,FALSE),IF($B527="GW2",VLOOKUP($A527,Matches!$A:$AC,9,FALSE),IF($B527="GW3",VLOOKUP($A527,Matches!$A:$AC,16,FALSE))))</f>
        <v>Brentford</v>
      </c>
      <c r="D527" s="6">
        <v>0.50831088293600368</v>
      </c>
      <c r="E527" s="6">
        <v>0.2289796666056054</v>
      </c>
      <c r="F527" s="6">
        <v>0.27933121633039826</v>
      </c>
      <c r="G527" s="3" t="s">
        <v>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</row>
    <row r="528" spans="1:15" x14ac:dyDescent="0.25">
      <c r="A528" t="s">
        <v>18</v>
      </c>
      <c r="B528" t="s">
        <v>23</v>
      </c>
      <c r="C528" s="3" t="str">
        <f>IF($B528="GW1",VLOOKUP($A528,Matches!$A:$AC,2,FALSE),IF($B528="GW2",VLOOKUP($A528,Matches!$A:$AC,9,FALSE),IF($B528="GW3",VLOOKUP($A528,Matches!$A:$AC,16,FALSE))))</f>
        <v>Brentford</v>
      </c>
      <c r="D528" s="6">
        <v>0.50831088293600368</v>
      </c>
      <c r="E528" s="6">
        <v>0.2289796666056054</v>
      </c>
      <c r="F528" s="6">
        <v>0.27933121633039826</v>
      </c>
      <c r="G528" s="3" t="s">
        <v>1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</row>
    <row r="529" spans="1:15" x14ac:dyDescent="0.25">
      <c r="A529" t="s">
        <v>18</v>
      </c>
      <c r="B529" t="s">
        <v>23</v>
      </c>
      <c r="C529" s="3" t="str">
        <f>IF($B529="GW1",VLOOKUP($A529,Matches!$A:$AC,2,FALSE),IF($B529="GW2",VLOOKUP($A529,Matches!$A:$AC,9,FALSE),IF($B529="GW3",VLOOKUP($A529,Matches!$A:$AC,16,FALSE))))</f>
        <v>Brentford</v>
      </c>
      <c r="D529" s="6">
        <v>0.50831088293600368</v>
      </c>
      <c r="E529" s="6">
        <v>0.2289796666056054</v>
      </c>
      <c r="F529" s="6">
        <v>0.27933121633039826</v>
      </c>
      <c r="G529" s="3" t="s">
        <v>1</v>
      </c>
      <c r="H529">
        <v>0.105820106</v>
      </c>
      <c r="I529">
        <v>8.6580087E-2</v>
      </c>
      <c r="J529">
        <v>0.253968254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</row>
    <row r="530" spans="1:15" x14ac:dyDescent="0.25">
      <c r="A530" t="s">
        <v>18</v>
      </c>
      <c r="B530" t="s">
        <v>23</v>
      </c>
      <c r="C530" s="3" t="str">
        <f>IF($B530="GW1",VLOOKUP($A530,Matches!$A:$AC,2,FALSE),IF($B530="GW2",VLOOKUP($A530,Matches!$A:$AC,9,FALSE),IF($B530="GW3",VLOOKUP($A530,Matches!$A:$AC,16,FALSE))))</f>
        <v>Brentford</v>
      </c>
      <c r="D530" s="6">
        <v>0.50831088293600368</v>
      </c>
      <c r="E530" s="6">
        <v>0.2289796666056054</v>
      </c>
      <c r="F530" s="6">
        <v>0.27933121633039826</v>
      </c>
      <c r="G530" s="3" t="s">
        <v>1</v>
      </c>
      <c r="H530">
        <v>0.11904761899999999</v>
      </c>
      <c r="I530">
        <v>8.6580087E-2</v>
      </c>
      <c r="J530">
        <v>0.29304029300000001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</row>
    <row r="531" spans="1:15" x14ac:dyDescent="0.25">
      <c r="A531" t="s">
        <v>18</v>
      </c>
      <c r="B531" t="s">
        <v>23</v>
      </c>
      <c r="C531" s="3" t="str">
        <f>IF($B531="GW1",VLOOKUP($A531,Matches!$A:$AC,2,FALSE),IF($B531="GW2",VLOOKUP($A531,Matches!$A:$AC,9,FALSE),IF($B531="GW3",VLOOKUP($A531,Matches!$A:$AC,16,FALSE))))</f>
        <v>Brentford</v>
      </c>
      <c r="D531" s="6">
        <v>0.50831088293600368</v>
      </c>
      <c r="E531" s="6">
        <v>0.2289796666056054</v>
      </c>
      <c r="F531" s="6">
        <v>0.27933121633039826</v>
      </c>
      <c r="G531" s="3" t="s">
        <v>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</row>
    <row r="532" spans="1:15" x14ac:dyDescent="0.25">
      <c r="A532" t="s">
        <v>18</v>
      </c>
      <c r="B532" t="s">
        <v>23</v>
      </c>
      <c r="C532" s="3" t="str">
        <f>IF($B532="GW1",VLOOKUP($A532,Matches!$A:$AC,2,FALSE),IF($B532="GW2",VLOOKUP($A532,Matches!$A:$AC,9,FALSE),IF($B532="GW3",VLOOKUP($A532,Matches!$A:$AC,16,FALSE))))</f>
        <v>Brentford</v>
      </c>
      <c r="D532" s="6">
        <v>0.50831088293600368</v>
      </c>
      <c r="E532" s="6">
        <v>0.2289796666056054</v>
      </c>
      <c r="F532" s="6">
        <v>0.27933121633039826</v>
      </c>
      <c r="G532" s="3" t="s">
        <v>1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</row>
    <row r="533" spans="1:15" x14ac:dyDescent="0.25">
      <c r="A533" t="s">
        <v>18</v>
      </c>
      <c r="B533" t="s">
        <v>23</v>
      </c>
      <c r="C533" s="3" t="str">
        <f>IF($B533="GW1",VLOOKUP($A533,Matches!$A:$AC,2,FALSE),IF($B533="GW2",VLOOKUP($A533,Matches!$A:$AC,9,FALSE),IF($B533="GW3",VLOOKUP($A533,Matches!$A:$AC,16,FALSE))))</f>
        <v>Brentford</v>
      </c>
      <c r="D533" s="6">
        <v>0.50831088293600368</v>
      </c>
      <c r="E533" s="6">
        <v>0.2289796666056054</v>
      </c>
      <c r="F533" s="6">
        <v>0.27933121633039826</v>
      </c>
      <c r="G533" s="3" t="s">
        <v>1</v>
      </c>
      <c r="H533">
        <v>0.346320346</v>
      </c>
      <c r="I533">
        <v>0.105820106</v>
      </c>
      <c r="J533">
        <v>0.105820106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</row>
    <row r="534" spans="1:15" x14ac:dyDescent="0.25">
      <c r="A534" t="s">
        <v>18</v>
      </c>
      <c r="B534" t="s">
        <v>23</v>
      </c>
      <c r="C534" s="3" t="str">
        <f>IF($B534="GW1",VLOOKUP($A534,Matches!$A:$AC,2,FALSE),IF($B534="GW2",VLOOKUP($A534,Matches!$A:$AC,9,FALSE),IF($B534="GW3",VLOOKUP($A534,Matches!$A:$AC,16,FALSE))))</f>
        <v>Brentford</v>
      </c>
      <c r="D534" s="6">
        <v>0.50831088293600368</v>
      </c>
      <c r="E534" s="6">
        <v>0.2289796666056054</v>
      </c>
      <c r="F534" s="6">
        <v>0.27933121633039826</v>
      </c>
      <c r="G534" s="3" t="s">
        <v>1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</row>
    <row r="535" spans="1:15" x14ac:dyDescent="0.25">
      <c r="A535" t="s">
        <v>18</v>
      </c>
      <c r="B535" t="s">
        <v>23</v>
      </c>
      <c r="C535" s="3" t="str">
        <f>IF($B535="GW1",VLOOKUP($A535,Matches!$A:$AC,2,FALSE),IF($B535="GW2",VLOOKUP($A535,Matches!$A:$AC,9,FALSE),IF($B535="GW3",VLOOKUP($A535,Matches!$A:$AC,16,FALSE))))</f>
        <v>Brentford</v>
      </c>
      <c r="D535" s="6">
        <v>0.50831088293600368</v>
      </c>
      <c r="E535" s="6">
        <v>0.2289796666056054</v>
      </c>
      <c r="F535" s="6">
        <v>0.27933121633039826</v>
      </c>
      <c r="G535" s="3" t="s">
        <v>1</v>
      </c>
      <c r="H535">
        <v>0.36350418000000001</v>
      </c>
      <c r="I535">
        <v>0.13605442200000001</v>
      </c>
      <c r="J535">
        <v>0.13605442200000001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</row>
    <row r="536" spans="1:15" x14ac:dyDescent="0.25">
      <c r="A536" t="s">
        <v>19</v>
      </c>
      <c r="B536" t="s">
        <v>23</v>
      </c>
      <c r="C536" s="3" t="str">
        <f>IF($B536="GW1",VLOOKUP($A536,Matches!$A:$AC,2,FALSE),IF($B536="GW2",VLOOKUP($A536,Matches!$A:$AC,9,FALSE),IF($B536="GW3",VLOOKUP($A536,Matches!$A:$AC,16,FALSE))))</f>
        <v>West Ham</v>
      </c>
      <c r="D536" s="6">
        <v>0.28059936023345866</v>
      </c>
      <c r="E536" s="6">
        <v>0.43149946062567418</v>
      </c>
      <c r="F536" s="6">
        <v>-0.15090010039221552</v>
      </c>
      <c r="G536" s="3" t="s">
        <v>1</v>
      </c>
      <c r="H536" t="e">
        <v>#N/A</v>
      </c>
      <c r="I536" t="e">
        <v>#N/A</v>
      </c>
      <c r="J536">
        <v>0.14652014699999999</v>
      </c>
      <c r="K536">
        <v>0.23371647500000001</v>
      </c>
      <c r="L536">
        <v>0.441489362</v>
      </c>
      <c r="M536">
        <v>7.4074074000000004E-2</v>
      </c>
      <c r="N536">
        <v>0.57372346500000004</v>
      </c>
      <c r="O536">
        <v>8.6580087E-2</v>
      </c>
    </row>
    <row r="537" spans="1:15" x14ac:dyDescent="0.25">
      <c r="A537" t="s">
        <v>19</v>
      </c>
      <c r="B537" t="s">
        <v>23</v>
      </c>
      <c r="C537" s="3" t="str">
        <f>IF($B537="GW1",VLOOKUP($A537,Matches!$A:$AC,2,FALSE),IF($B537="GW2",VLOOKUP($A537,Matches!$A:$AC,9,FALSE),IF($B537="GW3",VLOOKUP($A537,Matches!$A:$AC,16,FALSE))))</f>
        <v>West Ham</v>
      </c>
      <c r="D537" s="6">
        <v>0.28059936023345866</v>
      </c>
      <c r="E537" s="6">
        <v>0.43149946062567418</v>
      </c>
      <c r="F537" s="6">
        <v>-0.15090010039221552</v>
      </c>
      <c r="G537" s="3" t="s">
        <v>1</v>
      </c>
      <c r="H537" t="e">
        <v>#N/A</v>
      </c>
      <c r="I537" t="e">
        <v>#N/A</v>
      </c>
      <c r="J537">
        <v>0.14652014699999999</v>
      </c>
      <c r="K537">
        <v>0.23371647500000001</v>
      </c>
      <c r="L537">
        <v>0.441489362</v>
      </c>
      <c r="M537">
        <v>7.4074074000000004E-2</v>
      </c>
      <c r="N537" t="e">
        <v>#N/A</v>
      </c>
      <c r="O537" t="e">
        <v>#N/A</v>
      </c>
    </row>
    <row r="538" spans="1:15" x14ac:dyDescent="0.25">
      <c r="A538" t="s">
        <v>19</v>
      </c>
      <c r="B538" t="s">
        <v>23</v>
      </c>
      <c r="C538" s="3" t="str">
        <f>IF($B538="GW1",VLOOKUP($A538,Matches!$A:$AC,2,FALSE),IF($B538="GW2",VLOOKUP($A538,Matches!$A:$AC,9,FALSE),IF($B538="GW3",VLOOKUP($A538,Matches!$A:$AC,16,FALSE))))</f>
        <v>West Ham</v>
      </c>
      <c r="D538" s="6">
        <v>0.28059936023345866</v>
      </c>
      <c r="E538" s="6">
        <v>0.43149946062567418</v>
      </c>
      <c r="F538" s="6">
        <v>-0.15090010039221552</v>
      </c>
      <c r="G538" s="3" t="s">
        <v>1</v>
      </c>
      <c r="H538" t="e">
        <v>#N/A</v>
      </c>
      <c r="I538" t="e">
        <v>#N/A</v>
      </c>
      <c r="J538">
        <v>0.14652014699999999</v>
      </c>
      <c r="K538">
        <v>0.23371647500000001</v>
      </c>
      <c r="L538">
        <v>0.441489362</v>
      </c>
      <c r="M538">
        <v>7.4074074000000004E-2</v>
      </c>
      <c r="N538" t="e">
        <v>#N/A</v>
      </c>
      <c r="O538" t="e">
        <v>#N/A</v>
      </c>
    </row>
    <row r="539" spans="1:15" x14ac:dyDescent="0.25">
      <c r="A539" t="s">
        <v>19</v>
      </c>
      <c r="B539" t="s">
        <v>23</v>
      </c>
      <c r="C539" s="3" t="str">
        <f>IF($B539="GW1",VLOOKUP($A539,Matches!$A:$AC,2,FALSE),IF($B539="GW2",VLOOKUP($A539,Matches!$A:$AC,9,FALSE),IF($B539="GW3",VLOOKUP($A539,Matches!$A:$AC,16,FALSE))))</f>
        <v>West Ham</v>
      </c>
      <c r="D539" s="6">
        <v>0.28059936023345866</v>
      </c>
      <c r="E539" s="6">
        <v>0.43149946062567418</v>
      </c>
      <c r="F539" s="6">
        <v>-0.15090010039221552</v>
      </c>
      <c r="G539" s="3" t="s">
        <v>1</v>
      </c>
      <c r="H539">
        <v>7.3260072999999995E-2</v>
      </c>
      <c r="I539">
        <v>3.6630036999999997E-2</v>
      </c>
      <c r="J539">
        <v>0.23809523799999999</v>
      </c>
      <c r="K539">
        <v>0.23371647500000001</v>
      </c>
      <c r="L539">
        <v>0.441489362</v>
      </c>
      <c r="M539">
        <v>7.4074074000000004E-2</v>
      </c>
      <c r="N539" t="e">
        <v>#N/A</v>
      </c>
      <c r="O539" t="e">
        <v>#N/A</v>
      </c>
    </row>
    <row r="540" spans="1:15" x14ac:dyDescent="0.25">
      <c r="A540" t="s">
        <v>19</v>
      </c>
      <c r="B540" t="s">
        <v>23</v>
      </c>
      <c r="C540" s="3" t="str">
        <f>IF($B540="GW1",VLOOKUP($A540,Matches!$A:$AC,2,FALSE),IF($B540="GW2",VLOOKUP($A540,Matches!$A:$AC,9,FALSE),IF($B540="GW3",VLOOKUP($A540,Matches!$A:$AC,16,FALSE))))</f>
        <v>West Ham</v>
      </c>
      <c r="D540" s="6">
        <v>0.28059936023345866</v>
      </c>
      <c r="E540" s="6">
        <v>0.43149946062567418</v>
      </c>
      <c r="F540" s="6">
        <v>-0.15090010039221552</v>
      </c>
      <c r="G540" s="3" t="s">
        <v>1</v>
      </c>
      <c r="H540">
        <v>7.3260072999999995E-2</v>
      </c>
      <c r="I540">
        <v>9.5238094999999995E-2</v>
      </c>
      <c r="J540">
        <v>0.31746031699999999</v>
      </c>
      <c r="K540">
        <v>0.23371647500000001</v>
      </c>
      <c r="L540">
        <v>0.441489362</v>
      </c>
      <c r="M540">
        <v>7.4074074000000004E-2</v>
      </c>
      <c r="N540" t="e">
        <v>#N/A</v>
      </c>
      <c r="O540" t="e">
        <v>#N/A</v>
      </c>
    </row>
    <row r="541" spans="1:15" x14ac:dyDescent="0.25">
      <c r="A541" t="s">
        <v>19</v>
      </c>
      <c r="B541" t="s">
        <v>23</v>
      </c>
      <c r="C541" s="3" t="str">
        <f>IF($B541="GW1",VLOOKUP($A541,Matches!$A:$AC,2,FALSE),IF($B541="GW2",VLOOKUP($A541,Matches!$A:$AC,9,FALSE),IF($B541="GW3",VLOOKUP($A541,Matches!$A:$AC,16,FALSE))))</f>
        <v>West Ham</v>
      </c>
      <c r="D541" s="6">
        <v>0.28059936023345866</v>
      </c>
      <c r="E541" s="6">
        <v>0.43149946062567418</v>
      </c>
      <c r="F541" s="6">
        <v>-0.15090010039221552</v>
      </c>
      <c r="G541" s="3" t="s">
        <v>1</v>
      </c>
      <c r="H541" t="e">
        <v>#N/A</v>
      </c>
      <c r="I541" t="e">
        <v>#N/A</v>
      </c>
      <c r="J541" t="e">
        <v>#N/A</v>
      </c>
      <c r="K541">
        <v>0.23371647500000001</v>
      </c>
      <c r="L541">
        <v>0.441489362</v>
      </c>
      <c r="M541">
        <v>7.4074074000000004E-2</v>
      </c>
      <c r="N541" t="e">
        <v>#N/A</v>
      </c>
      <c r="O541" t="e">
        <v>#N/A</v>
      </c>
    </row>
    <row r="542" spans="1:15" x14ac:dyDescent="0.25">
      <c r="A542" t="s">
        <v>19</v>
      </c>
      <c r="B542" t="s">
        <v>23</v>
      </c>
      <c r="C542" s="3" t="str">
        <f>IF($B542="GW1",VLOOKUP($A542,Matches!$A:$AC,2,FALSE),IF($B542="GW2",VLOOKUP($A542,Matches!$A:$AC,9,FALSE),IF($B542="GW3",VLOOKUP($A542,Matches!$A:$AC,16,FALSE))))</f>
        <v>West Ham</v>
      </c>
      <c r="D542" s="6">
        <v>0.28059936023345866</v>
      </c>
      <c r="E542" s="6">
        <v>0.43149946062567418</v>
      </c>
      <c r="F542" s="6">
        <v>-0.15090010039221552</v>
      </c>
      <c r="G542" s="3" t="s">
        <v>1</v>
      </c>
      <c r="H542" t="e">
        <v>#N/A</v>
      </c>
      <c r="I542" t="e">
        <v>#N/A</v>
      </c>
      <c r="J542" t="e">
        <v>#N/A</v>
      </c>
      <c r="K542">
        <v>0.23371647500000001</v>
      </c>
      <c r="L542">
        <v>0.441489362</v>
      </c>
      <c r="M542">
        <v>7.4074074000000004E-2</v>
      </c>
      <c r="N542" t="e">
        <v>#N/A</v>
      </c>
      <c r="O542" t="e">
        <v>#N/A</v>
      </c>
    </row>
    <row r="543" spans="1:15" x14ac:dyDescent="0.25">
      <c r="A543" t="s">
        <v>19</v>
      </c>
      <c r="B543" t="s">
        <v>23</v>
      </c>
      <c r="C543" s="3" t="str">
        <f>IF($B543="GW1",VLOOKUP($A543,Matches!$A:$AC,2,FALSE),IF($B543="GW2",VLOOKUP($A543,Matches!$A:$AC,9,FALSE),IF($B543="GW3",VLOOKUP($A543,Matches!$A:$AC,16,FALSE))))</f>
        <v>West Ham</v>
      </c>
      <c r="D543" s="6">
        <v>0.28059936023345866</v>
      </c>
      <c r="E543" s="6">
        <v>0.43149946062567418</v>
      </c>
      <c r="F543" s="6">
        <v>-0.15090010039221552</v>
      </c>
      <c r="G543" s="3" t="s">
        <v>1</v>
      </c>
      <c r="H543">
        <v>7.3260072999999995E-2</v>
      </c>
      <c r="I543">
        <v>0.105820106</v>
      </c>
      <c r="J543">
        <v>0.29304029300000001</v>
      </c>
      <c r="K543">
        <v>0.23371647500000001</v>
      </c>
      <c r="L543">
        <v>0.441489362</v>
      </c>
      <c r="M543">
        <v>7.4074074000000004E-2</v>
      </c>
      <c r="N543" t="e">
        <v>#N/A</v>
      </c>
      <c r="O543" t="e">
        <v>#N/A</v>
      </c>
    </row>
    <row r="544" spans="1:15" x14ac:dyDescent="0.25">
      <c r="A544" t="s">
        <v>19</v>
      </c>
      <c r="B544" t="s">
        <v>23</v>
      </c>
      <c r="C544" s="3" t="str">
        <f>IF($B544="GW1",VLOOKUP($A544,Matches!$A:$AC,2,FALSE),IF($B544="GW2",VLOOKUP($A544,Matches!$A:$AC,9,FALSE),IF($B544="GW3",VLOOKUP($A544,Matches!$A:$AC,16,FALSE))))</f>
        <v>West Ham</v>
      </c>
      <c r="D544" s="6">
        <v>0.28059936023345866</v>
      </c>
      <c r="E544" s="6">
        <v>0.43149946062567418</v>
      </c>
      <c r="F544" s="6">
        <v>-0.15090010039221552</v>
      </c>
      <c r="G544" s="3" t="s">
        <v>1</v>
      </c>
      <c r="H544" t="e">
        <v>#N/A</v>
      </c>
      <c r="I544" t="e">
        <v>#N/A</v>
      </c>
      <c r="J544" t="e">
        <v>#N/A</v>
      </c>
      <c r="K544">
        <v>0.23371647500000001</v>
      </c>
      <c r="L544">
        <v>0.441489362</v>
      </c>
      <c r="M544">
        <v>7.4074074000000004E-2</v>
      </c>
      <c r="N544" t="e">
        <v>#N/A</v>
      </c>
      <c r="O544" t="e">
        <v>#N/A</v>
      </c>
    </row>
    <row r="545" spans="1:15" x14ac:dyDescent="0.25">
      <c r="A545" t="s">
        <v>19</v>
      </c>
      <c r="B545" t="s">
        <v>23</v>
      </c>
      <c r="C545" s="3" t="str">
        <f>IF($B545="GW1",VLOOKUP($A545,Matches!$A:$AC,2,FALSE),IF($B545="GW2",VLOOKUP($A545,Matches!$A:$AC,9,FALSE),IF($B545="GW3",VLOOKUP($A545,Matches!$A:$AC,16,FALSE))))</f>
        <v>West Ham</v>
      </c>
      <c r="D545" s="6">
        <v>0.28059936023345866</v>
      </c>
      <c r="E545" s="6">
        <v>0.43149946062567418</v>
      </c>
      <c r="F545" s="6">
        <v>-0.15090010039221552</v>
      </c>
      <c r="G545" s="3" t="s">
        <v>1</v>
      </c>
      <c r="H545">
        <v>5.0125312999999998E-2</v>
      </c>
      <c r="I545">
        <v>4.5351474000000003E-2</v>
      </c>
      <c r="J545">
        <v>0.14652014699999999</v>
      </c>
      <c r="K545">
        <v>0.23371647500000001</v>
      </c>
      <c r="L545">
        <v>0.441489362</v>
      </c>
      <c r="M545">
        <v>7.4074074000000004E-2</v>
      </c>
      <c r="N545" t="e">
        <v>#N/A</v>
      </c>
      <c r="O545" t="e">
        <v>#N/A</v>
      </c>
    </row>
    <row r="546" spans="1:15" x14ac:dyDescent="0.25">
      <c r="A546" t="s">
        <v>19</v>
      </c>
      <c r="B546" t="s">
        <v>23</v>
      </c>
      <c r="C546" s="3" t="str">
        <f>IF($B546="GW1",VLOOKUP($A546,Matches!$A:$AC,2,FALSE),IF($B546="GW2",VLOOKUP($A546,Matches!$A:$AC,9,FALSE),IF($B546="GW3",VLOOKUP($A546,Matches!$A:$AC,16,FALSE))))</f>
        <v>West Ham</v>
      </c>
      <c r="D546" s="6">
        <v>0.28059936023345866</v>
      </c>
      <c r="E546" s="6">
        <v>0.43149946062567418</v>
      </c>
      <c r="F546" s="6">
        <v>-0.15090010039221552</v>
      </c>
      <c r="G546" s="3" t="s">
        <v>1</v>
      </c>
      <c r="H546" t="e">
        <v>#N/A</v>
      </c>
      <c r="I546" t="e">
        <v>#N/A</v>
      </c>
      <c r="J546" t="e">
        <v>#N/A</v>
      </c>
      <c r="K546">
        <v>0.23371647500000001</v>
      </c>
      <c r="L546">
        <v>0.441489362</v>
      </c>
      <c r="M546">
        <v>7.4074074000000004E-2</v>
      </c>
      <c r="N546" t="e">
        <v>#N/A</v>
      </c>
      <c r="O546" t="e">
        <v>#N/A</v>
      </c>
    </row>
    <row r="547" spans="1:15" x14ac:dyDescent="0.25">
      <c r="A547" t="s">
        <v>19</v>
      </c>
      <c r="B547" t="s">
        <v>23</v>
      </c>
      <c r="C547" s="3" t="str">
        <f>IF($B547="GW1",VLOOKUP($A547,Matches!$A:$AC,2,FALSE),IF($B547="GW2",VLOOKUP($A547,Matches!$A:$AC,9,FALSE),IF($B547="GW3",VLOOKUP($A547,Matches!$A:$AC,16,FALSE))))</f>
        <v>West Ham</v>
      </c>
      <c r="D547" s="6">
        <v>0.28059936023345866</v>
      </c>
      <c r="E547" s="6">
        <v>0.43149946062567418</v>
      </c>
      <c r="F547" s="6">
        <v>-0.15090010039221552</v>
      </c>
      <c r="G547" s="3" t="s">
        <v>1</v>
      </c>
      <c r="H547">
        <v>7.3260072999999995E-2</v>
      </c>
      <c r="I547">
        <v>4.5351474000000003E-2</v>
      </c>
      <c r="J547">
        <v>0.31746031699999999</v>
      </c>
      <c r="K547">
        <v>0.23371647500000001</v>
      </c>
      <c r="L547">
        <v>0.441489362</v>
      </c>
      <c r="M547">
        <v>7.4074074000000004E-2</v>
      </c>
      <c r="N547" t="e">
        <v>#N/A</v>
      </c>
      <c r="O547" t="e">
        <v>#N/A</v>
      </c>
    </row>
    <row r="548" spans="1:15" x14ac:dyDescent="0.25">
      <c r="A548" t="s">
        <v>19</v>
      </c>
      <c r="B548" t="s">
        <v>23</v>
      </c>
      <c r="C548" s="3" t="str">
        <f>IF($B548="GW1",VLOOKUP($A548,Matches!$A:$AC,2,FALSE),IF($B548="GW2",VLOOKUP($A548,Matches!$A:$AC,9,FALSE),IF($B548="GW3",VLOOKUP($A548,Matches!$A:$AC,16,FALSE))))</f>
        <v>West Ham</v>
      </c>
      <c r="D548" s="6">
        <v>0.28059936023345866</v>
      </c>
      <c r="E548" s="6">
        <v>0.43149946062567418</v>
      </c>
      <c r="F548" s="6">
        <v>-0.15090010039221552</v>
      </c>
      <c r="G548" s="3" t="s">
        <v>1</v>
      </c>
      <c r="H548" t="e">
        <v>#N/A</v>
      </c>
      <c r="I548" t="e">
        <v>#N/A</v>
      </c>
      <c r="J548" t="e">
        <v>#N/A</v>
      </c>
      <c r="K548">
        <v>0.23371647500000001</v>
      </c>
      <c r="L548">
        <v>0.441489362</v>
      </c>
      <c r="M548">
        <v>7.4074074000000004E-2</v>
      </c>
      <c r="N548" t="e">
        <v>#N/A</v>
      </c>
      <c r="O548" t="e">
        <v>#N/A</v>
      </c>
    </row>
    <row r="549" spans="1:15" x14ac:dyDescent="0.25">
      <c r="A549" t="s">
        <v>19</v>
      </c>
      <c r="B549" t="s">
        <v>23</v>
      </c>
      <c r="C549" s="3" t="str">
        <f>IF($B549="GW1",VLOOKUP($A549,Matches!$A:$AC,2,FALSE),IF($B549="GW2",VLOOKUP($A549,Matches!$A:$AC,9,FALSE),IF($B549="GW3",VLOOKUP($A549,Matches!$A:$AC,16,FALSE))))</f>
        <v>West Ham</v>
      </c>
      <c r="D549" s="6">
        <v>0.28059936023345866</v>
      </c>
      <c r="E549" s="6">
        <v>0.43149946062567418</v>
      </c>
      <c r="F549" s="6">
        <v>-0.15090010039221552</v>
      </c>
      <c r="G549" s="3" t="s">
        <v>1</v>
      </c>
      <c r="H549">
        <v>6.3492063000000001E-2</v>
      </c>
      <c r="I549">
        <v>3.6630036999999997E-2</v>
      </c>
      <c r="J549">
        <v>0.27210884400000002</v>
      </c>
      <c r="K549">
        <v>0.23371647500000001</v>
      </c>
      <c r="L549">
        <v>0.441489362</v>
      </c>
      <c r="M549">
        <v>7.4074074000000004E-2</v>
      </c>
      <c r="N549" t="e">
        <v>#N/A</v>
      </c>
      <c r="O549" t="e">
        <v>#N/A</v>
      </c>
    </row>
    <row r="550" spans="1:15" x14ac:dyDescent="0.25">
      <c r="A550" t="s">
        <v>19</v>
      </c>
      <c r="B550" t="s">
        <v>23</v>
      </c>
      <c r="C550" s="3" t="str">
        <f>IF($B550="GW1",VLOOKUP($A550,Matches!$A:$AC,2,FALSE),IF($B550="GW2",VLOOKUP($A550,Matches!$A:$AC,9,FALSE),IF($B550="GW3",VLOOKUP($A550,Matches!$A:$AC,16,FALSE))))</f>
        <v>West Ham</v>
      </c>
      <c r="D550" s="6">
        <v>0.28059936023345866</v>
      </c>
      <c r="E550" s="6">
        <v>0.43149946062567418</v>
      </c>
      <c r="F550" s="6">
        <v>-0.15090010039221552</v>
      </c>
      <c r="G550" s="3" t="s">
        <v>1</v>
      </c>
      <c r="H550">
        <v>7.3260072999999995E-2</v>
      </c>
      <c r="I550">
        <v>3.6630036999999997E-2</v>
      </c>
      <c r="J550">
        <v>0.23809523799999999</v>
      </c>
      <c r="K550">
        <v>0.23371647500000001</v>
      </c>
      <c r="L550">
        <v>0.441489362</v>
      </c>
      <c r="M550">
        <v>7.4074074000000004E-2</v>
      </c>
      <c r="N550" t="e">
        <v>#N/A</v>
      </c>
      <c r="O550" t="e">
        <v>#N/A</v>
      </c>
    </row>
    <row r="551" spans="1:15" x14ac:dyDescent="0.25">
      <c r="A551" t="s">
        <v>19</v>
      </c>
      <c r="B551" t="s">
        <v>23</v>
      </c>
      <c r="C551" s="3" t="str">
        <f>IF($B551="GW1",VLOOKUP($A551,Matches!$A:$AC,2,FALSE),IF($B551="GW2",VLOOKUP($A551,Matches!$A:$AC,9,FALSE),IF($B551="GW3",VLOOKUP($A551,Matches!$A:$AC,16,FALSE))))</f>
        <v>West Ham</v>
      </c>
      <c r="D551" s="6">
        <v>0.28059936023345866</v>
      </c>
      <c r="E551" s="6">
        <v>0.43149946062567418</v>
      </c>
      <c r="F551" s="6">
        <v>-0.15090010039221552</v>
      </c>
      <c r="G551" s="3" t="s">
        <v>1</v>
      </c>
      <c r="H551">
        <v>0.21994941200000001</v>
      </c>
      <c r="I551">
        <v>0.13605442200000001</v>
      </c>
      <c r="J551">
        <v>0.173160173</v>
      </c>
      <c r="K551">
        <v>0.23371647500000001</v>
      </c>
      <c r="L551">
        <v>0.441489362</v>
      </c>
      <c r="M551">
        <v>7.4074074000000004E-2</v>
      </c>
      <c r="N551" t="e">
        <v>#N/A</v>
      </c>
      <c r="O551" t="e">
        <v>#N/A</v>
      </c>
    </row>
    <row r="552" spans="1:15" x14ac:dyDescent="0.25">
      <c r="A552" t="s">
        <v>19</v>
      </c>
      <c r="B552" t="s">
        <v>23</v>
      </c>
      <c r="C552" s="3" t="str">
        <f>IF($B552="GW1",VLOOKUP($A552,Matches!$A:$AC,2,FALSE),IF($B552="GW2",VLOOKUP($A552,Matches!$A:$AC,9,FALSE),IF($B552="GW3",VLOOKUP($A552,Matches!$A:$AC,16,FALSE))))</f>
        <v>West Ham</v>
      </c>
      <c r="D552" s="6">
        <v>0.28059936023345866</v>
      </c>
      <c r="E552" s="6">
        <v>0.43149946062567418</v>
      </c>
      <c r="F552" s="6">
        <v>-0.15090010039221552</v>
      </c>
      <c r="G552" s="3" t="s">
        <v>1</v>
      </c>
      <c r="H552">
        <v>0.14652014699999999</v>
      </c>
      <c r="I552">
        <v>7.3260072999999995E-2</v>
      </c>
      <c r="J552">
        <v>0.21994941200000001</v>
      </c>
      <c r="K552">
        <v>0.23371647500000001</v>
      </c>
      <c r="L552">
        <v>0.441489362</v>
      </c>
      <c r="M552">
        <v>7.4074074000000004E-2</v>
      </c>
      <c r="N552" t="e">
        <v>#N/A</v>
      </c>
      <c r="O552" t="e">
        <v>#N/A</v>
      </c>
    </row>
    <row r="553" spans="1:15" x14ac:dyDescent="0.25">
      <c r="A553" t="s">
        <v>19</v>
      </c>
      <c r="B553" t="s">
        <v>23</v>
      </c>
      <c r="C553" s="3" t="str">
        <f>IF($B553="GW1",VLOOKUP($A553,Matches!$A:$AC,2,FALSE),IF($B553="GW2",VLOOKUP($A553,Matches!$A:$AC,9,FALSE),IF($B553="GW3",VLOOKUP($A553,Matches!$A:$AC,16,FALSE))))</f>
        <v>West Ham</v>
      </c>
      <c r="D553" s="6">
        <v>0.28059936023345866</v>
      </c>
      <c r="E553" s="6">
        <v>0.43149946062567418</v>
      </c>
      <c r="F553" s="6">
        <v>-0.15090010039221552</v>
      </c>
      <c r="G553" s="3" t="s">
        <v>1</v>
      </c>
      <c r="H553">
        <v>0.15873015900000001</v>
      </c>
      <c r="I553">
        <v>0.15873015900000001</v>
      </c>
      <c r="J553">
        <v>0.21994941200000001</v>
      </c>
      <c r="K553">
        <v>0.23371647500000001</v>
      </c>
      <c r="L553">
        <v>0.441489362</v>
      </c>
      <c r="M553">
        <v>7.4074074000000004E-2</v>
      </c>
      <c r="N553" t="e">
        <v>#N/A</v>
      </c>
      <c r="O553" t="e">
        <v>#N/A</v>
      </c>
    </row>
    <row r="554" spans="1:15" x14ac:dyDescent="0.25">
      <c r="A554" t="s">
        <v>19</v>
      </c>
      <c r="B554" t="s">
        <v>23</v>
      </c>
      <c r="C554" s="3" t="str">
        <f>IF($B554="GW1",VLOOKUP($A554,Matches!$A:$AC,2,FALSE),IF($B554="GW2",VLOOKUP($A554,Matches!$A:$AC,9,FALSE),IF($B554="GW3",VLOOKUP($A554,Matches!$A:$AC,16,FALSE))))</f>
        <v>West Ham</v>
      </c>
      <c r="D554" s="6">
        <v>0.28059936023345866</v>
      </c>
      <c r="E554" s="6">
        <v>0.43149946062567418</v>
      </c>
      <c r="F554" s="6">
        <v>-0.15090010039221552</v>
      </c>
      <c r="G554" s="3" t="s">
        <v>1</v>
      </c>
      <c r="H554" t="e">
        <v>#N/A</v>
      </c>
      <c r="I554" t="e">
        <v>#N/A</v>
      </c>
      <c r="J554" t="e">
        <v>#N/A</v>
      </c>
      <c r="K554">
        <v>0.23371647500000001</v>
      </c>
      <c r="L554">
        <v>0.441489362</v>
      </c>
      <c r="M554">
        <v>7.4074074000000004E-2</v>
      </c>
      <c r="N554" t="e">
        <v>#N/A</v>
      </c>
      <c r="O554" t="e">
        <v>#N/A</v>
      </c>
    </row>
    <row r="555" spans="1:15" x14ac:dyDescent="0.25">
      <c r="A555" t="s">
        <v>19</v>
      </c>
      <c r="B555" t="s">
        <v>23</v>
      </c>
      <c r="C555" s="3" t="str">
        <f>IF($B555="GW1",VLOOKUP($A555,Matches!$A:$AC,2,FALSE),IF($B555="GW2",VLOOKUP($A555,Matches!$A:$AC,9,FALSE),IF($B555="GW3",VLOOKUP($A555,Matches!$A:$AC,16,FALSE))))</f>
        <v>West Ham</v>
      </c>
      <c r="D555" s="6">
        <v>0.28059936023345866</v>
      </c>
      <c r="E555" s="6">
        <v>0.43149946062567418</v>
      </c>
      <c r="F555" s="6">
        <v>-0.15090010039221552</v>
      </c>
      <c r="G555" s="3" t="s">
        <v>1</v>
      </c>
      <c r="H555" t="e">
        <v>#N/A</v>
      </c>
      <c r="I555" t="e">
        <v>#N/A</v>
      </c>
      <c r="J555" t="e">
        <v>#N/A</v>
      </c>
      <c r="K555">
        <v>0.23371647500000001</v>
      </c>
      <c r="L555">
        <v>0.441489362</v>
      </c>
      <c r="M555">
        <v>7.4074074000000004E-2</v>
      </c>
      <c r="N555" t="e">
        <v>#N/A</v>
      </c>
      <c r="O555" t="e">
        <v>#N/A</v>
      </c>
    </row>
    <row r="556" spans="1:15" x14ac:dyDescent="0.25">
      <c r="A556" t="s">
        <v>19</v>
      </c>
      <c r="B556" t="s">
        <v>23</v>
      </c>
      <c r="C556" s="3" t="str">
        <f>IF($B556="GW1",VLOOKUP($A556,Matches!$A:$AC,2,FALSE),IF($B556="GW2",VLOOKUP($A556,Matches!$A:$AC,9,FALSE),IF($B556="GW3",VLOOKUP($A556,Matches!$A:$AC,16,FALSE))))</f>
        <v>West Ham</v>
      </c>
      <c r="D556" s="6">
        <v>0.28059936023345866</v>
      </c>
      <c r="E556" s="6">
        <v>0.43149946062567418</v>
      </c>
      <c r="F556" s="6">
        <v>-0.15090010039221552</v>
      </c>
      <c r="G556" s="3" t="s">
        <v>1</v>
      </c>
      <c r="H556" t="e">
        <v>#N/A</v>
      </c>
      <c r="I556" t="e">
        <v>#N/A</v>
      </c>
      <c r="J556" t="e">
        <v>#N/A</v>
      </c>
      <c r="K556">
        <v>0.23371647500000001</v>
      </c>
      <c r="L556">
        <v>0.441489362</v>
      </c>
      <c r="M556">
        <v>7.4074074000000004E-2</v>
      </c>
      <c r="N556" t="e">
        <v>#N/A</v>
      </c>
      <c r="O556" t="e">
        <v>#N/A</v>
      </c>
    </row>
    <row r="557" spans="1:15" x14ac:dyDescent="0.25">
      <c r="A557" t="s">
        <v>19</v>
      </c>
      <c r="B557" t="s">
        <v>23</v>
      </c>
      <c r="C557" s="3" t="str">
        <f>IF($B557="GW1",VLOOKUP($A557,Matches!$A:$AC,2,FALSE),IF($B557="GW2",VLOOKUP($A557,Matches!$A:$AC,9,FALSE),IF($B557="GW3",VLOOKUP($A557,Matches!$A:$AC,16,FALSE))))</f>
        <v>West Ham</v>
      </c>
      <c r="D557" s="6">
        <v>0.28059936023345866</v>
      </c>
      <c r="E557" s="6">
        <v>0.43149946062567418</v>
      </c>
      <c r="F557" s="6">
        <v>-0.15090010039221552</v>
      </c>
      <c r="G557" s="3" t="s">
        <v>1</v>
      </c>
      <c r="H557">
        <v>7.3260072999999995E-2</v>
      </c>
      <c r="I557">
        <v>6.3492063000000001E-2</v>
      </c>
      <c r="J557">
        <v>0.173160173</v>
      </c>
      <c r="K557">
        <v>0.23371647500000001</v>
      </c>
      <c r="L557">
        <v>0.441489362</v>
      </c>
      <c r="M557">
        <v>7.4074074000000004E-2</v>
      </c>
      <c r="N557" t="e">
        <v>#N/A</v>
      </c>
      <c r="O557" t="e">
        <v>#N/A</v>
      </c>
    </row>
    <row r="558" spans="1:15" x14ac:dyDescent="0.25">
      <c r="A558" t="s">
        <v>19</v>
      </c>
      <c r="B558" t="s">
        <v>23</v>
      </c>
      <c r="C558" s="3" t="str">
        <f>IF($B558="GW1",VLOOKUP($A558,Matches!$A:$AC,2,FALSE),IF($B558="GW2",VLOOKUP($A558,Matches!$A:$AC,9,FALSE),IF($B558="GW3",VLOOKUP($A558,Matches!$A:$AC,16,FALSE))))</f>
        <v>West Ham</v>
      </c>
      <c r="D558" s="6">
        <v>0.28059936023345866</v>
      </c>
      <c r="E558" s="6">
        <v>0.43149946062567418</v>
      </c>
      <c r="F558" s="6">
        <v>-0.15090010039221552</v>
      </c>
      <c r="G558" s="3" t="s">
        <v>1</v>
      </c>
      <c r="H558">
        <v>0.14652014699999999</v>
      </c>
      <c r="I558">
        <v>0.105820106</v>
      </c>
      <c r="J558">
        <v>0.14652014699999999</v>
      </c>
      <c r="K558">
        <v>0.23371647500000001</v>
      </c>
      <c r="L558">
        <v>0.441489362</v>
      </c>
      <c r="M558">
        <v>7.4074074000000004E-2</v>
      </c>
      <c r="N558" t="e">
        <v>#N/A</v>
      </c>
      <c r="O558" t="e">
        <v>#N/A</v>
      </c>
    </row>
    <row r="559" spans="1:15" x14ac:dyDescent="0.25">
      <c r="A559" t="s">
        <v>19</v>
      </c>
      <c r="B559" t="s">
        <v>23</v>
      </c>
      <c r="C559" s="3" t="str">
        <f>IF($B559="GW1",VLOOKUP($A559,Matches!$A:$AC,2,FALSE),IF($B559="GW2",VLOOKUP($A559,Matches!$A:$AC,9,FALSE),IF($B559="GW3",VLOOKUP($A559,Matches!$A:$AC,16,FALSE))))</f>
        <v>West Ham</v>
      </c>
      <c r="D559" s="6">
        <v>0.28059936023345866</v>
      </c>
      <c r="E559" s="6">
        <v>0.43149946062567418</v>
      </c>
      <c r="F559" s="6">
        <v>-0.15090010039221552</v>
      </c>
      <c r="G559" s="3" t="s">
        <v>1</v>
      </c>
      <c r="H559">
        <v>0.15873015900000001</v>
      </c>
      <c r="I559">
        <v>0.11904761899999999</v>
      </c>
      <c r="J559">
        <v>0.23809523799999999</v>
      </c>
      <c r="K559">
        <v>0.23371647500000001</v>
      </c>
      <c r="L559">
        <v>0.441489362</v>
      </c>
      <c r="M559">
        <v>7.4074074000000004E-2</v>
      </c>
      <c r="N559" t="e">
        <v>#N/A</v>
      </c>
      <c r="O559" t="e">
        <v>#N/A</v>
      </c>
    </row>
    <row r="560" spans="1:15" x14ac:dyDescent="0.25">
      <c r="A560" t="s">
        <v>19</v>
      </c>
      <c r="B560" t="s">
        <v>23</v>
      </c>
      <c r="C560" s="3" t="str">
        <f>IF($B560="GW1",VLOOKUP($A560,Matches!$A:$AC,2,FALSE),IF($B560="GW2",VLOOKUP($A560,Matches!$A:$AC,9,FALSE),IF($B560="GW3",VLOOKUP($A560,Matches!$A:$AC,16,FALSE))))</f>
        <v>West Ham</v>
      </c>
      <c r="D560" s="6">
        <v>0.28059936023345866</v>
      </c>
      <c r="E560" s="6">
        <v>0.43149946062567418</v>
      </c>
      <c r="F560" s="6">
        <v>-0.15090010039221552</v>
      </c>
      <c r="G560" s="3" t="s">
        <v>1</v>
      </c>
      <c r="H560">
        <v>0.126984127</v>
      </c>
      <c r="I560">
        <v>0.105820106</v>
      </c>
      <c r="J560">
        <v>0.23809523799999999</v>
      </c>
      <c r="K560">
        <v>0.23371647500000001</v>
      </c>
      <c r="L560">
        <v>0.441489362</v>
      </c>
      <c r="M560">
        <v>7.4074074000000004E-2</v>
      </c>
      <c r="N560" t="e">
        <v>#N/A</v>
      </c>
      <c r="O560" t="e">
        <v>#N/A</v>
      </c>
    </row>
    <row r="561" spans="1:15" x14ac:dyDescent="0.25">
      <c r="A561" t="s">
        <v>19</v>
      </c>
      <c r="B561" t="s">
        <v>23</v>
      </c>
      <c r="C561" s="3" t="str">
        <f>IF($B561="GW1",VLOOKUP($A561,Matches!$A:$AC,2,FALSE),IF($B561="GW2",VLOOKUP($A561,Matches!$A:$AC,9,FALSE),IF($B561="GW3",VLOOKUP($A561,Matches!$A:$AC,16,FALSE))))</f>
        <v>West Ham</v>
      </c>
      <c r="D561" s="6">
        <v>0.28059936023345866</v>
      </c>
      <c r="E561" s="6">
        <v>0.43149946062567418</v>
      </c>
      <c r="F561" s="6">
        <v>-0.15090010039221552</v>
      </c>
      <c r="G561" s="3" t="s">
        <v>1</v>
      </c>
      <c r="H561">
        <v>0.15873015900000001</v>
      </c>
      <c r="I561">
        <v>0.15873015900000001</v>
      </c>
      <c r="J561">
        <v>0.14652014699999999</v>
      </c>
      <c r="K561">
        <v>0.23371647500000001</v>
      </c>
      <c r="L561">
        <v>0.441489362</v>
      </c>
      <c r="M561">
        <v>7.4074074000000004E-2</v>
      </c>
      <c r="N561" t="e">
        <v>#N/A</v>
      </c>
      <c r="O561" t="e">
        <v>#N/A</v>
      </c>
    </row>
    <row r="562" spans="1:15" x14ac:dyDescent="0.25">
      <c r="A562" t="s">
        <v>19</v>
      </c>
      <c r="B562" t="s">
        <v>23</v>
      </c>
      <c r="C562" s="3" t="str">
        <f>IF($B562="GW1",VLOOKUP($A562,Matches!$A:$AC,2,FALSE),IF($B562="GW2",VLOOKUP($A562,Matches!$A:$AC,9,FALSE),IF($B562="GW3",VLOOKUP($A562,Matches!$A:$AC,16,FALSE))))</f>
        <v>West Ham</v>
      </c>
      <c r="D562" s="6">
        <v>0.28059936023345866</v>
      </c>
      <c r="E562" s="6">
        <v>0.43149946062567418</v>
      </c>
      <c r="F562" s="6">
        <v>-0.15090010039221552</v>
      </c>
      <c r="G562" s="3" t="s">
        <v>1</v>
      </c>
      <c r="H562" t="e">
        <v>#N/A</v>
      </c>
      <c r="I562" t="e">
        <v>#N/A</v>
      </c>
      <c r="J562" t="e">
        <v>#N/A</v>
      </c>
      <c r="K562">
        <v>0.23371647500000001</v>
      </c>
      <c r="L562">
        <v>0.441489362</v>
      </c>
      <c r="M562">
        <v>7.4074074000000004E-2</v>
      </c>
      <c r="N562" t="e">
        <v>#N/A</v>
      </c>
      <c r="O562" t="e">
        <v>#N/A</v>
      </c>
    </row>
    <row r="563" spans="1:15" x14ac:dyDescent="0.25">
      <c r="A563" t="s">
        <v>19</v>
      </c>
      <c r="B563" t="s">
        <v>23</v>
      </c>
      <c r="C563" s="3" t="str">
        <f>IF($B563="GW1",VLOOKUP($A563,Matches!$A:$AC,2,FALSE),IF($B563="GW2",VLOOKUP($A563,Matches!$A:$AC,9,FALSE),IF($B563="GW3",VLOOKUP($A563,Matches!$A:$AC,16,FALSE))))</f>
        <v>West Ham</v>
      </c>
      <c r="D563" s="6">
        <v>0.28059936023345866</v>
      </c>
      <c r="E563" s="6">
        <v>0.43149946062567418</v>
      </c>
      <c r="F563" s="6">
        <v>-0.15090010039221552</v>
      </c>
      <c r="G563" s="3" t="s">
        <v>1</v>
      </c>
      <c r="H563">
        <v>0.11904761899999999</v>
      </c>
      <c r="I563">
        <v>6.3492063000000001E-2</v>
      </c>
      <c r="J563">
        <v>0.173160173</v>
      </c>
      <c r="K563">
        <v>0.23371647500000001</v>
      </c>
      <c r="L563">
        <v>0.441489362</v>
      </c>
      <c r="M563">
        <v>7.4074074000000004E-2</v>
      </c>
      <c r="N563" t="e">
        <v>#N/A</v>
      </c>
      <c r="O563" t="e">
        <v>#N/A</v>
      </c>
    </row>
    <row r="564" spans="1:15" x14ac:dyDescent="0.25">
      <c r="A564" t="s">
        <v>19</v>
      </c>
      <c r="B564" t="s">
        <v>23</v>
      </c>
      <c r="C564" s="3" t="str">
        <f>IF($B564="GW1",VLOOKUP($A564,Matches!$A:$AC,2,FALSE),IF($B564="GW2",VLOOKUP($A564,Matches!$A:$AC,9,FALSE),IF($B564="GW3",VLOOKUP($A564,Matches!$A:$AC,16,FALSE))))</f>
        <v>West Ham</v>
      </c>
      <c r="D564" s="6">
        <v>0.28059936023345866</v>
      </c>
      <c r="E564" s="6">
        <v>0.43149946062567418</v>
      </c>
      <c r="F564" s="6">
        <v>-0.15090010039221552</v>
      </c>
      <c r="G564" s="3" t="s">
        <v>1</v>
      </c>
      <c r="H564" t="e">
        <v>#N/A</v>
      </c>
      <c r="I564" t="e">
        <v>#N/A</v>
      </c>
      <c r="J564" t="e">
        <v>#N/A</v>
      </c>
      <c r="K564">
        <v>0.23371647500000001</v>
      </c>
      <c r="L564">
        <v>0.441489362</v>
      </c>
      <c r="M564">
        <v>7.4074074000000004E-2</v>
      </c>
      <c r="N564" t="e">
        <v>#N/A</v>
      </c>
      <c r="O564" t="e">
        <v>#N/A</v>
      </c>
    </row>
    <row r="565" spans="1:15" x14ac:dyDescent="0.25">
      <c r="A565" t="s">
        <v>19</v>
      </c>
      <c r="B565" t="s">
        <v>23</v>
      </c>
      <c r="C565" s="3" t="str">
        <f>IF($B565="GW1",VLOOKUP($A565,Matches!$A:$AC,2,FALSE),IF($B565="GW2",VLOOKUP($A565,Matches!$A:$AC,9,FALSE),IF($B565="GW3",VLOOKUP($A565,Matches!$A:$AC,16,FALSE))))</f>
        <v>West Ham</v>
      </c>
      <c r="D565" s="6">
        <v>0.28059936023345866</v>
      </c>
      <c r="E565" s="6">
        <v>0.43149946062567418</v>
      </c>
      <c r="F565" s="6">
        <v>-0.15090010039221552</v>
      </c>
      <c r="G565" s="3" t="s">
        <v>1</v>
      </c>
      <c r="H565" t="e">
        <v>#N/A</v>
      </c>
      <c r="I565" t="e">
        <v>#N/A</v>
      </c>
      <c r="J565" t="e">
        <v>#N/A</v>
      </c>
      <c r="K565">
        <v>0.23371647500000001</v>
      </c>
      <c r="L565">
        <v>0.441489362</v>
      </c>
      <c r="M565">
        <v>7.4074074000000004E-2</v>
      </c>
      <c r="N565" t="e">
        <v>#N/A</v>
      </c>
      <c r="O565" t="e">
        <v>#N/A</v>
      </c>
    </row>
    <row r="566" spans="1:15" x14ac:dyDescent="0.25">
      <c r="A566" t="s">
        <v>19</v>
      </c>
      <c r="B566" t="s">
        <v>23</v>
      </c>
      <c r="C566" s="3" t="str">
        <f>IF($B566="GW1",VLOOKUP($A566,Matches!$A:$AC,2,FALSE),IF($B566="GW2",VLOOKUP($A566,Matches!$A:$AC,9,FALSE),IF($B566="GW3",VLOOKUP($A566,Matches!$A:$AC,16,FALSE))))</f>
        <v>West Ham</v>
      </c>
      <c r="D566" s="6">
        <v>0.28059936023345866</v>
      </c>
      <c r="E566" s="6">
        <v>0.43149946062567418</v>
      </c>
      <c r="F566" s="6">
        <v>-0.15090010039221552</v>
      </c>
      <c r="G566" s="3" t="s">
        <v>1</v>
      </c>
      <c r="H566" t="e">
        <v>#N/A</v>
      </c>
      <c r="I566" t="e">
        <v>#N/A</v>
      </c>
      <c r="J566" t="e">
        <v>#N/A</v>
      </c>
      <c r="K566">
        <v>0.23371647500000001</v>
      </c>
      <c r="L566">
        <v>0.441489362</v>
      </c>
      <c r="M566">
        <v>7.4074074000000004E-2</v>
      </c>
      <c r="N566" t="e">
        <v>#N/A</v>
      </c>
      <c r="O566" t="e">
        <v>#N/A</v>
      </c>
    </row>
    <row r="567" spans="1:15" x14ac:dyDescent="0.25">
      <c r="A567" t="s">
        <v>19</v>
      </c>
      <c r="B567" t="s">
        <v>23</v>
      </c>
      <c r="C567" s="3" t="str">
        <f>IF($B567="GW1",VLOOKUP($A567,Matches!$A:$AC,2,FALSE),IF($B567="GW2",VLOOKUP($A567,Matches!$A:$AC,9,FALSE),IF($B567="GW3",VLOOKUP($A567,Matches!$A:$AC,16,FALSE))))</f>
        <v>West Ham</v>
      </c>
      <c r="D567" s="6">
        <v>0.28059936023345866</v>
      </c>
      <c r="E567" s="6">
        <v>0.43149946062567418</v>
      </c>
      <c r="F567" s="6">
        <v>-0.15090010039221552</v>
      </c>
      <c r="G567" s="3" t="s">
        <v>1</v>
      </c>
      <c r="H567" t="e">
        <v>#N/A</v>
      </c>
      <c r="I567" t="e">
        <v>#N/A</v>
      </c>
      <c r="J567" t="e">
        <v>#N/A</v>
      </c>
      <c r="K567">
        <v>0.23371647500000001</v>
      </c>
      <c r="L567">
        <v>0.441489362</v>
      </c>
      <c r="M567">
        <v>7.4074074000000004E-2</v>
      </c>
      <c r="N567" t="e">
        <v>#N/A</v>
      </c>
      <c r="O567" t="e">
        <v>#N/A</v>
      </c>
    </row>
    <row r="568" spans="1:15" x14ac:dyDescent="0.25">
      <c r="A568" t="s">
        <v>19</v>
      </c>
      <c r="B568" t="s">
        <v>23</v>
      </c>
      <c r="C568" s="3" t="str">
        <f>IF($B568="GW1",VLOOKUP($A568,Matches!$A:$AC,2,FALSE),IF($B568="GW2",VLOOKUP($A568,Matches!$A:$AC,9,FALSE),IF($B568="GW3",VLOOKUP($A568,Matches!$A:$AC,16,FALSE))))</f>
        <v>West Ham</v>
      </c>
      <c r="D568" s="6">
        <v>0.28059936023345866</v>
      </c>
      <c r="E568" s="6">
        <v>0.43149946062567418</v>
      </c>
      <c r="F568" s="6">
        <v>-0.15090010039221552</v>
      </c>
      <c r="G568" s="3" t="s">
        <v>1</v>
      </c>
      <c r="H568">
        <v>0.27210884400000002</v>
      </c>
      <c r="I568">
        <v>8.6580087E-2</v>
      </c>
      <c r="J568">
        <v>0.21994941200000001</v>
      </c>
      <c r="K568">
        <v>0.23371647500000001</v>
      </c>
      <c r="L568">
        <v>0.441489362</v>
      </c>
      <c r="M568">
        <v>7.4074074000000004E-2</v>
      </c>
      <c r="N568" t="e">
        <v>#N/A</v>
      </c>
      <c r="O568" t="e">
        <v>#N/A</v>
      </c>
    </row>
    <row r="569" spans="1:15" x14ac:dyDescent="0.25">
      <c r="A569" t="s">
        <v>19</v>
      </c>
      <c r="B569" t="s">
        <v>23</v>
      </c>
      <c r="C569" s="3" t="str">
        <f>IF($B569="GW1",VLOOKUP($A569,Matches!$A:$AC,2,FALSE),IF($B569="GW2",VLOOKUP($A569,Matches!$A:$AC,9,FALSE),IF($B569="GW3",VLOOKUP($A569,Matches!$A:$AC,16,FALSE))))</f>
        <v>West Ham</v>
      </c>
      <c r="D569" s="6">
        <v>0.28059936023345866</v>
      </c>
      <c r="E569" s="6">
        <v>0.43149946062567418</v>
      </c>
      <c r="F569" s="6">
        <v>-0.15090010039221552</v>
      </c>
      <c r="G569" s="3" t="s">
        <v>1</v>
      </c>
      <c r="H569" t="e">
        <v>#N/A</v>
      </c>
      <c r="I569" t="e">
        <v>#N/A</v>
      </c>
      <c r="J569" t="e">
        <v>#N/A</v>
      </c>
      <c r="K569">
        <v>0.23371647500000001</v>
      </c>
      <c r="L569">
        <v>0.441489362</v>
      </c>
      <c r="M569">
        <v>7.4074074000000004E-2</v>
      </c>
      <c r="N569" t="e">
        <v>#N/A</v>
      </c>
      <c r="O569" t="e">
        <v>#N/A</v>
      </c>
    </row>
    <row r="570" spans="1:15" x14ac:dyDescent="0.25">
      <c r="A570" t="s">
        <v>19</v>
      </c>
      <c r="B570" t="s">
        <v>23</v>
      </c>
      <c r="C570" s="3" t="str">
        <f>IF($B570="GW1",VLOOKUP($A570,Matches!$A:$AC,2,FALSE),IF($B570="GW2",VLOOKUP($A570,Matches!$A:$AC,9,FALSE),IF($B570="GW3",VLOOKUP($A570,Matches!$A:$AC,16,FALSE))))</f>
        <v>West Ham</v>
      </c>
      <c r="D570" s="6">
        <v>0.28059936023345866</v>
      </c>
      <c r="E570" s="6">
        <v>0.43149946062567418</v>
      </c>
      <c r="F570" s="6">
        <v>-0.15090010039221552</v>
      </c>
      <c r="G570" s="3" t="s">
        <v>1</v>
      </c>
      <c r="H570" t="e">
        <v>#N/A</v>
      </c>
      <c r="I570" t="e">
        <v>#N/A</v>
      </c>
      <c r="J570" t="e">
        <v>#N/A</v>
      </c>
      <c r="K570">
        <v>0.23371647500000001</v>
      </c>
      <c r="L570">
        <v>0.441489362</v>
      </c>
      <c r="M570">
        <v>7.4074074000000004E-2</v>
      </c>
      <c r="N570" t="e">
        <v>#N/A</v>
      </c>
      <c r="O570" t="e">
        <v>#N/A</v>
      </c>
    </row>
    <row r="571" spans="1:15" x14ac:dyDescent="0.25">
      <c r="A571" t="s">
        <v>19</v>
      </c>
      <c r="B571" t="s">
        <v>23</v>
      </c>
      <c r="C571" s="3" t="str">
        <f>IF($B571="GW1",VLOOKUP($A571,Matches!$A:$AC,2,FALSE),IF($B571="GW2",VLOOKUP($A571,Matches!$A:$AC,9,FALSE),IF($B571="GW3",VLOOKUP($A571,Matches!$A:$AC,16,FALSE))))</f>
        <v>West Ham</v>
      </c>
      <c r="D571" s="6">
        <v>0.28059936023345866</v>
      </c>
      <c r="E571" s="6">
        <v>0.43149946062567418</v>
      </c>
      <c r="F571" s="6">
        <v>-0.15090010039221552</v>
      </c>
      <c r="G571" s="3" t="s">
        <v>1</v>
      </c>
      <c r="H571" t="e">
        <v>#N/A</v>
      </c>
      <c r="I571" t="e">
        <v>#N/A</v>
      </c>
      <c r="J571" t="e">
        <v>#N/A</v>
      </c>
      <c r="K571">
        <v>0.23371647500000001</v>
      </c>
      <c r="L571">
        <v>0.441489362</v>
      </c>
      <c r="M571">
        <v>7.4074074000000004E-2</v>
      </c>
      <c r="N571" t="e">
        <v>#N/A</v>
      </c>
      <c r="O571" t="e">
        <v>#N/A</v>
      </c>
    </row>
    <row r="572" spans="1:15" x14ac:dyDescent="0.25">
      <c r="A572" t="s">
        <v>19</v>
      </c>
      <c r="B572" t="s">
        <v>23</v>
      </c>
      <c r="C572" s="3" t="str">
        <f>IF($B572="GW1",VLOOKUP($A572,Matches!$A:$AC,2,FALSE),IF($B572="GW2",VLOOKUP($A572,Matches!$A:$AC,9,FALSE),IF($B572="GW3",VLOOKUP($A572,Matches!$A:$AC,16,FALSE))))</f>
        <v>West Ham</v>
      </c>
      <c r="D572" s="6">
        <v>0.28059936023345866</v>
      </c>
      <c r="E572" s="6">
        <v>0.43149946062567418</v>
      </c>
      <c r="F572" s="6">
        <v>-0.15090010039221552</v>
      </c>
      <c r="G572" s="3" t="s">
        <v>1</v>
      </c>
      <c r="H572" t="e">
        <v>#N/A</v>
      </c>
      <c r="I572" t="e">
        <v>#N/A</v>
      </c>
      <c r="J572" t="e">
        <v>#N/A</v>
      </c>
      <c r="K572">
        <v>0.23371647500000001</v>
      </c>
      <c r="L572">
        <v>0.441489362</v>
      </c>
      <c r="M572">
        <v>7.4074074000000004E-2</v>
      </c>
      <c r="N572" t="e">
        <v>#N/A</v>
      </c>
      <c r="O572" t="e">
        <v>#N/A</v>
      </c>
    </row>
    <row r="573" spans="1:15" x14ac:dyDescent="0.25">
      <c r="A573" t="s">
        <v>19</v>
      </c>
      <c r="B573" t="s">
        <v>23</v>
      </c>
      <c r="C573" s="3" t="str">
        <f>IF($B573="GW1",VLOOKUP($A573,Matches!$A:$AC,2,FALSE),IF($B573="GW2",VLOOKUP($A573,Matches!$A:$AC,9,FALSE),IF($B573="GW3",VLOOKUP($A573,Matches!$A:$AC,16,FALSE))))</f>
        <v>West Ham</v>
      </c>
      <c r="D573" s="6">
        <v>0.28059936023345866</v>
      </c>
      <c r="E573" s="6">
        <v>0.43149946062567418</v>
      </c>
      <c r="F573" s="6">
        <v>-0.15090010039221552</v>
      </c>
      <c r="G573" s="3" t="s">
        <v>1</v>
      </c>
      <c r="H573">
        <v>0.11904761899999999</v>
      </c>
      <c r="I573">
        <v>0.105820106</v>
      </c>
      <c r="J573">
        <v>0.21994941200000001</v>
      </c>
      <c r="K573">
        <v>0.23371647500000001</v>
      </c>
      <c r="L573">
        <v>0.441489362</v>
      </c>
      <c r="M573">
        <v>7.4074074000000004E-2</v>
      </c>
      <c r="N573" t="e">
        <v>#N/A</v>
      </c>
      <c r="O573" t="e">
        <v>#N/A</v>
      </c>
    </row>
    <row r="574" spans="1:15" x14ac:dyDescent="0.25">
      <c r="A574" t="s">
        <v>20</v>
      </c>
      <c r="B574" t="s">
        <v>23</v>
      </c>
      <c r="C574" s="3" t="str">
        <f>IF($B574="GW1",VLOOKUP($A574,Matches!$A:$AC,2,FALSE),IF($B574="GW2",VLOOKUP($A574,Matches!$A:$AC,9,FALSE),IF($B574="GW3",VLOOKUP($A574,Matches!$A:$AC,16,FALSE))))</f>
        <v>Burnley</v>
      </c>
      <c r="D574" s="6">
        <v>0.61839094675653938</v>
      </c>
      <c r="E574" s="6">
        <v>0.15193642979777261</v>
      </c>
      <c r="F574" s="6">
        <v>0.46645451695876677</v>
      </c>
      <c r="G574" s="3" t="s">
        <v>1</v>
      </c>
      <c r="H574" t="e">
        <v>#N/A</v>
      </c>
      <c r="I574" t="e">
        <v>#N/A</v>
      </c>
      <c r="J574">
        <v>0.19047618999999999</v>
      </c>
      <c r="K574" t="e">
        <v>#N/A</v>
      </c>
      <c r="L574" t="e">
        <v>#N/A</v>
      </c>
      <c r="M574" t="e">
        <v>#N/A</v>
      </c>
      <c r="N574">
        <v>0.346320346</v>
      </c>
      <c r="O574">
        <v>0</v>
      </c>
    </row>
    <row r="575" spans="1:15" x14ac:dyDescent="0.25">
      <c r="A575" t="s">
        <v>20</v>
      </c>
      <c r="B575" t="s">
        <v>23</v>
      </c>
      <c r="C575" s="3" t="str">
        <f>IF($B575="GW1",VLOOKUP($A575,Matches!$A:$AC,2,FALSE),IF($B575="GW2",VLOOKUP($A575,Matches!$A:$AC,9,FALSE),IF($B575="GW3",VLOOKUP($A575,Matches!$A:$AC,16,FALSE))))</f>
        <v>Burnley</v>
      </c>
      <c r="D575" s="6">
        <v>0.61839094675653938</v>
      </c>
      <c r="E575" s="6">
        <v>0.15193642979777261</v>
      </c>
      <c r="F575" s="6">
        <v>0.46645451695876677</v>
      </c>
      <c r="G575" s="3" t="s">
        <v>1</v>
      </c>
      <c r="H575" t="e">
        <v>#N/A</v>
      </c>
      <c r="I575" t="e">
        <v>#N/A</v>
      </c>
      <c r="J575">
        <v>0.126984127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</row>
    <row r="576" spans="1:15" x14ac:dyDescent="0.25">
      <c r="A576" t="s">
        <v>20</v>
      </c>
      <c r="B576" t="s">
        <v>23</v>
      </c>
      <c r="C576" s="3" t="str">
        <f>IF($B576="GW1",VLOOKUP($A576,Matches!$A:$AC,2,FALSE),IF($B576="GW2",VLOOKUP($A576,Matches!$A:$AC,9,FALSE),IF($B576="GW3",VLOOKUP($A576,Matches!$A:$AC,16,FALSE))))</f>
        <v>Burnley</v>
      </c>
      <c r="D576" s="6">
        <v>0.61839094675653938</v>
      </c>
      <c r="E576" s="6">
        <v>0.15193642979777261</v>
      </c>
      <c r="F576" s="6">
        <v>0.46645451695876677</v>
      </c>
      <c r="G576" s="3" t="s">
        <v>1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</row>
    <row r="577" spans="1:15" x14ac:dyDescent="0.25">
      <c r="A577" t="s">
        <v>20</v>
      </c>
      <c r="B577" t="s">
        <v>23</v>
      </c>
      <c r="C577" s="3" t="str">
        <f>IF($B577="GW1",VLOOKUP($A577,Matches!$A:$AC,2,FALSE),IF($B577="GW2",VLOOKUP($A577,Matches!$A:$AC,9,FALSE),IF($B577="GW3",VLOOKUP($A577,Matches!$A:$AC,16,FALSE))))</f>
        <v>Burnley</v>
      </c>
      <c r="D577" s="6">
        <v>0.61839094675653938</v>
      </c>
      <c r="E577" s="6">
        <v>0.15193642979777261</v>
      </c>
      <c r="F577" s="6">
        <v>0.46645451695876677</v>
      </c>
      <c r="G577" s="3" t="s">
        <v>1</v>
      </c>
      <c r="H577">
        <v>0.13605442200000001</v>
      </c>
      <c r="I577">
        <v>0.21164021199999999</v>
      </c>
      <c r="J577">
        <v>0.19047618999999999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</row>
    <row r="578" spans="1:15" x14ac:dyDescent="0.25">
      <c r="A578" t="s">
        <v>20</v>
      </c>
      <c r="B578" t="s">
        <v>23</v>
      </c>
      <c r="C578" s="3" t="str">
        <f>IF($B578="GW1",VLOOKUP($A578,Matches!$A:$AC,2,FALSE),IF($B578="GW2",VLOOKUP($A578,Matches!$A:$AC,9,FALSE),IF($B578="GW3",VLOOKUP($A578,Matches!$A:$AC,16,FALSE))))</f>
        <v>Burnley</v>
      </c>
      <c r="D578" s="6">
        <v>0.61839094675653938</v>
      </c>
      <c r="E578" s="6">
        <v>0.15193642979777261</v>
      </c>
      <c r="F578" s="6">
        <v>0.46645451695876677</v>
      </c>
      <c r="G578" s="3" t="s">
        <v>1</v>
      </c>
      <c r="H578">
        <v>0.11904761899999999</v>
      </c>
      <c r="I578">
        <v>3.6630036999999997E-2</v>
      </c>
      <c r="J578">
        <v>0.253968254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</row>
    <row r="579" spans="1:15" x14ac:dyDescent="0.25">
      <c r="A579" t="s">
        <v>20</v>
      </c>
      <c r="B579" t="s">
        <v>23</v>
      </c>
      <c r="C579" s="3" t="str">
        <f>IF($B579="GW1",VLOOKUP($A579,Matches!$A:$AC,2,FALSE),IF($B579="GW2",VLOOKUP($A579,Matches!$A:$AC,9,FALSE),IF($B579="GW3",VLOOKUP($A579,Matches!$A:$AC,16,FALSE))))</f>
        <v>Burnley</v>
      </c>
      <c r="D579" s="6">
        <v>0.61839094675653938</v>
      </c>
      <c r="E579" s="6">
        <v>0.15193642979777261</v>
      </c>
      <c r="F579" s="6">
        <v>0.46645451695876677</v>
      </c>
      <c r="G579" s="3" t="s">
        <v>1</v>
      </c>
      <c r="H579">
        <v>0.11904761899999999</v>
      </c>
      <c r="I579">
        <v>6.3492063000000001E-2</v>
      </c>
      <c r="J579">
        <v>0.21164021199999999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</row>
    <row r="580" spans="1:15" x14ac:dyDescent="0.25">
      <c r="A580" t="s">
        <v>20</v>
      </c>
      <c r="B580" t="s">
        <v>23</v>
      </c>
      <c r="C580" s="3" t="str">
        <f>IF($B580="GW1",VLOOKUP($A580,Matches!$A:$AC,2,FALSE),IF($B580="GW2",VLOOKUP($A580,Matches!$A:$AC,9,FALSE),IF($B580="GW3",VLOOKUP($A580,Matches!$A:$AC,16,FALSE))))</f>
        <v>Burnley</v>
      </c>
      <c r="D580" s="6">
        <v>0.61839094675653938</v>
      </c>
      <c r="E580" s="6">
        <v>0.15193642979777261</v>
      </c>
      <c r="F580" s="6">
        <v>0.46645451695876677</v>
      </c>
      <c r="G580" s="3" t="s">
        <v>1</v>
      </c>
      <c r="H580">
        <v>7.9365079000000005E-2</v>
      </c>
      <c r="I580">
        <v>5.0125312999999998E-2</v>
      </c>
      <c r="J580">
        <v>0.19047618999999999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</row>
    <row r="581" spans="1:15" x14ac:dyDescent="0.25">
      <c r="A581" t="s">
        <v>20</v>
      </c>
      <c r="B581" t="s">
        <v>23</v>
      </c>
      <c r="C581" s="3" t="str">
        <f>IF($B581="GW1",VLOOKUP($A581,Matches!$A:$AC,2,FALSE),IF($B581="GW2",VLOOKUP($A581,Matches!$A:$AC,9,FALSE),IF($B581="GW3",VLOOKUP($A581,Matches!$A:$AC,16,FALSE))))</f>
        <v>Burnley</v>
      </c>
      <c r="D581" s="6">
        <v>0.61839094675653938</v>
      </c>
      <c r="E581" s="6">
        <v>0.15193642979777261</v>
      </c>
      <c r="F581" s="6">
        <v>0.46645451695876677</v>
      </c>
      <c r="G581" s="3" t="s">
        <v>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</row>
    <row r="582" spans="1:15" x14ac:dyDescent="0.25">
      <c r="A582" t="s">
        <v>20</v>
      </c>
      <c r="B582" t="s">
        <v>23</v>
      </c>
      <c r="C582" s="3" t="str">
        <f>IF($B582="GW1",VLOOKUP($A582,Matches!$A:$AC,2,FALSE),IF($B582="GW2",VLOOKUP($A582,Matches!$A:$AC,9,FALSE),IF($B582="GW3",VLOOKUP($A582,Matches!$A:$AC,16,FALSE))))</f>
        <v>Burnley</v>
      </c>
      <c r="D582" s="6">
        <v>0.61839094675653938</v>
      </c>
      <c r="E582" s="6">
        <v>0.15193642979777261</v>
      </c>
      <c r="F582" s="6">
        <v>0.46645451695876677</v>
      </c>
      <c r="G582" s="3" t="s">
        <v>1</v>
      </c>
      <c r="H582">
        <v>0.10025062699999999</v>
      </c>
      <c r="I582">
        <v>0.13605442200000001</v>
      </c>
      <c r="J582">
        <v>0.173160173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</row>
    <row r="583" spans="1:15" x14ac:dyDescent="0.25">
      <c r="A583" t="s">
        <v>20</v>
      </c>
      <c r="B583" t="s">
        <v>23</v>
      </c>
      <c r="C583" s="3" t="str">
        <f>IF($B583="GW1",VLOOKUP($A583,Matches!$A:$AC,2,FALSE),IF($B583="GW2",VLOOKUP($A583,Matches!$A:$AC,9,FALSE),IF($B583="GW3",VLOOKUP($A583,Matches!$A:$AC,16,FALSE))))</f>
        <v>Burnley</v>
      </c>
      <c r="D583" s="6">
        <v>0.61839094675653938</v>
      </c>
      <c r="E583" s="6">
        <v>0.15193642979777261</v>
      </c>
      <c r="F583" s="6">
        <v>0.46645451695876677</v>
      </c>
      <c r="G583" s="3" t="s">
        <v>1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</row>
    <row r="584" spans="1:15" x14ac:dyDescent="0.25">
      <c r="A584" t="s">
        <v>20</v>
      </c>
      <c r="B584" t="s">
        <v>23</v>
      </c>
      <c r="C584" s="3" t="str">
        <f>IF($B584="GW1",VLOOKUP($A584,Matches!$A:$AC,2,FALSE),IF($B584="GW2",VLOOKUP($A584,Matches!$A:$AC,9,FALSE),IF($B584="GW3",VLOOKUP($A584,Matches!$A:$AC,16,FALSE))))</f>
        <v>Burnley</v>
      </c>
      <c r="D584" s="6">
        <v>0.61839094675653938</v>
      </c>
      <c r="E584" s="6">
        <v>0.15193642979777261</v>
      </c>
      <c r="F584" s="6">
        <v>0.46645451695876677</v>
      </c>
      <c r="G584" s="3" t="s">
        <v>1</v>
      </c>
      <c r="H584">
        <v>7.9365079000000005E-2</v>
      </c>
      <c r="I584">
        <v>3.6630036999999997E-2</v>
      </c>
      <c r="J584">
        <v>0.19047618999999999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</row>
    <row r="585" spans="1:15" x14ac:dyDescent="0.25">
      <c r="A585" t="s">
        <v>20</v>
      </c>
      <c r="B585" t="s">
        <v>23</v>
      </c>
      <c r="C585" s="3" t="str">
        <f>IF($B585="GW1",VLOOKUP($A585,Matches!$A:$AC,2,FALSE),IF($B585="GW2",VLOOKUP($A585,Matches!$A:$AC,9,FALSE),IF($B585="GW3",VLOOKUP($A585,Matches!$A:$AC,16,FALSE))))</f>
        <v>Burnley</v>
      </c>
      <c r="D585" s="6">
        <v>0.61839094675653938</v>
      </c>
      <c r="E585" s="6">
        <v>0.15193642979777261</v>
      </c>
      <c r="F585" s="6">
        <v>0.46645451695876677</v>
      </c>
      <c r="G585" s="3" t="s">
        <v>1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</row>
    <row r="586" spans="1:15" x14ac:dyDescent="0.25">
      <c r="A586" t="s">
        <v>20</v>
      </c>
      <c r="B586" t="s">
        <v>23</v>
      </c>
      <c r="C586" s="3" t="str">
        <f>IF($B586="GW1",VLOOKUP($A586,Matches!$A:$AC,2,FALSE),IF($B586="GW2",VLOOKUP($A586,Matches!$A:$AC,9,FALSE),IF($B586="GW3",VLOOKUP($A586,Matches!$A:$AC,16,FALSE))))</f>
        <v>Burnley</v>
      </c>
      <c r="D586" s="6">
        <v>0.61839094675653938</v>
      </c>
      <c r="E586" s="6">
        <v>0.15193642979777261</v>
      </c>
      <c r="F586" s="6">
        <v>0.46645451695876677</v>
      </c>
      <c r="G586" s="3" t="s">
        <v>1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</row>
    <row r="587" spans="1:15" x14ac:dyDescent="0.25">
      <c r="A587" t="s">
        <v>20</v>
      </c>
      <c r="B587" t="s">
        <v>23</v>
      </c>
      <c r="C587" s="3" t="str">
        <f>IF($B587="GW1",VLOOKUP($A587,Matches!$A:$AC,2,FALSE),IF($B587="GW2",VLOOKUP($A587,Matches!$A:$AC,9,FALSE),IF($B587="GW3",VLOOKUP($A587,Matches!$A:$AC,16,FALSE))))</f>
        <v>Burnley</v>
      </c>
      <c r="D587" s="6">
        <v>0.61839094675653938</v>
      </c>
      <c r="E587" s="6">
        <v>0.15193642979777261</v>
      </c>
      <c r="F587" s="6">
        <v>0.46645451695876677</v>
      </c>
      <c r="G587" s="3" t="s">
        <v>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</row>
    <row r="588" spans="1:15" x14ac:dyDescent="0.25">
      <c r="A588" t="s">
        <v>20</v>
      </c>
      <c r="B588" t="s">
        <v>23</v>
      </c>
      <c r="C588" s="3" t="str">
        <f>IF($B588="GW1",VLOOKUP($A588,Matches!$A:$AC,2,FALSE),IF($B588="GW2",VLOOKUP($A588,Matches!$A:$AC,9,FALSE),IF($B588="GW3",VLOOKUP($A588,Matches!$A:$AC,16,FALSE))))</f>
        <v>Burnley</v>
      </c>
      <c r="D588" s="6">
        <v>0.61839094675653938</v>
      </c>
      <c r="E588" s="6">
        <v>0.15193642979777261</v>
      </c>
      <c r="F588" s="6">
        <v>0.46645451695876677</v>
      </c>
      <c r="G588" s="3" t="s">
        <v>1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</row>
    <row r="589" spans="1:15" x14ac:dyDescent="0.25">
      <c r="A589" t="s">
        <v>20</v>
      </c>
      <c r="B589" t="s">
        <v>23</v>
      </c>
      <c r="C589" s="3" t="str">
        <f>IF($B589="GW1",VLOOKUP($A589,Matches!$A:$AC,2,FALSE),IF($B589="GW2",VLOOKUP($A589,Matches!$A:$AC,9,FALSE),IF($B589="GW3",VLOOKUP($A589,Matches!$A:$AC,16,FALSE))))</f>
        <v>Burnley</v>
      </c>
      <c r="D589" s="6">
        <v>0.61839094675653938</v>
      </c>
      <c r="E589" s="6">
        <v>0.15193642979777261</v>
      </c>
      <c r="F589" s="6">
        <v>0.46645451695876677</v>
      </c>
      <c r="G589" s="3" t="s">
        <v>1</v>
      </c>
      <c r="H589">
        <v>0.36350418000000001</v>
      </c>
      <c r="I589">
        <v>0.21994941200000001</v>
      </c>
      <c r="J589">
        <v>9.5238094999999995E-2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</row>
    <row r="590" spans="1:15" x14ac:dyDescent="0.25">
      <c r="A590" t="s">
        <v>20</v>
      </c>
      <c r="B590" t="s">
        <v>23</v>
      </c>
      <c r="C590" s="3" t="str">
        <f>IF($B590="GW1",VLOOKUP($A590,Matches!$A:$AC,2,FALSE),IF($B590="GW2",VLOOKUP($A590,Matches!$A:$AC,9,FALSE),IF($B590="GW3",VLOOKUP($A590,Matches!$A:$AC,16,FALSE))))</f>
        <v>Burnley</v>
      </c>
      <c r="D590" s="6">
        <v>0.61839094675653938</v>
      </c>
      <c r="E590" s="6">
        <v>0.15193642979777261</v>
      </c>
      <c r="F590" s="6">
        <v>0.46645451695876677</v>
      </c>
      <c r="G590" s="3" t="s">
        <v>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</row>
    <row r="591" spans="1:15" x14ac:dyDescent="0.25">
      <c r="A591" t="s">
        <v>20</v>
      </c>
      <c r="B591" t="s">
        <v>23</v>
      </c>
      <c r="C591" s="3" t="str">
        <f>IF($B591="GW1",VLOOKUP($A591,Matches!$A:$AC,2,FALSE),IF($B591="GW2",VLOOKUP($A591,Matches!$A:$AC,9,FALSE),IF($B591="GW3",VLOOKUP($A591,Matches!$A:$AC,16,FALSE))))</f>
        <v>Burnley</v>
      </c>
      <c r="D591" s="6">
        <v>0.61839094675653938</v>
      </c>
      <c r="E591" s="6">
        <v>0.15193642979777261</v>
      </c>
      <c r="F591" s="6">
        <v>0.46645451695876677</v>
      </c>
      <c r="G591" s="3" t="s">
        <v>1</v>
      </c>
      <c r="H591">
        <v>0.346320346</v>
      </c>
      <c r="I591">
        <v>0.21994941200000001</v>
      </c>
      <c r="J591">
        <v>0.15873015900000001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</row>
    <row r="592" spans="1:15" x14ac:dyDescent="0.25">
      <c r="A592" t="s">
        <v>20</v>
      </c>
      <c r="B592" t="s">
        <v>23</v>
      </c>
      <c r="C592" s="3" t="str">
        <f>IF($B592="GW1",VLOOKUP($A592,Matches!$A:$AC,2,FALSE),IF($B592="GW2",VLOOKUP($A592,Matches!$A:$AC,9,FALSE),IF($B592="GW3",VLOOKUP($A592,Matches!$A:$AC,16,FALSE))))</f>
        <v>Burnley</v>
      </c>
      <c r="D592" s="6">
        <v>0.61839094675653938</v>
      </c>
      <c r="E592" s="6">
        <v>0.15193642979777261</v>
      </c>
      <c r="F592" s="6">
        <v>0.46645451695876677</v>
      </c>
      <c r="G592" s="3" t="s">
        <v>1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</row>
    <row r="593" spans="1:15" x14ac:dyDescent="0.25">
      <c r="A593" t="s">
        <v>20</v>
      </c>
      <c r="B593" t="s">
        <v>23</v>
      </c>
      <c r="C593" s="3" t="str">
        <f>IF($B593="GW1",VLOOKUP($A593,Matches!$A:$AC,2,FALSE),IF($B593="GW2",VLOOKUP($A593,Matches!$A:$AC,9,FALSE),IF($B593="GW3",VLOOKUP($A593,Matches!$A:$AC,16,FALSE))))</f>
        <v>Burnley</v>
      </c>
      <c r="D593" s="6">
        <v>0.61839094675653938</v>
      </c>
      <c r="E593" s="6">
        <v>0.15193642979777261</v>
      </c>
      <c r="F593" s="6">
        <v>0.46645451695876677</v>
      </c>
      <c r="G593" s="3" t="s">
        <v>1</v>
      </c>
      <c r="H593">
        <v>0.36350418000000001</v>
      </c>
      <c r="I593">
        <v>0.19047618999999999</v>
      </c>
      <c r="J593">
        <v>0.173160173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</row>
    <row r="594" spans="1:15" x14ac:dyDescent="0.25">
      <c r="A594" t="s">
        <v>20</v>
      </c>
      <c r="B594" t="s">
        <v>23</v>
      </c>
      <c r="C594" s="3" t="str">
        <f>IF($B594="GW1",VLOOKUP($A594,Matches!$A:$AC,2,FALSE),IF($B594="GW2",VLOOKUP($A594,Matches!$A:$AC,9,FALSE),IF($B594="GW3",VLOOKUP($A594,Matches!$A:$AC,16,FALSE))))</f>
        <v>Burnley</v>
      </c>
      <c r="D594" s="6">
        <v>0.61839094675653938</v>
      </c>
      <c r="E594" s="6">
        <v>0.15193642979777261</v>
      </c>
      <c r="F594" s="6">
        <v>0.46645451695876677</v>
      </c>
      <c r="G594" s="3" t="s">
        <v>1</v>
      </c>
      <c r="H594">
        <v>0.13605442200000001</v>
      </c>
      <c r="I594">
        <v>9.5238094999999995E-2</v>
      </c>
      <c r="J594">
        <v>0.29304029300000001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</row>
    <row r="595" spans="1:15" x14ac:dyDescent="0.25">
      <c r="A595" t="s">
        <v>20</v>
      </c>
      <c r="B595" t="s">
        <v>23</v>
      </c>
      <c r="C595" s="3" t="str">
        <f>IF($B595="GW1",VLOOKUP($A595,Matches!$A:$AC,2,FALSE),IF($B595="GW2",VLOOKUP($A595,Matches!$A:$AC,9,FALSE),IF($B595="GW3",VLOOKUP($A595,Matches!$A:$AC,16,FALSE))))</f>
        <v>Burnley</v>
      </c>
      <c r="D595" s="6">
        <v>0.61839094675653938</v>
      </c>
      <c r="E595" s="6">
        <v>0.15193642979777261</v>
      </c>
      <c r="F595" s="6">
        <v>0.46645451695876677</v>
      </c>
      <c r="G595" s="3" t="s">
        <v>1</v>
      </c>
      <c r="H595">
        <v>0.173160173</v>
      </c>
      <c r="I595">
        <v>0.105820106</v>
      </c>
      <c r="J595">
        <v>0.23809523799999999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</row>
    <row r="596" spans="1:15" x14ac:dyDescent="0.25">
      <c r="A596" t="s">
        <v>20</v>
      </c>
      <c r="B596" t="s">
        <v>23</v>
      </c>
      <c r="C596" s="3" t="str">
        <f>IF($B596="GW1",VLOOKUP($A596,Matches!$A:$AC,2,FALSE),IF($B596="GW2",VLOOKUP($A596,Matches!$A:$AC,9,FALSE),IF($B596="GW3",VLOOKUP($A596,Matches!$A:$AC,16,FALSE))))</f>
        <v>Burnley</v>
      </c>
      <c r="D596" s="6">
        <v>0.61839094675653938</v>
      </c>
      <c r="E596" s="6">
        <v>0.15193642979777261</v>
      </c>
      <c r="F596" s="6">
        <v>0.46645451695876677</v>
      </c>
      <c r="G596" s="3" t="s">
        <v>1</v>
      </c>
      <c r="H596">
        <v>0.173160173</v>
      </c>
      <c r="I596">
        <v>8.6580087E-2</v>
      </c>
      <c r="J596">
        <v>0.27210884400000002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</row>
    <row r="597" spans="1:15" x14ac:dyDescent="0.25">
      <c r="A597" t="s">
        <v>20</v>
      </c>
      <c r="B597" t="s">
        <v>23</v>
      </c>
      <c r="C597" s="3" t="str">
        <f>IF($B597="GW1",VLOOKUP($A597,Matches!$A:$AC,2,FALSE),IF($B597="GW2",VLOOKUP($A597,Matches!$A:$AC,9,FALSE),IF($B597="GW3",VLOOKUP($A597,Matches!$A:$AC,16,FALSE))))</f>
        <v>Burnley</v>
      </c>
      <c r="D597" s="6">
        <v>0.61839094675653938</v>
      </c>
      <c r="E597" s="6">
        <v>0.15193642979777261</v>
      </c>
      <c r="F597" s="6">
        <v>0.46645451695876677</v>
      </c>
      <c r="G597" s="3" t="s">
        <v>1</v>
      </c>
      <c r="H597">
        <v>0.31746031699999999</v>
      </c>
      <c r="I597">
        <v>0.21164021199999999</v>
      </c>
      <c r="J597">
        <v>0.19047618999999999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</row>
    <row r="598" spans="1:15" x14ac:dyDescent="0.25">
      <c r="A598" t="s">
        <v>20</v>
      </c>
      <c r="B598" t="s">
        <v>23</v>
      </c>
      <c r="C598" s="3" t="str">
        <f>IF($B598="GW1",VLOOKUP($A598,Matches!$A:$AC,2,FALSE),IF($B598="GW2",VLOOKUP($A598,Matches!$A:$AC,9,FALSE),IF($B598="GW3",VLOOKUP($A598,Matches!$A:$AC,16,FALSE))))</f>
        <v>Burnley</v>
      </c>
      <c r="D598" s="6">
        <v>0.61839094675653938</v>
      </c>
      <c r="E598" s="6">
        <v>0.15193642979777261</v>
      </c>
      <c r="F598" s="6">
        <v>0.46645451695876677</v>
      </c>
      <c r="G598" s="3" t="s">
        <v>1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</row>
    <row r="599" spans="1:15" x14ac:dyDescent="0.25">
      <c r="A599" t="s">
        <v>20</v>
      </c>
      <c r="B599" t="s">
        <v>23</v>
      </c>
      <c r="C599" s="3" t="str">
        <f>IF($B599="GW1",VLOOKUP($A599,Matches!$A:$AC,2,FALSE),IF($B599="GW2",VLOOKUP($A599,Matches!$A:$AC,9,FALSE),IF($B599="GW3",VLOOKUP($A599,Matches!$A:$AC,16,FALSE))))</f>
        <v>Burnley</v>
      </c>
      <c r="D599" s="6">
        <v>0.61839094675653938</v>
      </c>
      <c r="E599" s="6">
        <v>0.15193642979777261</v>
      </c>
      <c r="F599" s="6">
        <v>0.46645451695876677</v>
      </c>
      <c r="G599" s="3" t="s">
        <v>1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</row>
    <row r="600" spans="1:15" x14ac:dyDescent="0.25">
      <c r="A600" t="s">
        <v>20</v>
      </c>
      <c r="B600" t="s">
        <v>23</v>
      </c>
      <c r="C600" s="3" t="str">
        <f>IF($B600="GW1",VLOOKUP($A600,Matches!$A:$AC,2,FALSE),IF($B600="GW2",VLOOKUP($A600,Matches!$A:$AC,9,FALSE),IF($B600="GW3",VLOOKUP($A600,Matches!$A:$AC,16,FALSE))))</f>
        <v>Burnley</v>
      </c>
      <c r="D600" s="6">
        <v>0.61839094675653938</v>
      </c>
      <c r="E600" s="6">
        <v>0.15193642979777261</v>
      </c>
      <c r="F600" s="6">
        <v>0.46645451695876677</v>
      </c>
      <c r="G600" s="3" t="s">
        <v>1</v>
      </c>
      <c r="H600">
        <v>0.11904761899999999</v>
      </c>
      <c r="I600">
        <v>0.11904761899999999</v>
      </c>
      <c r="J600">
        <v>0.19047618999999999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</row>
    <row r="601" spans="1:15" x14ac:dyDescent="0.25">
      <c r="A601" t="s">
        <v>20</v>
      </c>
      <c r="B601" t="s">
        <v>23</v>
      </c>
      <c r="C601" s="3" t="str">
        <f>IF($B601="GW1",VLOOKUP($A601,Matches!$A:$AC,2,FALSE),IF($B601="GW2",VLOOKUP($A601,Matches!$A:$AC,9,FALSE),IF($B601="GW3",VLOOKUP($A601,Matches!$A:$AC,16,FALSE))))</f>
        <v>Burnley</v>
      </c>
      <c r="D601" s="6">
        <v>0.61839094675653938</v>
      </c>
      <c r="E601" s="6">
        <v>0.15193642979777261</v>
      </c>
      <c r="F601" s="6">
        <v>0.46645451695876677</v>
      </c>
      <c r="G601" s="3" t="s">
        <v>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</row>
    <row r="602" spans="1:15" x14ac:dyDescent="0.25">
      <c r="A602" t="s">
        <v>20</v>
      </c>
      <c r="B602" t="s">
        <v>23</v>
      </c>
      <c r="C602" s="3" t="str">
        <f>IF($B602="GW1",VLOOKUP($A602,Matches!$A:$AC,2,FALSE),IF($B602="GW2",VLOOKUP($A602,Matches!$A:$AC,9,FALSE),IF($B602="GW3",VLOOKUP($A602,Matches!$A:$AC,16,FALSE))))</f>
        <v>Burnley</v>
      </c>
      <c r="D602" s="6">
        <v>0.61839094675653938</v>
      </c>
      <c r="E602" s="6">
        <v>0.15193642979777261</v>
      </c>
      <c r="F602" s="6">
        <v>0.46645451695876677</v>
      </c>
      <c r="G602" s="3" t="s">
        <v>1</v>
      </c>
      <c r="H602">
        <v>0.21164021199999999</v>
      </c>
      <c r="I602">
        <v>0.105820106</v>
      </c>
      <c r="J602">
        <v>0.21164021199999999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</row>
    <row r="603" spans="1:15" x14ac:dyDescent="0.25">
      <c r="A603" t="s">
        <v>20</v>
      </c>
      <c r="B603" t="s">
        <v>23</v>
      </c>
      <c r="C603" s="3" t="str">
        <f>IF($B603="GW1",VLOOKUP($A603,Matches!$A:$AC,2,FALSE),IF($B603="GW2",VLOOKUP($A603,Matches!$A:$AC,9,FALSE),IF($B603="GW3",VLOOKUP($A603,Matches!$A:$AC,16,FALSE))))</f>
        <v>Burnley</v>
      </c>
      <c r="D603" s="6">
        <v>0.61839094675653938</v>
      </c>
      <c r="E603" s="6">
        <v>0.15193642979777261</v>
      </c>
      <c r="F603" s="6">
        <v>0.46645451695876677</v>
      </c>
      <c r="G603" s="3" t="s">
        <v>1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</row>
    <row r="604" spans="1:15" x14ac:dyDescent="0.25">
      <c r="A604" t="s">
        <v>20</v>
      </c>
      <c r="B604" t="s">
        <v>23</v>
      </c>
      <c r="C604" s="3" t="str">
        <f>IF($B604="GW1",VLOOKUP($A604,Matches!$A:$AC,2,FALSE),IF($B604="GW2",VLOOKUP($A604,Matches!$A:$AC,9,FALSE),IF($B604="GW3",VLOOKUP($A604,Matches!$A:$AC,16,FALSE))))</f>
        <v>Burnley</v>
      </c>
      <c r="D604" s="6">
        <v>0.61839094675653938</v>
      </c>
      <c r="E604" s="6">
        <v>0.15193642979777261</v>
      </c>
      <c r="F604" s="6">
        <v>0.46645451695876677</v>
      </c>
      <c r="G604" s="3" t="s">
        <v>1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</row>
    <row r="605" spans="1:15" x14ac:dyDescent="0.25">
      <c r="A605" t="s">
        <v>20</v>
      </c>
      <c r="B605" t="s">
        <v>23</v>
      </c>
      <c r="C605" s="3" t="str">
        <f>IF($B605="GW1",VLOOKUP($A605,Matches!$A:$AC,2,FALSE),IF($B605="GW2",VLOOKUP($A605,Matches!$A:$AC,9,FALSE),IF($B605="GW3",VLOOKUP($A605,Matches!$A:$AC,16,FALSE))))</f>
        <v>Burnley</v>
      </c>
      <c r="D605" s="6">
        <v>0.61839094675653938</v>
      </c>
      <c r="E605" s="6">
        <v>0.15193642979777261</v>
      </c>
      <c r="F605" s="6">
        <v>0.46645451695876677</v>
      </c>
      <c r="G605" s="3" t="s">
        <v>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</row>
    <row r="606" spans="1:15" x14ac:dyDescent="0.25">
      <c r="A606" t="s">
        <v>20</v>
      </c>
      <c r="B606" t="s">
        <v>23</v>
      </c>
      <c r="C606" s="3" t="str">
        <f>IF($B606="GW1",VLOOKUP($A606,Matches!$A:$AC,2,FALSE),IF($B606="GW2",VLOOKUP($A606,Matches!$A:$AC,9,FALSE),IF($B606="GW3",VLOOKUP($A606,Matches!$A:$AC,16,FALSE))))</f>
        <v>Burnley</v>
      </c>
      <c r="D606" s="6">
        <v>0.61839094675653938</v>
      </c>
      <c r="E606" s="6">
        <v>0.15193642979777261</v>
      </c>
      <c r="F606" s="6">
        <v>0.46645451695876677</v>
      </c>
      <c r="G606" s="3" t="s">
        <v>1</v>
      </c>
      <c r="H606">
        <v>0.41407867500000001</v>
      </c>
      <c r="I606">
        <v>0.23809523799999999</v>
      </c>
      <c r="J606">
        <v>0.15873015900000001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</row>
    <row r="607" spans="1:15" x14ac:dyDescent="0.25">
      <c r="A607" t="s">
        <v>20</v>
      </c>
      <c r="B607" t="s">
        <v>23</v>
      </c>
      <c r="C607" s="3" t="str">
        <f>IF($B607="GW1",VLOOKUP($A607,Matches!$A:$AC,2,FALSE),IF($B607="GW2",VLOOKUP($A607,Matches!$A:$AC,9,FALSE),IF($B607="GW3",VLOOKUP($A607,Matches!$A:$AC,16,FALSE))))</f>
        <v>Burnley</v>
      </c>
      <c r="D607" s="6">
        <v>0.61839094675653938</v>
      </c>
      <c r="E607" s="6">
        <v>0.15193642979777261</v>
      </c>
      <c r="F607" s="6">
        <v>0.46645451695876677</v>
      </c>
      <c r="G607" s="3" t="s">
        <v>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</row>
    <row r="608" spans="1:15" x14ac:dyDescent="0.25">
      <c r="A608" t="s">
        <v>20</v>
      </c>
      <c r="B608" t="s">
        <v>23</v>
      </c>
      <c r="C608" s="3" t="str">
        <f>IF($B608="GW1",VLOOKUP($A608,Matches!$A:$AC,2,FALSE),IF($B608="GW2",VLOOKUP($A608,Matches!$A:$AC,9,FALSE),IF($B608="GW3",VLOOKUP($A608,Matches!$A:$AC,16,FALSE))))</f>
        <v>Burnley</v>
      </c>
      <c r="D608" s="6">
        <v>0.61839094675653938</v>
      </c>
      <c r="E608" s="6">
        <v>0.15193642979777261</v>
      </c>
      <c r="F608" s="6">
        <v>0.46645451695876677</v>
      </c>
      <c r="G608" s="3" t="s">
        <v>1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</row>
    <row r="609" spans="1:15" x14ac:dyDescent="0.25">
      <c r="A609" t="s">
        <v>21</v>
      </c>
      <c r="B609" t="s">
        <v>23</v>
      </c>
      <c r="C609" s="3" t="str">
        <f>IF($B609="GW1",VLOOKUP($A609,Matches!$A:$AC,2,FALSE),IF($B609="GW2",VLOOKUP($A609,Matches!$A:$AC,9,FALSE),IF($B609="GW3",VLOOKUP($A609,Matches!$A:$AC,16,FALSE))))</f>
        <v>Sunderland</v>
      </c>
      <c r="D609" s="6">
        <v>0.43149946062567418</v>
      </c>
      <c r="E609" s="6">
        <v>0.28059936023345866</v>
      </c>
      <c r="F609" s="6">
        <v>0.15090010039221552</v>
      </c>
      <c r="G609" s="3" t="s">
        <v>0</v>
      </c>
      <c r="H609" t="e">
        <v>#N/A</v>
      </c>
      <c r="I609" t="e">
        <v>#N/A</v>
      </c>
      <c r="J609">
        <v>0.19047618999999999</v>
      </c>
      <c r="K609">
        <v>0.311926606</v>
      </c>
      <c r="L609">
        <v>0.33734939800000002</v>
      </c>
      <c r="M609">
        <v>4.6104928000000003E-2</v>
      </c>
      <c r="N609">
        <v>0.52042675000000005</v>
      </c>
      <c r="O609">
        <v>0</v>
      </c>
    </row>
    <row r="610" spans="1:15" x14ac:dyDescent="0.25">
      <c r="A610" t="s">
        <v>21</v>
      </c>
      <c r="B610" t="s">
        <v>23</v>
      </c>
      <c r="C610" s="3" t="str">
        <f>IF($B610="GW1",VLOOKUP($A610,Matches!$A:$AC,2,FALSE),IF($B610="GW2",VLOOKUP($A610,Matches!$A:$AC,9,FALSE),IF($B610="GW3",VLOOKUP($A610,Matches!$A:$AC,16,FALSE))))</f>
        <v>Sunderland</v>
      </c>
      <c r="D610" s="6">
        <v>0.43149946062567418</v>
      </c>
      <c r="E610" s="6">
        <v>0.28059936023345866</v>
      </c>
      <c r="F610" s="6">
        <v>0.15090010039221552</v>
      </c>
      <c r="G610" s="3" t="s">
        <v>0</v>
      </c>
      <c r="H610" t="e">
        <v>#N/A</v>
      </c>
      <c r="I610" t="e">
        <v>#N/A</v>
      </c>
      <c r="J610">
        <v>0.21994941200000001</v>
      </c>
      <c r="K610">
        <v>0.311926606</v>
      </c>
      <c r="L610">
        <v>0.33734939800000002</v>
      </c>
      <c r="M610">
        <v>4.6104928000000003E-2</v>
      </c>
      <c r="N610" t="e">
        <v>#N/A</v>
      </c>
      <c r="O610" t="e">
        <v>#N/A</v>
      </c>
    </row>
    <row r="611" spans="1:15" x14ac:dyDescent="0.25">
      <c r="A611" t="s">
        <v>21</v>
      </c>
      <c r="B611" t="s">
        <v>23</v>
      </c>
      <c r="C611" s="3" t="str">
        <f>IF($B611="GW1",VLOOKUP($A611,Matches!$A:$AC,2,FALSE),IF($B611="GW2",VLOOKUP($A611,Matches!$A:$AC,9,FALSE),IF($B611="GW3",VLOOKUP($A611,Matches!$A:$AC,16,FALSE))))</f>
        <v>Sunderland</v>
      </c>
      <c r="D611" s="6">
        <v>0.43149946062567418</v>
      </c>
      <c r="E611" s="6">
        <v>0.28059936023345866</v>
      </c>
      <c r="F611" s="6">
        <v>0.15090010039221552</v>
      </c>
      <c r="G611" s="3" t="s">
        <v>0</v>
      </c>
      <c r="H611" t="e">
        <v>#N/A</v>
      </c>
      <c r="I611" t="e">
        <v>#N/A</v>
      </c>
      <c r="J611" t="e">
        <v>#N/A</v>
      </c>
      <c r="K611">
        <v>0.311926606</v>
      </c>
      <c r="L611">
        <v>0.33734939800000002</v>
      </c>
      <c r="M611">
        <v>4.6104928000000003E-2</v>
      </c>
      <c r="N611" t="e">
        <v>#N/A</v>
      </c>
      <c r="O611" t="e">
        <v>#N/A</v>
      </c>
    </row>
    <row r="612" spans="1:15" x14ac:dyDescent="0.25">
      <c r="A612" t="s">
        <v>21</v>
      </c>
      <c r="B612" t="s">
        <v>23</v>
      </c>
      <c r="C612" s="3" t="str">
        <f>IF($B612="GW1",VLOOKUP($A612,Matches!$A:$AC,2,FALSE),IF($B612="GW2",VLOOKUP($A612,Matches!$A:$AC,9,FALSE),IF($B612="GW3",VLOOKUP($A612,Matches!$A:$AC,16,FALSE))))</f>
        <v>Sunderland</v>
      </c>
      <c r="D612" s="6">
        <v>0.43149946062567418</v>
      </c>
      <c r="E612" s="6">
        <v>0.28059936023345866</v>
      </c>
      <c r="F612" s="6">
        <v>0.15090010039221552</v>
      </c>
      <c r="G612" s="3" t="s">
        <v>0</v>
      </c>
      <c r="H612">
        <v>0.112044818</v>
      </c>
      <c r="I612">
        <v>0.11904761899999999</v>
      </c>
      <c r="J612">
        <v>0.253968254</v>
      </c>
      <c r="K612">
        <v>0.311926606</v>
      </c>
      <c r="L612">
        <v>0.33734939800000002</v>
      </c>
      <c r="M612">
        <v>4.6104928000000003E-2</v>
      </c>
      <c r="N612" t="e">
        <v>#N/A</v>
      </c>
      <c r="O612" t="e">
        <v>#N/A</v>
      </c>
    </row>
    <row r="613" spans="1:15" x14ac:dyDescent="0.25">
      <c r="A613" t="s">
        <v>21</v>
      </c>
      <c r="B613" t="s">
        <v>23</v>
      </c>
      <c r="C613" s="3" t="str">
        <f>IF($B613="GW1",VLOOKUP($A613,Matches!$A:$AC,2,FALSE),IF($B613="GW2",VLOOKUP($A613,Matches!$A:$AC,9,FALSE),IF($B613="GW3",VLOOKUP($A613,Matches!$A:$AC,16,FALSE))))</f>
        <v>Sunderland</v>
      </c>
      <c r="D613" s="6">
        <v>0.43149946062567418</v>
      </c>
      <c r="E613" s="6">
        <v>0.28059936023345866</v>
      </c>
      <c r="F613" s="6">
        <v>0.15090010039221552</v>
      </c>
      <c r="G613" s="3" t="s">
        <v>0</v>
      </c>
      <c r="H613" t="e">
        <v>#N/A</v>
      </c>
      <c r="I613" t="e">
        <v>#N/A</v>
      </c>
      <c r="J613" t="e">
        <v>#N/A</v>
      </c>
      <c r="K613">
        <v>0.311926606</v>
      </c>
      <c r="L613">
        <v>0.33734939800000002</v>
      </c>
      <c r="M613">
        <v>4.6104928000000003E-2</v>
      </c>
      <c r="N613" t="e">
        <v>#N/A</v>
      </c>
      <c r="O613" t="e">
        <v>#N/A</v>
      </c>
    </row>
    <row r="614" spans="1:15" x14ac:dyDescent="0.25">
      <c r="A614" t="s">
        <v>21</v>
      </c>
      <c r="B614" t="s">
        <v>23</v>
      </c>
      <c r="C614" s="3" t="str">
        <f>IF($B614="GW1",VLOOKUP($A614,Matches!$A:$AC,2,FALSE),IF($B614="GW2",VLOOKUP($A614,Matches!$A:$AC,9,FALSE),IF($B614="GW3",VLOOKUP($A614,Matches!$A:$AC,16,FALSE))))</f>
        <v>Sunderland</v>
      </c>
      <c r="D614" s="6">
        <v>0.43149946062567418</v>
      </c>
      <c r="E614" s="6">
        <v>0.28059936023345866</v>
      </c>
      <c r="F614" s="6">
        <v>0.15090010039221552</v>
      </c>
      <c r="G614" s="3" t="s">
        <v>0</v>
      </c>
      <c r="H614">
        <v>7.3260072999999995E-2</v>
      </c>
      <c r="I614">
        <v>4.5351474000000003E-2</v>
      </c>
      <c r="J614">
        <v>0.21994941200000001</v>
      </c>
      <c r="K614">
        <v>0.311926606</v>
      </c>
      <c r="L614">
        <v>0.33734939800000002</v>
      </c>
      <c r="M614">
        <v>4.6104928000000003E-2</v>
      </c>
      <c r="N614" t="e">
        <v>#N/A</v>
      </c>
      <c r="O614" t="e">
        <v>#N/A</v>
      </c>
    </row>
    <row r="615" spans="1:15" x14ac:dyDescent="0.25">
      <c r="A615" t="s">
        <v>21</v>
      </c>
      <c r="B615" t="s">
        <v>23</v>
      </c>
      <c r="C615" s="3" t="str">
        <f>IF($B615="GW1",VLOOKUP($A615,Matches!$A:$AC,2,FALSE),IF($B615="GW2",VLOOKUP($A615,Matches!$A:$AC,9,FALSE),IF($B615="GW3",VLOOKUP($A615,Matches!$A:$AC,16,FALSE))))</f>
        <v>Sunderland</v>
      </c>
      <c r="D615" s="6">
        <v>0.43149946062567418</v>
      </c>
      <c r="E615" s="6">
        <v>0.28059936023345866</v>
      </c>
      <c r="F615" s="6">
        <v>0.15090010039221552</v>
      </c>
      <c r="G615" s="3" t="s">
        <v>0</v>
      </c>
      <c r="H615">
        <v>0.126984127</v>
      </c>
      <c r="I615">
        <v>3.2840722000000003E-2</v>
      </c>
      <c r="J615">
        <v>0.28011204499999998</v>
      </c>
      <c r="K615">
        <v>0.311926606</v>
      </c>
      <c r="L615">
        <v>0.33734939800000002</v>
      </c>
      <c r="M615">
        <v>4.6104928000000003E-2</v>
      </c>
      <c r="N615" t="e">
        <v>#N/A</v>
      </c>
      <c r="O615" t="e">
        <v>#N/A</v>
      </c>
    </row>
    <row r="616" spans="1:15" x14ac:dyDescent="0.25">
      <c r="A616" t="s">
        <v>21</v>
      </c>
      <c r="B616" t="s">
        <v>23</v>
      </c>
      <c r="C616" s="3" t="str">
        <f>IF($B616="GW1",VLOOKUP($A616,Matches!$A:$AC,2,FALSE),IF($B616="GW2",VLOOKUP($A616,Matches!$A:$AC,9,FALSE),IF($B616="GW3",VLOOKUP($A616,Matches!$A:$AC,16,FALSE))))</f>
        <v>Sunderland</v>
      </c>
      <c r="D616" s="6">
        <v>0.43149946062567418</v>
      </c>
      <c r="E616" s="6">
        <v>0.28059936023345866</v>
      </c>
      <c r="F616" s="6">
        <v>0.15090010039221552</v>
      </c>
      <c r="G616" s="3" t="s">
        <v>0</v>
      </c>
      <c r="H616">
        <v>7.3260072999999995E-2</v>
      </c>
      <c r="I616">
        <v>5.0125312999999998E-2</v>
      </c>
      <c r="J616">
        <v>0.20050125299999999</v>
      </c>
      <c r="K616">
        <v>0.311926606</v>
      </c>
      <c r="L616">
        <v>0.33734939800000002</v>
      </c>
      <c r="M616">
        <v>4.6104928000000003E-2</v>
      </c>
      <c r="N616" t="e">
        <v>#N/A</v>
      </c>
      <c r="O616" t="e">
        <v>#N/A</v>
      </c>
    </row>
    <row r="617" spans="1:15" x14ac:dyDescent="0.25">
      <c r="A617" t="s">
        <v>21</v>
      </c>
      <c r="B617" t="s">
        <v>23</v>
      </c>
      <c r="C617" s="3" t="str">
        <f>IF($B617="GW1",VLOOKUP($A617,Matches!$A:$AC,2,FALSE),IF($B617="GW2",VLOOKUP($A617,Matches!$A:$AC,9,FALSE),IF($B617="GW3",VLOOKUP($A617,Matches!$A:$AC,16,FALSE))))</f>
        <v>Sunderland</v>
      </c>
      <c r="D617" s="6">
        <v>0.43149946062567418</v>
      </c>
      <c r="E617" s="6">
        <v>0.28059936023345866</v>
      </c>
      <c r="F617" s="6">
        <v>0.15090010039221552</v>
      </c>
      <c r="G617" s="3" t="s">
        <v>0</v>
      </c>
      <c r="H617" t="e">
        <v>#N/A</v>
      </c>
      <c r="I617" t="e">
        <v>#N/A</v>
      </c>
      <c r="J617" t="e">
        <v>#N/A</v>
      </c>
      <c r="K617">
        <v>0.311926606</v>
      </c>
      <c r="L617">
        <v>0.33734939800000002</v>
      </c>
      <c r="M617">
        <v>4.6104928000000003E-2</v>
      </c>
      <c r="N617" t="e">
        <v>#N/A</v>
      </c>
      <c r="O617" t="e">
        <v>#N/A</v>
      </c>
    </row>
    <row r="618" spans="1:15" x14ac:dyDescent="0.25">
      <c r="A618" t="s">
        <v>21</v>
      </c>
      <c r="B618" t="s">
        <v>23</v>
      </c>
      <c r="C618" s="3" t="str">
        <f>IF($B618="GW1",VLOOKUP($A618,Matches!$A:$AC,2,FALSE),IF($B618="GW2",VLOOKUP($A618,Matches!$A:$AC,9,FALSE),IF($B618="GW3",VLOOKUP($A618,Matches!$A:$AC,16,FALSE))))</f>
        <v>Sunderland</v>
      </c>
      <c r="D618" s="6">
        <v>0.43149946062567418</v>
      </c>
      <c r="E618" s="6">
        <v>0.28059936023345866</v>
      </c>
      <c r="F618" s="6">
        <v>0.15090010039221552</v>
      </c>
      <c r="G618" s="3" t="s">
        <v>0</v>
      </c>
      <c r="H618">
        <v>6.3492063000000001E-2</v>
      </c>
      <c r="I618">
        <v>2.8011204000000001E-2</v>
      </c>
      <c r="J618">
        <v>0.33184005300000002</v>
      </c>
      <c r="K618">
        <v>0.311926606</v>
      </c>
      <c r="L618">
        <v>0.33734939800000002</v>
      </c>
      <c r="M618">
        <v>4.6104928000000003E-2</v>
      </c>
      <c r="N618" t="e">
        <v>#N/A</v>
      </c>
      <c r="O618" t="e">
        <v>#N/A</v>
      </c>
    </row>
    <row r="619" spans="1:15" x14ac:dyDescent="0.25">
      <c r="A619" t="s">
        <v>21</v>
      </c>
      <c r="B619" t="s">
        <v>23</v>
      </c>
      <c r="C619" s="3" t="str">
        <f>IF($B619="GW1",VLOOKUP($A619,Matches!$A:$AC,2,FALSE),IF($B619="GW2",VLOOKUP($A619,Matches!$A:$AC,9,FALSE),IF($B619="GW3",VLOOKUP($A619,Matches!$A:$AC,16,FALSE))))</f>
        <v>Sunderland</v>
      </c>
      <c r="D619" s="6">
        <v>0.43149946062567418</v>
      </c>
      <c r="E619" s="6">
        <v>0.28059936023345866</v>
      </c>
      <c r="F619" s="6">
        <v>0.15090010039221552</v>
      </c>
      <c r="G619" s="3" t="s">
        <v>0</v>
      </c>
      <c r="H619">
        <v>6.3492063000000001E-2</v>
      </c>
      <c r="I619">
        <v>6.3492063000000001E-2</v>
      </c>
      <c r="J619">
        <v>0.28011204499999998</v>
      </c>
      <c r="K619">
        <v>0.311926606</v>
      </c>
      <c r="L619">
        <v>0.33734939800000002</v>
      </c>
      <c r="M619">
        <v>4.6104928000000003E-2</v>
      </c>
      <c r="N619" t="e">
        <v>#N/A</v>
      </c>
      <c r="O619" t="e">
        <v>#N/A</v>
      </c>
    </row>
    <row r="620" spans="1:15" x14ac:dyDescent="0.25">
      <c r="A620" t="s">
        <v>21</v>
      </c>
      <c r="B620" t="s">
        <v>23</v>
      </c>
      <c r="C620" s="3" t="str">
        <f>IF($B620="GW1",VLOOKUP($A620,Matches!$A:$AC,2,FALSE),IF($B620="GW2",VLOOKUP($A620,Matches!$A:$AC,9,FALSE),IF($B620="GW3",VLOOKUP($A620,Matches!$A:$AC,16,FALSE))))</f>
        <v>Sunderland</v>
      </c>
      <c r="D620" s="6">
        <v>0.43149946062567418</v>
      </c>
      <c r="E620" s="6">
        <v>0.28059936023345866</v>
      </c>
      <c r="F620" s="6">
        <v>0.15090010039221552</v>
      </c>
      <c r="G620" s="3" t="s">
        <v>0</v>
      </c>
      <c r="H620" t="e">
        <v>#N/A</v>
      </c>
      <c r="I620" t="e">
        <v>#N/A</v>
      </c>
      <c r="J620" t="e">
        <v>#N/A</v>
      </c>
      <c r="K620">
        <v>0.311926606</v>
      </c>
      <c r="L620">
        <v>0.33734939800000002</v>
      </c>
      <c r="M620">
        <v>4.6104928000000003E-2</v>
      </c>
      <c r="N620" t="e">
        <v>#N/A</v>
      </c>
      <c r="O620" t="e">
        <v>#N/A</v>
      </c>
    </row>
    <row r="621" spans="1:15" x14ac:dyDescent="0.25">
      <c r="A621" t="s">
        <v>21</v>
      </c>
      <c r="B621" t="s">
        <v>23</v>
      </c>
      <c r="C621" s="3" t="str">
        <f>IF($B621="GW1",VLOOKUP($A621,Matches!$A:$AC,2,FALSE),IF($B621="GW2",VLOOKUP($A621,Matches!$A:$AC,9,FALSE),IF($B621="GW3",VLOOKUP($A621,Matches!$A:$AC,16,FALSE))))</f>
        <v>Sunderland</v>
      </c>
      <c r="D621" s="6">
        <v>0.43149946062567418</v>
      </c>
      <c r="E621" s="6">
        <v>0.28059936023345866</v>
      </c>
      <c r="F621" s="6">
        <v>0.15090010039221552</v>
      </c>
      <c r="G621" s="3" t="s">
        <v>0</v>
      </c>
      <c r="H621">
        <v>0.29304029300000001</v>
      </c>
      <c r="I621">
        <v>0.15873015900000001</v>
      </c>
      <c r="J621">
        <v>0.346320346</v>
      </c>
      <c r="K621">
        <v>0.311926606</v>
      </c>
      <c r="L621">
        <v>0.33734939800000002</v>
      </c>
      <c r="M621">
        <v>4.6104928000000003E-2</v>
      </c>
      <c r="N621" t="e">
        <v>#N/A</v>
      </c>
      <c r="O621" t="e">
        <v>#N/A</v>
      </c>
    </row>
    <row r="622" spans="1:15" x14ac:dyDescent="0.25">
      <c r="A622" t="s">
        <v>21</v>
      </c>
      <c r="B622" t="s">
        <v>23</v>
      </c>
      <c r="C622" s="3" t="str">
        <f>IF($B622="GW1",VLOOKUP($A622,Matches!$A:$AC,2,FALSE),IF($B622="GW2",VLOOKUP($A622,Matches!$A:$AC,9,FALSE),IF($B622="GW3",VLOOKUP($A622,Matches!$A:$AC,16,FALSE))))</f>
        <v>Sunderland</v>
      </c>
      <c r="D622" s="6">
        <v>0.43149946062567418</v>
      </c>
      <c r="E622" s="6">
        <v>0.28059936023345866</v>
      </c>
      <c r="F622" s="6">
        <v>0.15090010039221552</v>
      </c>
      <c r="G622" s="3" t="s">
        <v>0</v>
      </c>
      <c r="H622" t="e">
        <v>#N/A</v>
      </c>
      <c r="I622" t="e">
        <v>#N/A</v>
      </c>
      <c r="J622" t="e">
        <v>#N/A</v>
      </c>
      <c r="K622">
        <v>0.311926606</v>
      </c>
      <c r="L622">
        <v>0.33734939800000002</v>
      </c>
      <c r="M622">
        <v>4.6104928000000003E-2</v>
      </c>
      <c r="N622" t="e">
        <v>#N/A</v>
      </c>
      <c r="O622" t="e">
        <v>#N/A</v>
      </c>
    </row>
    <row r="623" spans="1:15" x14ac:dyDescent="0.25">
      <c r="A623" t="s">
        <v>21</v>
      </c>
      <c r="B623" t="s">
        <v>23</v>
      </c>
      <c r="C623" s="3" t="str">
        <f>IF($B623="GW1",VLOOKUP($A623,Matches!$A:$AC,2,FALSE),IF($B623="GW2",VLOOKUP($A623,Matches!$A:$AC,9,FALSE),IF($B623="GW3",VLOOKUP($A623,Matches!$A:$AC,16,FALSE))))</f>
        <v>Sunderland</v>
      </c>
      <c r="D623" s="6">
        <v>0.43149946062567418</v>
      </c>
      <c r="E623" s="6">
        <v>0.28059936023345866</v>
      </c>
      <c r="F623" s="6">
        <v>0.15090010039221552</v>
      </c>
      <c r="G623" s="3" t="s">
        <v>0</v>
      </c>
      <c r="H623">
        <v>0.126984127</v>
      </c>
      <c r="I623">
        <v>0.15873015900000001</v>
      </c>
      <c r="J623">
        <v>0.19047618999999999</v>
      </c>
      <c r="K623">
        <v>0.311926606</v>
      </c>
      <c r="L623">
        <v>0.33734939800000002</v>
      </c>
      <c r="M623">
        <v>4.6104928000000003E-2</v>
      </c>
      <c r="N623" t="e">
        <v>#N/A</v>
      </c>
      <c r="O623" t="e">
        <v>#N/A</v>
      </c>
    </row>
    <row r="624" spans="1:15" x14ac:dyDescent="0.25">
      <c r="A624" t="s">
        <v>21</v>
      </c>
      <c r="B624" t="s">
        <v>23</v>
      </c>
      <c r="C624" s="3" t="str">
        <f>IF($B624="GW1",VLOOKUP($A624,Matches!$A:$AC,2,FALSE),IF($B624="GW2",VLOOKUP($A624,Matches!$A:$AC,9,FALSE),IF($B624="GW3",VLOOKUP($A624,Matches!$A:$AC,16,FALSE))))</f>
        <v>Sunderland</v>
      </c>
      <c r="D624" s="6">
        <v>0.43149946062567418</v>
      </c>
      <c r="E624" s="6">
        <v>0.28059936023345866</v>
      </c>
      <c r="F624" s="6">
        <v>0.15090010039221552</v>
      </c>
      <c r="G624" s="3" t="s">
        <v>0</v>
      </c>
      <c r="H624" t="e">
        <v>#N/A</v>
      </c>
      <c r="I624" t="e">
        <v>#N/A</v>
      </c>
      <c r="J624" t="e">
        <v>#N/A</v>
      </c>
      <c r="K624">
        <v>0.311926606</v>
      </c>
      <c r="L624">
        <v>0.33734939800000002</v>
      </c>
      <c r="M624">
        <v>4.6104928000000003E-2</v>
      </c>
      <c r="N624" t="e">
        <v>#N/A</v>
      </c>
      <c r="O624" t="e">
        <v>#N/A</v>
      </c>
    </row>
    <row r="625" spans="1:15" x14ac:dyDescent="0.25">
      <c r="A625" t="s">
        <v>21</v>
      </c>
      <c r="B625" t="s">
        <v>23</v>
      </c>
      <c r="C625" s="3" t="str">
        <f>IF($B625="GW1",VLOOKUP($A625,Matches!$A:$AC,2,FALSE),IF($B625="GW2",VLOOKUP($A625,Matches!$A:$AC,9,FALSE),IF($B625="GW3",VLOOKUP($A625,Matches!$A:$AC,16,FALSE))))</f>
        <v>Sunderland</v>
      </c>
      <c r="D625" s="6">
        <v>0.43149946062567418</v>
      </c>
      <c r="E625" s="6">
        <v>0.28059936023345866</v>
      </c>
      <c r="F625" s="6">
        <v>0.15090010039221552</v>
      </c>
      <c r="G625" s="3" t="s">
        <v>0</v>
      </c>
      <c r="H625" t="e">
        <v>#N/A</v>
      </c>
      <c r="I625" t="e">
        <v>#N/A</v>
      </c>
      <c r="J625" t="e">
        <v>#N/A</v>
      </c>
      <c r="K625">
        <v>0.311926606</v>
      </c>
      <c r="L625">
        <v>0.33734939800000002</v>
      </c>
      <c r="M625">
        <v>4.6104928000000003E-2</v>
      </c>
      <c r="N625" t="e">
        <v>#N/A</v>
      </c>
      <c r="O625" t="e">
        <v>#N/A</v>
      </c>
    </row>
    <row r="626" spans="1:15" x14ac:dyDescent="0.25">
      <c r="A626" t="s">
        <v>21</v>
      </c>
      <c r="B626" t="s">
        <v>23</v>
      </c>
      <c r="C626" s="3" t="str">
        <f>IF($B626="GW1",VLOOKUP($A626,Matches!$A:$AC,2,FALSE),IF($B626="GW2",VLOOKUP($A626,Matches!$A:$AC,9,FALSE),IF($B626="GW3",VLOOKUP($A626,Matches!$A:$AC,16,FALSE))))</f>
        <v>Sunderland</v>
      </c>
      <c r="D626" s="6">
        <v>0.43149946062567418</v>
      </c>
      <c r="E626" s="6">
        <v>0.28059936023345866</v>
      </c>
      <c r="F626" s="6">
        <v>0.15090010039221552</v>
      </c>
      <c r="G626" s="3" t="s">
        <v>0</v>
      </c>
      <c r="H626">
        <v>0.27210884400000002</v>
      </c>
      <c r="I626">
        <v>0.15873015900000001</v>
      </c>
      <c r="J626">
        <v>0.20050125299999999</v>
      </c>
      <c r="K626">
        <v>0.311926606</v>
      </c>
      <c r="L626">
        <v>0.33734939800000002</v>
      </c>
      <c r="M626">
        <v>4.6104928000000003E-2</v>
      </c>
      <c r="N626" t="e">
        <v>#N/A</v>
      </c>
      <c r="O626" t="e">
        <v>#N/A</v>
      </c>
    </row>
    <row r="627" spans="1:15" x14ac:dyDescent="0.25">
      <c r="A627" t="s">
        <v>21</v>
      </c>
      <c r="B627" t="s">
        <v>23</v>
      </c>
      <c r="C627" s="3" t="str">
        <f>IF($B627="GW1",VLOOKUP($A627,Matches!$A:$AC,2,FALSE),IF($B627="GW2",VLOOKUP($A627,Matches!$A:$AC,9,FALSE),IF($B627="GW3",VLOOKUP($A627,Matches!$A:$AC,16,FALSE))))</f>
        <v>Sunderland</v>
      </c>
      <c r="D627" s="6">
        <v>0.43149946062567418</v>
      </c>
      <c r="E627" s="6">
        <v>0.28059936023345866</v>
      </c>
      <c r="F627" s="6">
        <v>0.15090010039221552</v>
      </c>
      <c r="G627" s="3" t="s">
        <v>0</v>
      </c>
      <c r="H627" t="e">
        <v>#N/A</v>
      </c>
      <c r="I627" t="e">
        <v>#N/A</v>
      </c>
      <c r="J627" t="e">
        <v>#N/A</v>
      </c>
      <c r="K627">
        <v>0.311926606</v>
      </c>
      <c r="L627">
        <v>0.33734939800000002</v>
      </c>
      <c r="M627">
        <v>4.6104928000000003E-2</v>
      </c>
      <c r="N627" t="e">
        <v>#N/A</v>
      </c>
      <c r="O627" t="e">
        <v>#N/A</v>
      </c>
    </row>
    <row r="628" spans="1:15" x14ac:dyDescent="0.25">
      <c r="A628" t="s">
        <v>21</v>
      </c>
      <c r="B628" t="s">
        <v>23</v>
      </c>
      <c r="C628" s="3" t="str">
        <f>IF($B628="GW1",VLOOKUP($A628,Matches!$A:$AC,2,FALSE),IF($B628="GW2",VLOOKUP($A628,Matches!$A:$AC,9,FALSE),IF($B628="GW3",VLOOKUP($A628,Matches!$A:$AC,16,FALSE))))</f>
        <v>Sunderland</v>
      </c>
      <c r="D628" s="6">
        <v>0.43149946062567418</v>
      </c>
      <c r="E628" s="6">
        <v>0.28059936023345866</v>
      </c>
      <c r="F628" s="6">
        <v>0.15090010039221552</v>
      </c>
      <c r="G628" s="3" t="s">
        <v>0</v>
      </c>
      <c r="H628" t="e">
        <v>#N/A</v>
      </c>
      <c r="I628" t="e">
        <v>#N/A</v>
      </c>
      <c r="J628" t="e">
        <v>#N/A</v>
      </c>
      <c r="K628">
        <v>0.311926606</v>
      </c>
      <c r="L628">
        <v>0.33734939800000002</v>
      </c>
      <c r="M628">
        <v>4.6104928000000003E-2</v>
      </c>
      <c r="N628" t="e">
        <v>#N/A</v>
      </c>
      <c r="O628" t="e">
        <v>#N/A</v>
      </c>
    </row>
    <row r="629" spans="1:15" x14ac:dyDescent="0.25">
      <c r="A629" t="s">
        <v>21</v>
      </c>
      <c r="B629" t="s">
        <v>23</v>
      </c>
      <c r="C629" s="3" t="str">
        <f>IF($B629="GW1",VLOOKUP($A629,Matches!$A:$AC,2,FALSE),IF($B629="GW2",VLOOKUP($A629,Matches!$A:$AC,9,FALSE),IF($B629="GW3",VLOOKUP($A629,Matches!$A:$AC,16,FALSE))))</f>
        <v>Sunderland</v>
      </c>
      <c r="D629" s="6">
        <v>0.43149946062567418</v>
      </c>
      <c r="E629" s="6">
        <v>0.28059936023345866</v>
      </c>
      <c r="F629" s="6">
        <v>0.15090010039221552</v>
      </c>
      <c r="G629" s="3" t="s">
        <v>0</v>
      </c>
      <c r="H629" t="e">
        <v>#N/A</v>
      </c>
      <c r="I629" t="e">
        <v>#N/A</v>
      </c>
      <c r="J629" t="e">
        <v>#N/A</v>
      </c>
      <c r="K629">
        <v>0.311926606</v>
      </c>
      <c r="L629">
        <v>0.33734939800000002</v>
      </c>
      <c r="M629">
        <v>4.6104928000000003E-2</v>
      </c>
      <c r="N629" t="e">
        <v>#N/A</v>
      </c>
      <c r="O629" t="e">
        <v>#N/A</v>
      </c>
    </row>
    <row r="630" spans="1:15" x14ac:dyDescent="0.25">
      <c r="A630" t="s">
        <v>21</v>
      </c>
      <c r="B630" t="s">
        <v>23</v>
      </c>
      <c r="C630" s="3" t="str">
        <f>IF($B630="GW1",VLOOKUP($A630,Matches!$A:$AC,2,FALSE),IF($B630="GW2",VLOOKUP($A630,Matches!$A:$AC,9,FALSE),IF($B630="GW3",VLOOKUP($A630,Matches!$A:$AC,16,FALSE))))</f>
        <v>Sunderland</v>
      </c>
      <c r="D630" s="6">
        <v>0.43149946062567418</v>
      </c>
      <c r="E630" s="6">
        <v>0.28059936023345866</v>
      </c>
      <c r="F630" s="6">
        <v>0.15090010039221552</v>
      </c>
      <c r="G630" s="3" t="s">
        <v>0</v>
      </c>
      <c r="H630" t="e">
        <v>#N/A</v>
      </c>
      <c r="I630" t="e">
        <v>#N/A</v>
      </c>
      <c r="J630" t="e">
        <v>#N/A</v>
      </c>
      <c r="K630">
        <v>0.311926606</v>
      </c>
      <c r="L630">
        <v>0.33734939800000002</v>
      </c>
      <c r="M630">
        <v>4.6104928000000003E-2</v>
      </c>
      <c r="N630" t="e">
        <v>#N/A</v>
      </c>
      <c r="O630" t="e">
        <v>#N/A</v>
      </c>
    </row>
    <row r="631" spans="1:15" x14ac:dyDescent="0.25">
      <c r="A631" t="s">
        <v>21</v>
      </c>
      <c r="B631" t="s">
        <v>23</v>
      </c>
      <c r="C631" s="3" t="str">
        <f>IF($B631="GW1",VLOOKUP($A631,Matches!$A:$AC,2,FALSE),IF($B631="GW2",VLOOKUP($A631,Matches!$A:$AC,9,FALSE),IF($B631="GW3",VLOOKUP($A631,Matches!$A:$AC,16,FALSE))))</f>
        <v>Sunderland</v>
      </c>
      <c r="D631" s="6">
        <v>0.43149946062567418</v>
      </c>
      <c r="E631" s="6">
        <v>0.28059936023345866</v>
      </c>
      <c r="F631" s="6">
        <v>0.15090010039221552</v>
      </c>
      <c r="G631" s="3" t="s">
        <v>0</v>
      </c>
      <c r="H631">
        <v>0.126984127</v>
      </c>
      <c r="I631">
        <v>8.6580087E-2</v>
      </c>
      <c r="J631">
        <v>0.253968254</v>
      </c>
      <c r="K631">
        <v>0.311926606</v>
      </c>
      <c r="L631">
        <v>0.33734939800000002</v>
      </c>
      <c r="M631">
        <v>4.6104928000000003E-2</v>
      </c>
      <c r="N631" t="e">
        <v>#N/A</v>
      </c>
      <c r="O631" t="e">
        <v>#N/A</v>
      </c>
    </row>
    <row r="632" spans="1:15" x14ac:dyDescent="0.25">
      <c r="A632" t="s">
        <v>21</v>
      </c>
      <c r="B632" t="s">
        <v>23</v>
      </c>
      <c r="C632" s="3" t="str">
        <f>IF($B632="GW1",VLOOKUP($A632,Matches!$A:$AC,2,FALSE),IF($B632="GW2",VLOOKUP($A632,Matches!$A:$AC,9,FALSE),IF($B632="GW3",VLOOKUP($A632,Matches!$A:$AC,16,FALSE))))</f>
        <v>Sunderland</v>
      </c>
      <c r="D632" s="6">
        <v>0.43149946062567418</v>
      </c>
      <c r="E632" s="6">
        <v>0.28059936023345866</v>
      </c>
      <c r="F632" s="6">
        <v>0.15090010039221552</v>
      </c>
      <c r="G632" s="3" t="s">
        <v>0</v>
      </c>
      <c r="H632">
        <v>0.112044818</v>
      </c>
      <c r="I632">
        <v>4.5351474000000003E-2</v>
      </c>
      <c r="J632">
        <v>0.21994941200000001</v>
      </c>
      <c r="K632">
        <v>0.311926606</v>
      </c>
      <c r="L632">
        <v>0.33734939800000002</v>
      </c>
      <c r="M632">
        <v>4.6104928000000003E-2</v>
      </c>
      <c r="N632" t="e">
        <v>#N/A</v>
      </c>
      <c r="O632" t="e">
        <v>#N/A</v>
      </c>
    </row>
    <row r="633" spans="1:15" x14ac:dyDescent="0.25">
      <c r="A633" t="s">
        <v>21</v>
      </c>
      <c r="B633" t="s">
        <v>23</v>
      </c>
      <c r="C633" s="3" t="str">
        <f>IF($B633="GW1",VLOOKUP($A633,Matches!$A:$AC,2,FALSE),IF($B633="GW2",VLOOKUP($A633,Matches!$A:$AC,9,FALSE),IF($B633="GW3",VLOOKUP($A633,Matches!$A:$AC,16,FALSE))))</f>
        <v>Sunderland</v>
      </c>
      <c r="D633" s="6">
        <v>0.43149946062567418</v>
      </c>
      <c r="E633" s="6">
        <v>0.28059936023345866</v>
      </c>
      <c r="F633" s="6">
        <v>0.15090010039221552</v>
      </c>
      <c r="G633" s="3" t="s">
        <v>0</v>
      </c>
      <c r="H633">
        <v>0.346320346</v>
      </c>
      <c r="I633">
        <v>0.21994941200000001</v>
      </c>
      <c r="J633">
        <v>0.11904761899999999</v>
      </c>
      <c r="K633">
        <v>0.311926606</v>
      </c>
      <c r="L633">
        <v>0.33734939800000002</v>
      </c>
      <c r="M633">
        <v>4.6104928000000003E-2</v>
      </c>
      <c r="N633" t="e">
        <v>#N/A</v>
      </c>
      <c r="O633" t="e">
        <v>#N/A</v>
      </c>
    </row>
    <row r="634" spans="1:15" x14ac:dyDescent="0.25">
      <c r="A634" t="s">
        <v>21</v>
      </c>
      <c r="B634" t="s">
        <v>23</v>
      </c>
      <c r="C634" s="3" t="str">
        <f>IF($B634="GW1",VLOOKUP($A634,Matches!$A:$AC,2,FALSE),IF($B634="GW2",VLOOKUP($A634,Matches!$A:$AC,9,FALSE),IF($B634="GW3",VLOOKUP($A634,Matches!$A:$AC,16,FALSE))))</f>
        <v>Sunderland</v>
      </c>
      <c r="D634" s="6">
        <v>0.43149946062567418</v>
      </c>
      <c r="E634" s="6">
        <v>0.28059936023345866</v>
      </c>
      <c r="F634" s="6">
        <v>0.15090010039221552</v>
      </c>
      <c r="G634" s="3" t="s">
        <v>0</v>
      </c>
      <c r="H634">
        <v>0.346320346</v>
      </c>
      <c r="I634">
        <v>0.15873015900000001</v>
      </c>
      <c r="J634">
        <v>0.13605442200000001</v>
      </c>
      <c r="K634">
        <v>0.311926606</v>
      </c>
      <c r="L634">
        <v>0.33734939800000002</v>
      </c>
      <c r="M634">
        <v>4.6104928000000003E-2</v>
      </c>
      <c r="N634" t="e">
        <v>#N/A</v>
      </c>
      <c r="O634" t="e">
        <v>#N/A</v>
      </c>
    </row>
    <row r="635" spans="1:15" x14ac:dyDescent="0.25">
      <c r="A635" t="s">
        <v>21</v>
      </c>
      <c r="B635" t="s">
        <v>23</v>
      </c>
      <c r="C635" s="3" t="str">
        <f>IF($B635="GW1",VLOOKUP($A635,Matches!$A:$AC,2,FALSE),IF($B635="GW2",VLOOKUP($A635,Matches!$A:$AC,9,FALSE),IF($B635="GW3",VLOOKUP($A635,Matches!$A:$AC,16,FALSE))))</f>
        <v>Sunderland</v>
      </c>
      <c r="D635" s="6">
        <v>0.43149946062567418</v>
      </c>
      <c r="E635" s="6">
        <v>0.28059936023345866</v>
      </c>
      <c r="F635" s="6">
        <v>0.15090010039221552</v>
      </c>
      <c r="G635" s="3" t="s">
        <v>0</v>
      </c>
      <c r="H635">
        <v>0.29304029300000001</v>
      </c>
      <c r="I635">
        <v>8.6580087E-2</v>
      </c>
      <c r="J635">
        <v>0.253968254</v>
      </c>
      <c r="K635">
        <v>0.311926606</v>
      </c>
      <c r="L635">
        <v>0.33734939800000002</v>
      </c>
      <c r="M635">
        <v>4.6104928000000003E-2</v>
      </c>
      <c r="N635" t="e">
        <v>#N/A</v>
      </c>
      <c r="O635" t="e">
        <v>#N/A</v>
      </c>
    </row>
    <row r="636" spans="1:15" x14ac:dyDescent="0.25">
      <c r="A636" t="s">
        <v>21</v>
      </c>
      <c r="B636" t="s">
        <v>23</v>
      </c>
      <c r="C636" s="3" t="str">
        <f>IF($B636="GW1",VLOOKUP($A636,Matches!$A:$AC,2,FALSE),IF($B636="GW2",VLOOKUP($A636,Matches!$A:$AC,9,FALSE),IF($B636="GW3",VLOOKUP($A636,Matches!$A:$AC,16,FALSE))))</f>
        <v>Sunderland</v>
      </c>
      <c r="D636" s="6">
        <v>0.43149946062567418</v>
      </c>
      <c r="E636" s="6">
        <v>0.28059936023345866</v>
      </c>
      <c r="F636" s="6">
        <v>0.15090010039221552</v>
      </c>
      <c r="G636" s="3" t="s">
        <v>0</v>
      </c>
      <c r="H636">
        <v>7.3260072999999995E-2</v>
      </c>
      <c r="I636">
        <v>0.11904761899999999</v>
      </c>
      <c r="J636">
        <v>0.20050125299999999</v>
      </c>
      <c r="K636">
        <v>0.311926606</v>
      </c>
      <c r="L636">
        <v>0.33734939800000002</v>
      </c>
      <c r="M636">
        <v>4.6104928000000003E-2</v>
      </c>
      <c r="N636" t="e">
        <v>#N/A</v>
      </c>
      <c r="O636" t="e">
        <v>#N/A</v>
      </c>
    </row>
    <row r="637" spans="1:15" x14ac:dyDescent="0.25">
      <c r="A637" t="s">
        <v>22</v>
      </c>
      <c r="B637" t="s">
        <v>23</v>
      </c>
      <c r="C637" s="3" t="str">
        <f>IF($B637="GW1",VLOOKUP($A637,Matches!$A:$AC,2,FALSE),IF($B637="GW2",VLOOKUP($A637,Matches!$A:$AC,9,FALSE),IF($B637="GW3",VLOOKUP($A637,Matches!$A:$AC,16,FALSE))))</f>
        <v>Man City</v>
      </c>
      <c r="D637" s="6">
        <v>0.15337658553045291</v>
      </c>
      <c r="E637" s="6">
        <v>0.63455803033187386</v>
      </c>
      <c r="F637" s="6">
        <v>-0.48118144480142094</v>
      </c>
      <c r="G637" s="3" t="s">
        <v>1</v>
      </c>
      <c r="H637" t="e">
        <v>#N/A</v>
      </c>
      <c r="I637" t="e">
        <v>#N/A</v>
      </c>
      <c r="J637">
        <v>0.173160173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</row>
    <row r="638" spans="1:15" x14ac:dyDescent="0.25">
      <c r="A638" t="s">
        <v>22</v>
      </c>
      <c r="B638" t="s">
        <v>23</v>
      </c>
      <c r="C638" s="3" t="str">
        <f>IF($B638="GW1",VLOOKUP($A638,Matches!$A:$AC,2,FALSE),IF($B638="GW2",VLOOKUP($A638,Matches!$A:$AC,9,FALSE),IF($B638="GW3",VLOOKUP($A638,Matches!$A:$AC,16,FALSE))))</f>
        <v>Man City</v>
      </c>
      <c r="D638" s="6">
        <v>0.15337658553045291</v>
      </c>
      <c r="E638" s="6">
        <v>0.63455803033187386</v>
      </c>
      <c r="F638" s="6">
        <v>-0.48118144480142094</v>
      </c>
      <c r="G638" s="3" t="s">
        <v>1</v>
      </c>
      <c r="H638" t="e">
        <v>#N/A</v>
      </c>
      <c r="I638" t="e">
        <v>#N/A</v>
      </c>
      <c r="J638">
        <v>0.21164021199999999</v>
      </c>
      <c r="K638" t="e">
        <v>#N/A</v>
      </c>
      <c r="L638" t="e">
        <v>#N/A</v>
      </c>
      <c r="M638" t="e">
        <v>#N/A</v>
      </c>
      <c r="N638">
        <v>0.79365079400000005</v>
      </c>
      <c r="O638">
        <v>0.27210884400000002</v>
      </c>
    </row>
    <row r="639" spans="1:15" x14ac:dyDescent="0.25">
      <c r="A639" t="s">
        <v>22</v>
      </c>
      <c r="B639" t="s">
        <v>23</v>
      </c>
      <c r="C639" s="3" t="str">
        <f>IF($B639="GW1",VLOOKUP($A639,Matches!$A:$AC,2,FALSE),IF($B639="GW2",VLOOKUP($A639,Matches!$A:$AC,9,FALSE),IF($B639="GW3",VLOOKUP($A639,Matches!$A:$AC,16,FALSE))))</f>
        <v>Man City</v>
      </c>
      <c r="D639" s="6">
        <v>0.15337658553045291</v>
      </c>
      <c r="E639" s="6">
        <v>0.63455803033187386</v>
      </c>
      <c r="F639" s="6">
        <v>-0.48118144480142094</v>
      </c>
      <c r="G639" s="3" t="s">
        <v>1</v>
      </c>
      <c r="H639" t="e">
        <v>#N/A</v>
      </c>
      <c r="I639" t="e">
        <v>#N/A</v>
      </c>
      <c r="J639">
        <v>0.21164021199999999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</row>
    <row r="640" spans="1:15" x14ac:dyDescent="0.25">
      <c r="A640" t="s">
        <v>22</v>
      </c>
      <c r="B640" t="s">
        <v>23</v>
      </c>
      <c r="C640" s="3" t="str">
        <f>IF($B640="GW1",VLOOKUP($A640,Matches!$A:$AC,2,FALSE),IF($B640="GW2",VLOOKUP($A640,Matches!$A:$AC,9,FALSE),IF($B640="GW3",VLOOKUP($A640,Matches!$A:$AC,16,FALSE))))</f>
        <v>Man City</v>
      </c>
      <c r="D640" s="6">
        <v>0.15337658553045291</v>
      </c>
      <c r="E640" s="6">
        <v>0.63455803033187386</v>
      </c>
      <c r="F640" s="6">
        <v>-0.48118144480142094</v>
      </c>
      <c r="G640" s="3" t="s">
        <v>1</v>
      </c>
      <c r="H640" t="e">
        <v>#N/A</v>
      </c>
      <c r="I640" t="e">
        <v>#N/A</v>
      </c>
      <c r="J640">
        <v>0.21164021199999999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</row>
    <row r="641" spans="1:15" x14ac:dyDescent="0.25">
      <c r="A641" t="s">
        <v>22</v>
      </c>
      <c r="B641" t="s">
        <v>23</v>
      </c>
      <c r="C641" s="3" t="str">
        <f>IF($B641="GW1",VLOOKUP($A641,Matches!$A:$AC,2,FALSE),IF($B641="GW2",VLOOKUP($A641,Matches!$A:$AC,9,FALSE),IF($B641="GW3",VLOOKUP($A641,Matches!$A:$AC,16,FALSE))))</f>
        <v>Man City</v>
      </c>
      <c r="D641" s="6">
        <v>0.15337658553045291</v>
      </c>
      <c r="E641" s="6">
        <v>0.63455803033187386</v>
      </c>
      <c r="F641" s="6">
        <v>-0.48118144480142094</v>
      </c>
      <c r="G641" s="3" t="s">
        <v>1</v>
      </c>
      <c r="H641">
        <v>5.6022409000000002E-2</v>
      </c>
      <c r="I641">
        <v>4.1407867000000001E-2</v>
      </c>
      <c r="J641">
        <v>0.27210884400000002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</row>
    <row r="642" spans="1:15" x14ac:dyDescent="0.25">
      <c r="A642" t="s">
        <v>22</v>
      </c>
      <c r="B642" t="s">
        <v>23</v>
      </c>
      <c r="C642" s="3" t="str">
        <f>IF($B642="GW1",VLOOKUP($A642,Matches!$A:$AC,2,FALSE),IF($B642="GW2",VLOOKUP($A642,Matches!$A:$AC,9,FALSE),IF($B642="GW3",VLOOKUP($A642,Matches!$A:$AC,16,FALSE))))</f>
        <v>Man City</v>
      </c>
      <c r="D642" s="6">
        <v>0.15337658553045291</v>
      </c>
      <c r="E642" s="6">
        <v>0.63455803033187386</v>
      </c>
      <c r="F642" s="6">
        <v>-0.48118144480142094</v>
      </c>
      <c r="G642" s="3" t="s">
        <v>1</v>
      </c>
      <c r="H642">
        <v>5.6022409000000002E-2</v>
      </c>
      <c r="I642">
        <v>6.3492063000000001E-2</v>
      </c>
      <c r="J642">
        <v>0.173160173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</row>
    <row r="643" spans="1:15" x14ac:dyDescent="0.25">
      <c r="A643" t="s">
        <v>22</v>
      </c>
      <c r="B643" t="s">
        <v>23</v>
      </c>
      <c r="C643" s="3" t="str">
        <f>IF($B643="GW1",VLOOKUP($A643,Matches!$A:$AC,2,FALSE),IF($B643="GW2",VLOOKUP($A643,Matches!$A:$AC,9,FALSE),IF($B643="GW3",VLOOKUP($A643,Matches!$A:$AC,16,FALSE))))</f>
        <v>Man City</v>
      </c>
      <c r="D643" s="6">
        <v>0.15337658553045291</v>
      </c>
      <c r="E643" s="6">
        <v>0.63455803033187386</v>
      </c>
      <c r="F643" s="6">
        <v>-0.48118144480142094</v>
      </c>
      <c r="G643" s="3" t="s">
        <v>1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</row>
    <row r="644" spans="1:15" x14ac:dyDescent="0.25">
      <c r="A644" t="s">
        <v>22</v>
      </c>
      <c r="B644" t="s">
        <v>23</v>
      </c>
      <c r="C644" s="3" t="str">
        <f>IF($B644="GW1",VLOOKUP($A644,Matches!$A:$AC,2,FALSE),IF($B644="GW2",VLOOKUP($A644,Matches!$A:$AC,9,FALSE),IF($B644="GW3",VLOOKUP($A644,Matches!$A:$AC,16,FALSE))))</f>
        <v>Man City</v>
      </c>
      <c r="D644" s="6">
        <v>0.15337658553045291</v>
      </c>
      <c r="E644" s="6">
        <v>0.63455803033187386</v>
      </c>
      <c r="F644" s="6">
        <v>-0.48118144480142094</v>
      </c>
      <c r="G644" s="3" t="s">
        <v>1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</row>
    <row r="645" spans="1:15" x14ac:dyDescent="0.25">
      <c r="A645" t="s">
        <v>22</v>
      </c>
      <c r="B645" t="s">
        <v>23</v>
      </c>
      <c r="C645" s="3" t="str">
        <f>IF($B645="GW1",VLOOKUP($A645,Matches!$A:$AC,2,FALSE),IF($B645="GW2",VLOOKUP($A645,Matches!$A:$AC,9,FALSE),IF($B645="GW3",VLOOKUP($A645,Matches!$A:$AC,16,FALSE))))</f>
        <v>Man City</v>
      </c>
      <c r="D645" s="6">
        <v>0.15337658553045291</v>
      </c>
      <c r="E645" s="6">
        <v>0.63455803033187386</v>
      </c>
      <c r="F645" s="6">
        <v>-0.48118144480142094</v>
      </c>
      <c r="G645" s="3" t="s">
        <v>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</row>
    <row r="646" spans="1:15" x14ac:dyDescent="0.25">
      <c r="A646" t="s">
        <v>22</v>
      </c>
      <c r="B646" t="s">
        <v>23</v>
      </c>
      <c r="C646" s="3" t="str">
        <f>IF($B646="GW1",VLOOKUP($A646,Matches!$A:$AC,2,FALSE),IF($B646="GW2",VLOOKUP($A646,Matches!$A:$AC,9,FALSE),IF($B646="GW3",VLOOKUP($A646,Matches!$A:$AC,16,FALSE))))</f>
        <v>Man City</v>
      </c>
      <c r="D646" s="6">
        <v>0.15337658553045291</v>
      </c>
      <c r="E646" s="6">
        <v>0.63455803033187386</v>
      </c>
      <c r="F646" s="6">
        <v>-0.48118144480142094</v>
      </c>
      <c r="G646" s="3" t="s">
        <v>1</v>
      </c>
      <c r="H646">
        <v>3.6630036999999997E-2</v>
      </c>
      <c r="I646">
        <v>3.2840722000000003E-2</v>
      </c>
      <c r="J646">
        <v>0.21164021199999999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</row>
    <row r="647" spans="1:15" x14ac:dyDescent="0.25">
      <c r="A647" t="s">
        <v>22</v>
      </c>
      <c r="B647" t="s">
        <v>23</v>
      </c>
      <c r="C647" s="3" t="str">
        <f>IF($B647="GW1",VLOOKUP($A647,Matches!$A:$AC,2,FALSE),IF($B647="GW2",VLOOKUP($A647,Matches!$A:$AC,9,FALSE),IF($B647="GW3",VLOOKUP($A647,Matches!$A:$AC,16,FALSE))))</f>
        <v>Man City</v>
      </c>
      <c r="D647" s="6">
        <v>0.15337658553045291</v>
      </c>
      <c r="E647" s="6">
        <v>0.63455803033187386</v>
      </c>
      <c r="F647" s="6">
        <v>-0.48118144480142094</v>
      </c>
      <c r="G647" s="3" t="s">
        <v>1</v>
      </c>
      <c r="H647">
        <v>5.6022409000000002E-2</v>
      </c>
      <c r="I647">
        <v>4.5351474000000003E-2</v>
      </c>
      <c r="J647">
        <v>0.173160173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</row>
    <row r="648" spans="1:15" x14ac:dyDescent="0.25">
      <c r="A648" t="s">
        <v>22</v>
      </c>
      <c r="B648" t="s">
        <v>23</v>
      </c>
      <c r="C648" s="3" t="str">
        <f>IF($B648="GW1",VLOOKUP($A648,Matches!$A:$AC,2,FALSE),IF($B648="GW2",VLOOKUP($A648,Matches!$A:$AC,9,FALSE),IF($B648="GW3",VLOOKUP($A648,Matches!$A:$AC,16,FALSE))))</f>
        <v>Man City</v>
      </c>
      <c r="D648" s="6">
        <v>0.15337658553045291</v>
      </c>
      <c r="E648" s="6">
        <v>0.63455803033187386</v>
      </c>
      <c r="F648" s="6">
        <v>-0.48118144480142094</v>
      </c>
      <c r="G648" s="3" t="s">
        <v>1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</row>
    <row r="649" spans="1:15" x14ac:dyDescent="0.25">
      <c r="A649" t="s">
        <v>22</v>
      </c>
      <c r="B649" t="s">
        <v>23</v>
      </c>
      <c r="C649" s="3" t="str">
        <f>IF($B649="GW1",VLOOKUP($A649,Matches!$A:$AC,2,FALSE),IF($B649="GW2",VLOOKUP($A649,Matches!$A:$AC,9,FALSE),IF($B649="GW3",VLOOKUP($A649,Matches!$A:$AC,16,FALSE))))</f>
        <v>Man City</v>
      </c>
      <c r="D649" s="6">
        <v>0.15337658553045291</v>
      </c>
      <c r="E649" s="6">
        <v>0.63455803033187386</v>
      </c>
      <c r="F649" s="6">
        <v>-0.48118144480142094</v>
      </c>
      <c r="G649" s="3" t="s">
        <v>1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</row>
    <row r="650" spans="1:15" x14ac:dyDescent="0.25">
      <c r="A650" t="s">
        <v>22</v>
      </c>
      <c r="B650" t="s">
        <v>23</v>
      </c>
      <c r="C650" s="3" t="str">
        <f>IF($B650="GW1",VLOOKUP($A650,Matches!$A:$AC,2,FALSE),IF($B650="GW2",VLOOKUP($A650,Matches!$A:$AC,9,FALSE),IF($B650="GW3",VLOOKUP($A650,Matches!$A:$AC,16,FALSE))))</f>
        <v>Man City</v>
      </c>
      <c r="D650" s="6">
        <v>0.15337658553045291</v>
      </c>
      <c r="E650" s="6">
        <v>0.63455803033187386</v>
      </c>
      <c r="F650" s="6">
        <v>-0.48118144480142094</v>
      </c>
      <c r="G650" s="3" t="s">
        <v>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</row>
    <row r="651" spans="1:15" x14ac:dyDescent="0.25">
      <c r="A651" t="s">
        <v>22</v>
      </c>
      <c r="B651" t="s">
        <v>23</v>
      </c>
      <c r="C651" s="3" t="str">
        <f>IF($B651="GW1",VLOOKUP($A651,Matches!$A:$AC,2,FALSE),IF($B651="GW2",VLOOKUP($A651,Matches!$A:$AC,9,FALSE),IF($B651="GW3",VLOOKUP($A651,Matches!$A:$AC,16,FALSE))))</f>
        <v>Man City</v>
      </c>
      <c r="D651" s="6">
        <v>0.15337658553045291</v>
      </c>
      <c r="E651" s="6">
        <v>0.63455803033187386</v>
      </c>
      <c r="F651" s="6">
        <v>-0.48118144480142094</v>
      </c>
      <c r="G651" s="3" t="s">
        <v>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</row>
    <row r="652" spans="1:15" x14ac:dyDescent="0.25">
      <c r="A652" t="s">
        <v>22</v>
      </c>
      <c r="B652" t="s">
        <v>23</v>
      </c>
      <c r="C652" s="3" t="str">
        <f>IF($B652="GW1",VLOOKUP($A652,Matches!$A:$AC,2,FALSE),IF($B652="GW2",VLOOKUP($A652,Matches!$A:$AC,9,FALSE),IF($B652="GW3",VLOOKUP($A652,Matches!$A:$AC,16,FALSE))))</f>
        <v>Man City</v>
      </c>
      <c r="D652" s="6">
        <v>0.15337658553045291</v>
      </c>
      <c r="E652" s="6">
        <v>0.63455803033187386</v>
      </c>
      <c r="F652" s="6">
        <v>-0.48118144480142094</v>
      </c>
      <c r="G652" s="3" t="s">
        <v>1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</row>
    <row r="653" spans="1:15" x14ac:dyDescent="0.25">
      <c r="A653" t="s">
        <v>22</v>
      </c>
      <c r="B653" t="s">
        <v>23</v>
      </c>
      <c r="C653" s="3" t="str">
        <f>IF($B653="GW1",VLOOKUP($A653,Matches!$A:$AC,2,FALSE),IF($B653="GW2",VLOOKUP($A653,Matches!$A:$AC,9,FALSE),IF($B653="GW3",VLOOKUP($A653,Matches!$A:$AC,16,FALSE))))</f>
        <v>Man City</v>
      </c>
      <c r="D653" s="6">
        <v>0.15337658553045291</v>
      </c>
      <c r="E653" s="6">
        <v>0.63455803033187386</v>
      </c>
      <c r="F653" s="6">
        <v>-0.48118144480142094</v>
      </c>
      <c r="G653" s="3" t="s">
        <v>1</v>
      </c>
      <c r="H653">
        <v>6.3492063000000001E-2</v>
      </c>
      <c r="I653">
        <v>5.0125312999999998E-2</v>
      </c>
      <c r="J653">
        <v>0.33184005300000002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</row>
    <row r="654" spans="1:15" x14ac:dyDescent="0.25">
      <c r="A654" t="s">
        <v>22</v>
      </c>
      <c r="B654" t="s">
        <v>23</v>
      </c>
      <c r="C654" s="3" t="str">
        <f>IF($B654="GW1",VLOOKUP($A654,Matches!$A:$AC,2,FALSE),IF($B654="GW2",VLOOKUP($A654,Matches!$A:$AC,9,FALSE),IF($B654="GW3",VLOOKUP($A654,Matches!$A:$AC,16,FALSE))))</f>
        <v>Man City</v>
      </c>
      <c r="D654" s="6">
        <v>0.15337658553045291</v>
      </c>
      <c r="E654" s="6">
        <v>0.63455803033187386</v>
      </c>
      <c r="F654" s="6">
        <v>-0.48118144480142094</v>
      </c>
      <c r="G654" s="3" t="s">
        <v>1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</row>
    <row r="655" spans="1:15" x14ac:dyDescent="0.25">
      <c r="A655" t="s">
        <v>22</v>
      </c>
      <c r="B655" t="s">
        <v>23</v>
      </c>
      <c r="C655" s="3" t="str">
        <f>IF($B655="GW1",VLOOKUP($A655,Matches!$A:$AC,2,FALSE),IF($B655="GW2",VLOOKUP($A655,Matches!$A:$AC,9,FALSE),IF($B655="GW3",VLOOKUP($A655,Matches!$A:$AC,16,FALSE))))</f>
        <v>Man City</v>
      </c>
      <c r="D655" s="6">
        <v>0.15337658553045291</v>
      </c>
      <c r="E655" s="6">
        <v>0.63455803033187386</v>
      </c>
      <c r="F655" s="6">
        <v>-0.48118144480142094</v>
      </c>
      <c r="G655" s="3" t="s">
        <v>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</row>
    <row r="656" spans="1:15" x14ac:dyDescent="0.25">
      <c r="A656" t="s">
        <v>22</v>
      </c>
      <c r="B656" t="s">
        <v>23</v>
      </c>
      <c r="C656" s="3" t="str">
        <f>IF($B656="GW1",VLOOKUP($A656,Matches!$A:$AC,2,FALSE),IF($B656="GW2",VLOOKUP($A656,Matches!$A:$AC,9,FALSE),IF($B656="GW3",VLOOKUP($A656,Matches!$A:$AC,16,FALSE))))</f>
        <v>Man City</v>
      </c>
      <c r="D656" s="6">
        <v>0.15337658553045291</v>
      </c>
      <c r="E656" s="6">
        <v>0.63455803033187386</v>
      </c>
      <c r="F656" s="6">
        <v>-0.48118144480142094</v>
      </c>
      <c r="G656" s="3" t="s">
        <v>1</v>
      </c>
      <c r="H656">
        <v>0.11904761899999999</v>
      </c>
      <c r="I656">
        <v>4.1407867000000001E-2</v>
      </c>
      <c r="J656">
        <v>0.307219662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</row>
    <row r="657" spans="1:15" x14ac:dyDescent="0.25">
      <c r="A657" t="s">
        <v>22</v>
      </c>
      <c r="B657" t="s">
        <v>23</v>
      </c>
      <c r="C657" s="3" t="str">
        <f>IF($B657="GW1",VLOOKUP($A657,Matches!$A:$AC,2,FALSE),IF($B657="GW2",VLOOKUP($A657,Matches!$A:$AC,9,FALSE),IF($B657="GW3",VLOOKUP($A657,Matches!$A:$AC,16,FALSE))))</f>
        <v>Man City</v>
      </c>
      <c r="D657" s="6">
        <v>0.15337658553045291</v>
      </c>
      <c r="E657" s="6">
        <v>0.63455803033187386</v>
      </c>
      <c r="F657" s="6">
        <v>-0.48118144480142094</v>
      </c>
      <c r="G657" s="3" t="s">
        <v>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</row>
    <row r="658" spans="1:15" x14ac:dyDescent="0.25">
      <c r="A658" t="s">
        <v>22</v>
      </c>
      <c r="B658" t="s">
        <v>23</v>
      </c>
      <c r="C658" s="3" t="str">
        <f>IF($B658="GW1",VLOOKUP($A658,Matches!$A:$AC,2,FALSE),IF($B658="GW2",VLOOKUP($A658,Matches!$A:$AC,9,FALSE),IF($B658="GW3",VLOOKUP($A658,Matches!$A:$AC,16,FALSE))))</f>
        <v>Man City</v>
      </c>
      <c r="D658" s="6">
        <v>0.15337658553045291</v>
      </c>
      <c r="E658" s="6">
        <v>0.63455803033187386</v>
      </c>
      <c r="F658" s="6">
        <v>-0.48118144480142094</v>
      </c>
      <c r="G658" s="3" t="s">
        <v>1</v>
      </c>
      <c r="H658">
        <v>0.173160173</v>
      </c>
      <c r="I658">
        <v>5.6022409000000002E-2</v>
      </c>
      <c r="J658">
        <v>0.307219662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</row>
    <row r="659" spans="1:15" x14ac:dyDescent="0.25">
      <c r="A659" t="s">
        <v>22</v>
      </c>
      <c r="B659" t="s">
        <v>23</v>
      </c>
      <c r="C659" s="3" t="str">
        <f>IF($B659="GW1",VLOOKUP($A659,Matches!$A:$AC,2,FALSE),IF($B659="GW2",VLOOKUP($A659,Matches!$A:$AC,9,FALSE),IF($B659="GW3",VLOOKUP($A659,Matches!$A:$AC,16,FALSE))))</f>
        <v>Man City</v>
      </c>
      <c r="D659" s="6">
        <v>0.15337658553045291</v>
      </c>
      <c r="E659" s="6">
        <v>0.63455803033187386</v>
      </c>
      <c r="F659" s="6">
        <v>-0.48118144480142094</v>
      </c>
      <c r="G659" s="3" t="s">
        <v>1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</row>
    <row r="660" spans="1:15" x14ac:dyDescent="0.25">
      <c r="A660" t="s">
        <v>22</v>
      </c>
      <c r="B660" t="s">
        <v>23</v>
      </c>
      <c r="C660" s="3" t="str">
        <f>IF($B660="GW1",VLOOKUP($A660,Matches!$A:$AC,2,FALSE),IF($B660="GW2",VLOOKUP($A660,Matches!$A:$AC,9,FALSE),IF($B660="GW3",VLOOKUP($A660,Matches!$A:$AC,16,FALSE))))</f>
        <v>Man City</v>
      </c>
      <c r="D660" s="6">
        <v>0.15337658553045291</v>
      </c>
      <c r="E660" s="6">
        <v>0.63455803033187386</v>
      </c>
      <c r="F660" s="6">
        <v>-0.48118144480142094</v>
      </c>
      <c r="G660" s="3" t="s">
        <v>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</row>
    <row r="661" spans="1:15" x14ac:dyDescent="0.25">
      <c r="A661" t="s">
        <v>22</v>
      </c>
      <c r="B661" t="s">
        <v>23</v>
      </c>
      <c r="C661" s="3" t="str">
        <f>IF($B661="GW1",VLOOKUP($A661,Matches!$A:$AC,2,FALSE),IF($B661="GW2",VLOOKUP($A661,Matches!$A:$AC,9,FALSE),IF($B661="GW3",VLOOKUP($A661,Matches!$A:$AC,16,FALSE))))</f>
        <v>Man City</v>
      </c>
      <c r="D661" s="6">
        <v>0.15337658553045291</v>
      </c>
      <c r="E661" s="6">
        <v>0.63455803033187386</v>
      </c>
      <c r="F661" s="6">
        <v>-0.48118144480142094</v>
      </c>
      <c r="G661" s="3" t="s">
        <v>1</v>
      </c>
      <c r="H661">
        <v>0.126984127</v>
      </c>
      <c r="I661">
        <v>8.6580087E-2</v>
      </c>
      <c r="J661">
        <v>0.173160173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</row>
    <row r="662" spans="1:15" x14ac:dyDescent="0.25">
      <c r="A662" t="s">
        <v>22</v>
      </c>
      <c r="B662" t="s">
        <v>23</v>
      </c>
      <c r="C662" s="3" t="str">
        <f>IF($B662="GW1",VLOOKUP($A662,Matches!$A:$AC,2,FALSE),IF($B662="GW2",VLOOKUP($A662,Matches!$A:$AC,9,FALSE),IF($B662="GW3",VLOOKUP($A662,Matches!$A:$AC,16,FALSE))))</f>
        <v>Man City</v>
      </c>
      <c r="D662" s="6">
        <v>0.15337658553045291</v>
      </c>
      <c r="E662" s="6">
        <v>0.63455803033187386</v>
      </c>
      <c r="F662" s="6">
        <v>-0.48118144480142094</v>
      </c>
      <c r="G662" s="3" t="s">
        <v>1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</row>
    <row r="663" spans="1:15" x14ac:dyDescent="0.25">
      <c r="A663" t="s">
        <v>22</v>
      </c>
      <c r="B663" t="s">
        <v>23</v>
      </c>
      <c r="C663" s="3" t="str">
        <f>IF($B663="GW1",VLOOKUP($A663,Matches!$A:$AC,2,FALSE),IF($B663="GW2",VLOOKUP($A663,Matches!$A:$AC,9,FALSE),IF($B663="GW3",VLOOKUP($A663,Matches!$A:$AC,16,FALSE))))</f>
        <v>Man City</v>
      </c>
      <c r="D663" s="6">
        <v>0.15337658553045291</v>
      </c>
      <c r="E663" s="6">
        <v>0.63455803033187386</v>
      </c>
      <c r="F663" s="6">
        <v>-0.48118144480142094</v>
      </c>
      <c r="G663" s="3" t="s">
        <v>1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</row>
    <row r="664" spans="1:15" x14ac:dyDescent="0.25">
      <c r="A664" t="s">
        <v>22</v>
      </c>
      <c r="B664" t="s">
        <v>23</v>
      </c>
      <c r="C664" s="3" t="str">
        <f>IF($B664="GW1",VLOOKUP($A664,Matches!$A:$AC,2,FALSE),IF($B664="GW2",VLOOKUP($A664,Matches!$A:$AC,9,FALSE),IF($B664="GW3",VLOOKUP($A664,Matches!$A:$AC,16,FALSE))))</f>
        <v>Man City</v>
      </c>
      <c r="D664" s="6">
        <v>0.15337658553045291</v>
      </c>
      <c r="E664" s="6">
        <v>0.63455803033187386</v>
      </c>
      <c r="F664" s="6">
        <v>-0.48118144480142094</v>
      </c>
      <c r="G664" s="3" t="s">
        <v>1</v>
      </c>
      <c r="H664">
        <v>0.20050125299999999</v>
      </c>
      <c r="I664">
        <v>8.6580087E-2</v>
      </c>
      <c r="J664">
        <v>0.112044818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</row>
    <row r="665" spans="1:15" x14ac:dyDescent="0.25">
      <c r="A665" t="s">
        <v>22</v>
      </c>
      <c r="B665" t="s">
        <v>23</v>
      </c>
      <c r="C665" s="3" t="str">
        <f>IF($B665="GW1",VLOOKUP($A665,Matches!$A:$AC,2,FALSE),IF($B665="GW2",VLOOKUP($A665,Matches!$A:$AC,9,FALSE),IF($B665="GW3",VLOOKUP($A665,Matches!$A:$AC,16,FALSE))))</f>
        <v>Man City</v>
      </c>
      <c r="D665" s="6">
        <v>0.15337658553045291</v>
      </c>
      <c r="E665" s="6">
        <v>0.63455803033187386</v>
      </c>
      <c r="F665" s="6">
        <v>-0.48118144480142094</v>
      </c>
      <c r="G665" s="3" t="s">
        <v>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</row>
    <row r="666" spans="1:15" x14ac:dyDescent="0.25">
      <c r="A666" t="s">
        <v>22</v>
      </c>
      <c r="B666" t="s">
        <v>23</v>
      </c>
      <c r="C666" s="3" t="str">
        <f>IF($B666="GW1",VLOOKUP($A666,Matches!$A:$AC,2,FALSE),IF($B666="GW2",VLOOKUP($A666,Matches!$A:$AC,9,FALSE),IF($B666="GW3",VLOOKUP($A666,Matches!$A:$AC,16,FALSE))))</f>
        <v>Man City</v>
      </c>
      <c r="D666" s="6">
        <v>0.15337658553045291</v>
      </c>
      <c r="E666" s="6">
        <v>0.63455803033187386</v>
      </c>
      <c r="F666" s="6">
        <v>-0.48118144480142094</v>
      </c>
      <c r="G666" s="3" t="s">
        <v>1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</row>
    <row r="667" spans="1:15" x14ac:dyDescent="0.25">
      <c r="A667" t="s">
        <v>22</v>
      </c>
      <c r="B667" t="s">
        <v>23</v>
      </c>
      <c r="C667" s="3" t="str">
        <f>IF($B667="GW1",VLOOKUP($A667,Matches!$A:$AC,2,FALSE),IF($B667="GW2",VLOOKUP($A667,Matches!$A:$AC,9,FALSE),IF($B667="GW3",VLOOKUP($A667,Matches!$A:$AC,16,FALSE))))</f>
        <v>Man City</v>
      </c>
      <c r="D667" s="6">
        <v>0.15337658553045291</v>
      </c>
      <c r="E667" s="6">
        <v>0.63455803033187386</v>
      </c>
      <c r="F667" s="6">
        <v>-0.48118144480142094</v>
      </c>
      <c r="G667" s="3" t="s">
        <v>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</row>
    <row r="668" spans="1:15" x14ac:dyDescent="0.25">
      <c r="A668" t="s">
        <v>22</v>
      </c>
      <c r="B668" t="s">
        <v>23</v>
      </c>
      <c r="C668" s="3" t="str">
        <f>IF($B668="GW1",VLOOKUP($A668,Matches!$A:$AC,2,FALSE),IF($B668="GW2",VLOOKUP($A668,Matches!$A:$AC,9,FALSE),IF($B668="GW3",VLOOKUP($A668,Matches!$A:$AC,16,FALSE))))</f>
        <v>Man City</v>
      </c>
      <c r="D668" s="6">
        <v>0.15337658553045291</v>
      </c>
      <c r="E668" s="6">
        <v>0.63455803033187386</v>
      </c>
      <c r="F668" s="6">
        <v>-0.48118144480142094</v>
      </c>
      <c r="G668" s="3" t="s">
        <v>1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</row>
    <row r="669" spans="1:15" x14ac:dyDescent="0.25">
      <c r="A669" t="s">
        <v>22</v>
      </c>
      <c r="B669" t="s">
        <v>23</v>
      </c>
      <c r="C669" s="3" t="str">
        <f>IF($B669="GW1",VLOOKUP($A669,Matches!$A:$AC,2,FALSE),IF($B669="GW2",VLOOKUP($A669,Matches!$A:$AC,9,FALSE),IF($B669="GW3",VLOOKUP($A669,Matches!$A:$AC,16,FALSE))))</f>
        <v>Man City</v>
      </c>
      <c r="D669" s="6">
        <v>0.15337658553045291</v>
      </c>
      <c r="E669" s="6">
        <v>0.63455803033187386</v>
      </c>
      <c r="F669" s="6">
        <v>-0.48118144480142094</v>
      </c>
      <c r="G669" s="3" t="s">
        <v>1</v>
      </c>
      <c r="H669">
        <v>0.173160173</v>
      </c>
      <c r="I669">
        <v>0.11904761899999999</v>
      </c>
      <c r="J669">
        <v>0.27210884400000002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</row>
    <row r="670" spans="1:15" x14ac:dyDescent="0.25">
      <c r="A670" t="s">
        <v>22</v>
      </c>
      <c r="B670" t="s">
        <v>23</v>
      </c>
      <c r="C670" s="3" t="str">
        <f>IF($B670="GW1",VLOOKUP($A670,Matches!$A:$AC,2,FALSE),IF($B670="GW2",VLOOKUP($A670,Matches!$A:$AC,9,FALSE),IF($B670="GW3",VLOOKUP($A670,Matches!$A:$AC,16,FALSE))))</f>
        <v>Man City</v>
      </c>
      <c r="D670" s="6">
        <v>0.15337658553045291</v>
      </c>
      <c r="E670" s="6">
        <v>0.63455803033187386</v>
      </c>
      <c r="F670" s="6">
        <v>-0.48118144480142094</v>
      </c>
      <c r="G670" s="3" t="s">
        <v>1</v>
      </c>
      <c r="H670">
        <v>5.6022409000000002E-2</v>
      </c>
      <c r="I670">
        <v>7.3260072999999995E-2</v>
      </c>
      <c r="J670">
        <v>0.23809523799999999</v>
      </c>
      <c r="K670">
        <v>0.13580246900000001</v>
      </c>
      <c r="L670">
        <v>0.625</v>
      </c>
      <c r="M670">
        <v>0.188311688</v>
      </c>
      <c r="N670" t="e">
        <v>#N/A</v>
      </c>
      <c r="O670" t="e">
        <v>#N/A</v>
      </c>
    </row>
    <row r="671" spans="1:15" x14ac:dyDescent="0.25">
      <c r="A671" t="s">
        <v>22</v>
      </c>
      <c r="B671" t="s">
        <v>23</v>
      </c>
      <c r="C671" s="3" t="str">
        <f>IF($B671="GW1",VLOOKUP($A671,Matches!$A:$AC,2,FALSE),IF($B671="GW2",VLOOKUP($A671,Matches!$A:$AC,9,FALSE),IF($B671="GW3",VLOOKUP($A671,Matches!$A:$AC,16,FALSE))))</f>
        <v>Man City</v>
      </c>
      <c r="D671" s="6">
        <v>0.15337658553045291</v>
      </c>
      <c r="E671" s="6">
        <v>0.63455803033187386</v>
      </c>
      <c r="F671" s="6">
        <v>-0.48118144480142094</v>
      </c>
      <c r="G671" s="3" t="s">
        <v>1</v>
      </c>
      <c r="H671">
        <v>0.126984127</v>
      </c>
      <c r="I671">
        <v>0.105820106</v>
      </c>
      <c r="J671">
        <v>0.21164021199999999</v>
      </c>
      <c r="K671">
        <v>0.25</v>
      </c>
      <c r="L671">
        <v>0.41099476400000001</v>
      </c>
      <c r="M671">
        <v>6.4254522999999994E-2</v>
      </c>
      <c r="N671" t="e">
        <v>#N/A</v>
      </c>
      <c r="O671" t="e">
        <v>#N/A</v>
      </c>
    </row>
    <row r="672" spans="1:15" x14ac:dyDescent="0.25">
      <c r="A672" t="s">
        <v>22</v>
      </c>
      <c r="B672" t="s">
        <v>23</v>
      </c>
      <c r="C672" s="3" t="str">
        <f>IF($B672="GW1",VLOOKUP($A672,Matches!$A:$AC,2,FALSE),IF($B672="GW2",VLOOKUP($A672,Matches!$A:$AC,9,FALSE),IF($B672="GW3",VLOOKUP($A672,Matches!$A:$AC,16,FALSE))))</f>
        <v>Man City</v>
      </c>
      <c r="D672" s="6">
        <v>0.15337658553045291</v>
      </c>
      <c r="E672" s="6">
        <v>0.63455803033187386</v>
      </c>
      <c r="F672" s="6">
        <v>-0.48118144480142094</v>
      </c>
      <c r="G672" s="3" t="s">
        <v>1</v>
      </c>
      <c r="H672">
        <v>0.253968254</v>
      </c>
      <c r="I672">
        <v>0.13605442200000001</v>
      </c>
      <c r="J672">
        <v>0.173160173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</row>
    <row r="673" spans="1:15" x14ac:dyDescent="0.25">
      <c r="A673" t="s">
        <v>22</v>
      </c>
      <c r="B673" t="s">
        <v>23</v>
      </c>
      <c r="C673" s="3" t="str">
        <f>IF($B673="GW1",VLOOKUP($A673,Matches!$A:$AC,2,FALSE),IF($B673="GW2",VLOOKUP($A673,Matches!$A:$AC,9,FALSE),IF($B673="GW3",VLOOKUP($A673,Matches!$A:$AC,16,FALSE))))</f>
        <v>Man City</v>
      </c>
      <c r="D673" s="6">
        <v>0.15337658553045291</v>
      </c>
      <c r="E673" s="6">
        <v>0.63455803033187386</v>
      </c>
      <c r="F673" s="6">
        <v>-0.48118144480142094</v>
      </c>
      <c r="G673" s="3" t="s">
        <v>1</v>
      </c>
      <c r="H673" t="e">
        <v>#N/A</v>
      </c>
      <c r="I673" t="e">
        <v>#N/A</v>
      </c>
      <c r="J673">
        <v>0.11904761899999999</v>
      </c>
      <c r="K673">
        <v>0.23371647500000001</v>
      </c>
      <c r="L673">
        <v>0.441489362</v>
      </c>
      <c r="M673">
        <v>7.4074074000000004E-2</v>
      </c>
      <c r="N673" t="e">
        <v>#N/A</v>
      </c>
      <c r="O673" t="e">
        <v>#N/A</v>
      </c>
    </row>
    <row r="674" spans="1:15" x14ac:dyDescent="0.25">
      <c r="A674" t="s">
        <v>22</v>
      </c>
      <c r="B674" t="s">
        <v>23</v>
      </c>
      <c r="C674" s="3" t="str">
        <f>IF($B674="GW1",VLOOKUP($A674,Matches!$A:$AC,2,FALSE),IF($B674="GW2",VLOOKUP($A674,Matches!$A:$AC,9,FALSE),IF($B674="GW3",VLOOKUP($A674,Matches!$A:$AC,16,FALSE))))</f>
        <v>Man City</v>
      </c>
      <c r="D674" s="6">
        <v>0.15337658553045291</v>
      </c>
      <c r="E674" s="6">
        <v>0.63455803033187386</v>
      </c>
      <c r="F674" s="6">
        <v>-0.48118144480142094</v>
      </c>
      <c r="G674" s="3" t="s">
        <v>1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</row>
    <row r="675" spans="1:15" x14ac:dyDescent="0.25">
      <c r="A675" t="s">
        <v>22</v>
      </c>
      <c r="B675" t="s">
        <v>23</v>
      </c>
      <c r="C675" s="3" t="str">
        <f>IF($B675="GW1",VLOOKUP($A675,Matches!$A:$AC,2,FALSE),IF($B675="GW2",VLOOKUP($A675,Matches!$A:$AC,9,FALSE),IF($B675="GW3",VLOOKUP($A675,Matches!$A:$AC,16,FALSE))))</f>
        <v>Man City</v>
      </c>
      <c r="D675" s="6">
        <v>0.15337658553045291</v>
      </c>
      <c r="E675" s="6">
        <v>0.63455803033187386</v>
      </c>
      <c r="F675" s="6">
        <v>-0.48118144480142094</v>
      </c>
      <c r="G675" s="3" t="s">
        <v>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</row>
    <row r="676" spans="1:15" x14ac:dyDescent="0.25">
      <c r="A676" t="s">
        <v>3</v>
      </c>
      <c r="B676" t="s">
        <v>24</v>
      </c>
      <c r="C676" s="3" t="str">
        <f>IF($B676="GW1",VLOOKUP($A676,Matches!$A:$AC,2,FALSE),IF($B676="GW2",VLOOKUP($A676,Matches!$A:$AC,9,FALSE),IF($B676="GW3",VLOOKUP($A676,Matches!$A:$AC,16,FALSE))))</f>
        <v>Leeds</v>
      </c>
      <c r="D676" s="6">
        <v>0.72453267642370667</v>
      </c>
      <c r="E676" s="6">
        <v>0.10933263360447824</v>
      </c>
      <c r="F676" s="6">
        <v>0.61520004281922847</v>
      </c>
      <c r="G676" s="3" t="s">
        <v>1</v>
      </c>
      <c r="H676" t="e">
        <v>#N/A</v>
      </c>
      <c r="I676" t="e">
        <v>#N/A</v>
      </c>
      <c r="J676">
        <v>0.13605442200000001</v>
      </c>
      <c r="K676">
        <v>0.5</v>
      </c>
      <c r="L676">
        <v>0.171686747</v>
      </c>
      <c r="M676">
        <v>1.9268489999999999E-2</v>
      </c>
      <c r="N676">
        <v>0.27210884400000002</v>
      </c>
      <c r="O676">
        <v>0</v>
      </c>
    </row>
    <row r="677" spans="1:15" x14ac:dyDescent="0.25">
      <c r="A677" t="s">
        <v>3</v>
      </c>
      <c r="B677" t="s">
        <v>24</v>
      </c>
      <c r="C677" s="3" t="str">
        <f>IF($B677="GW1",VLOOKUP($A677,Matches!$A:$AC,2,FALSE),IF($B677="GW2",VLOOKUP($A677,Matches!$A:$AC,9,FALSE),IF($B677="GW3",VLOOKUP($A677,Matches!$A:$AC,16,FALSE))))</f>
        <v>Leeds</v>
      </c>
      <c r="D677" s="6">
        <v>0.72453267642370667</v>
      </c>
      <c r="E677" s="6">
        <v>0.10933263360447824</v>
      </c>
      <c r="F677" s="6">
        <v>0.61520004281922847</v>
      </c>
      <c r="G677" s="3" t="s">
        <v>1</v>
      </c>
      <c r="H677" t="e">
        <v>#N/A</v>
      </c>
      <c r="I677" t="e">
        <v>#N/A</v>
      </c>
      <c r="J677">
        <v>0.13605442200000001</v>
      </c>
      <c r="K677">
        <v>0.5</v>
      </c>
      <c r="L677">
        <v>0.171686747</v>
      </c>
      <c r="M677">
        <v>1.9268489999999999E-2</v>
      </c>
      <c r="N677" t="e">
        <v>#N/A</v>
      </c>
      <c r="O677" t="e">
        <v>#N/A</v>
      </c>
    </row>
    <row r="678" spans="1:15" x14ac:dyDescent="0.25">
      <c r="A678" t="s">
        <v>3</v>
      </c>
      <c r="B678" t="s">
        <v>24</v>
      </c>
      <c r="C678" s="3" t="str">
        <f>IF($B678="GW1",VLOOKUP($A678,Matches!$A:$AC,2,FALSE),IF($B678="GW2",VLOOKUP($A678,Matches!$A:$AC,9,FALSE),IF($B678="GW3",VLOOKUP($A678,Matches!$A:$AC,16,FALSE))))</f>
        <v>Leeds</v>
      </c>
      <c r="D678" s="6">
        <v>0.72453267642370667</v>
      </c>
      <c r="E678" s="6">
        <v>0.10933263360447824</v>
      </c>
      <c r="F678" s="6">
        <v>0.61520004281922847</v>
      </c>
      <c r="G678" s="3" t="s">
        <v>1</v>
      </c>
      <c r="H678" t="e">
        <v>#N/A</v>
      </c>
      <c r="I678" t="e">
        <v>#N/A</v>
      </c>
      <c r="J678" t="e">
        <v>#N/A</v>
      </c>
      <c r="K678">
        <v>0.5</v>
      </c>
      <c r="L678">
        <v>0.171686747</v>
      </c>
      <c r="M678">
        <v>1.9268489999999999E-2</v>
      </c>
      <c r="N678" t="e">
        <v>#N/A</v>
      </c>
      <c r="O678" t="e">
        <v>#N/A</v>
      </c>
    </row>
    <row r="679" spans="1:15" x14ac:dyDescent="0.25">
      <c r="A679" t="s">
        <v>3</v>
      </c>
      <c r="B679" t="s">
        <v>24</v>
      </c>
      <c r="C679" s="3" t="str">
        <f>IF($B679="GW1",VLOOKUP($A679,Matches!$A:$AC,2,FALSE),IF($B679="GW2",VLOOKUP($A679,Matches!$A:$AC,9,FALSE),IF($B679="GW3",VLOOKUP($A679,Matches!$A:$AC,16,FALSE))))</f>
        <v>Leeds</v>
      </c>
      <c r="D679" s="6">
        <v>0.72453267642370667</v>
      </c>
      <c r="E679" s="6">
        <v>0.10933263360447824</v>
      </c>
      <c r="F679" s="6">
        <v>0.61520004281922847</v>
      </c>
      <c r="G679" s="3" t="s">
        <v>1</v>
      </c>
      <c r="H679" t="e">
        <v>#N/A</v>
      </c>
      <c r="I679" t="e">
        <v>#N/A</v>
      </c>
      <c r="J679">
        <v>0.13605442200000001</v>
      </c>
      <c r="K679">
        <v>0.5</v>
      </c>
      <c r="L679">
        <v>0.171686747</v>
      </c>
      <c r="M679">
        <v>1.9268489999999999E-2</v>
      </c>
      <c r="N679" t="e">
        <v>#N/A</v>
      </c>
      <c r="O679" t="e">
        <v>#N/A</v>
      </c>
    </row>
    <row r="680" spans="1:15" x14ac:dyDescent="0.25">
      <c r="A680" t="s">
        <v>3</v>
      </c>
      <c r="B680" t="s">
        <v>24</v>
      </c>
      <c r="C680" s="3" t="str">
        <f>IF($B680="GW1",VLOOKUP($A680,Matches!$A:$AC,2,FALSE),IF($B680="GW2",VLOOKUP($A680,Matches!$A:$AC,9,FALSE),IF($B680="GW3",VLOOKUP($A680,Matches!$A:$AC,16,FALSE))))</f>
        <v>Leeds</v>
      </c>
      <c r="D680" s="6">
        <v>0.72453267642370667</v>
      </c>
      <c r="E680" s="6">
        <v>0.10933263360447824</v>
      </c>
      <c r="F680" s="6">
        <v>0.61520004281922847</v>
      </c>
      <c r="G680" s="3" t="s">
        <v>1</v>
      </c>
      <c r="H680">
        <v>0.19047618999999999</v>
      </c>
      <c r="I680">
        <v>5.0125312999999998E-2</v>
      </c>
      <c r="J680">
        <v>0.13605442200000001</v>
      </c>
      <c r="K680">
        <v>0.5</v>
      </c>
      <c r="L680">
        <v>0.171686747</v>
      </c>
      <c r="M680">
        <v>1.9268489999999999E-2</v>
      </c>
      <c r="N680" t="e">
        <v>#N/A</v>
      </c>
      <c r="O680" t="e">
        <v>#N/A</v>
      </c>
    </row>
    <row r="681" spans="1:15" x14ac:dyDescent="0.25">
      <c r="A681" t="s">
        <v>3</v>
      </c>
      <c r="B681" t="s">
        <v>24</v>
      </c>
      <c r="C681" s="3" t="str">
        <f>IF($B681="GW1",VLOOKUP($A681,Matches!$A:$AC,2,FALSE),IF($B681="GW2",VLOOKUP($A681,Matches!$A:$AC,9,FALSE),IF($B681="GW3",VLOOKUP($A681,Matches!$A:$AC,16,FALSE))))</f>
        <v>Leeds</v>
      </c>
      <c r="D681" s="6">
        <v>0.72453267642370667</v>
      </c>
      <c r="E681" s="6">
        <v>0.10933263360447824</v>
      </c>
      <c r="F681" s="6">
        <v>0.61520004281922847</v>
      </c>
      <c r="G681" s="3" t="s">
        <v>1</v>
      </c>
      <c r="H681">
        <v>0.10025062699999999</v>
      </c>
      <c r="I681">
        <v>4.5351474000000003E-2</v>
      </c>
      <c r="J681">
        <v>0.112044818</v>
      </c>
      <c r="K681">
        <v>0.5</v>
      </c>
      <c r="L681">
        <v>0.171686747</v>
      </c>
      <c r="M681">
        <v>1.9268489999999999E-2</v>
      </c>
      <c r="N681" t="e">
        <v>#N/A</v>
      </c>
      <c r="O681" t="e">
        <v>#N/A</v>
      </c>
    </row>
    <row r="682" spans="1:15" x14ac:dyDescent="0.25">
      <c r="A682" t="s">
        <v>3</v>
      </c>
      <c r="B682" t="s">
        <v>24</v>
      </c>
      <c r="C682" s="3" t="str">
        <f>IF($B682="GW1",VLOOKUP($A682,Matches!$A:$AC,2,FALSE),IF($B682="GW2",VLOOKUP($A682,Matches!$A:$AC,9,FALSE),IF($B682="GW3",VLOOKUP($A682,Matches!$A:$AC,16,FALSE))))</f>
        <v>Leeds</v>
      </c>
      <c r="D682" s="6">
        <v>0.72453267642370667</v>
      </c>
      <c r="E682" s="6">
        <v>0.10933263360447824</v>
      </c>
      <c r="F682" s="6">
        <v>0.61520004281922847</v>
      </c>
      <c r="G682" s="3" t="s">
        <v>1</v>
      </c>
      <c r="H682">
        <v>0.112044818</v>
      </c>
      <c r="I682">
        <v>0.13605442200000001</v>
      </c>
      <c r="J682">
        <v>0.173160173</v>
      </c>
      <c r="K682">
        <v>0.5</v>
      </c>
      <c r="L682">
        <v>0.171686747</v>
      </c>
      <c r="M682">
        <v>1.9268489999999999E-2</v>
      </c>
      <c r="N682" t="e">
        <v>#N/A</v>
      </c>
      <c r="O682" t="e">
        <v>#N/A</v>
      </c>
    </row>
    <row r="683" spans="1:15" x14ac:dyDescent="0.25">
      <c r="A683" t="s">
        <v>3</v>
      </c>
      <c r="B683" t="s">
        <v>24</v>
      </c>
      <c r="C683" s="3" t="str">
        <f>IF($B683="GW1",VLOOKUP($A683,Matches!$A:$AC,2,FALSE),IF($B683="GW2",VLOOKUP($A683,Matches!$A:$AC,9,FALSE),IF($B683="GW3",VLOOKUP($A683,Matches!$A:$AC,16,FALSE))))</f>
        <v>Leeds</v>
      </c>
      <c r="D683" s="6">
        <v>0.72453267642370667</v>
      </c>
      <c r="E683" s="6">
        <v>0.10933263360447824</v>
      </c>
      <c r="F683" s="6">
        <v>0.61520004281922847</v>
      </c>
      <c r="G683" s="3" t="s">
        <v>1</v>
      </c>
      <c r="H683" t="e">
        <v>#N/A</v>
      </c>
      <c r="I683" t="e">
        <v>#N/A</v>
      </c>
      <c r="J683" t="e">
        <v>#N/A</v>
      </c>
      <c r="K683">
        <v>0.5</v>
      </c>
      <c r="L683">
        <v>0.171686747</v>
      </c>
      <c r="M683">
        <v>1.9268489999999999E-2</v>
      </c>
      <c r="N683" t="e">
        <v>#N/A</v>
      </c>
      <c r="O683" t="e">
        <v>#N/A</v>
      </c>
    </row>
    <row r="684" spans="1:15" x14ac:dyDescent="0.25">
      <c r="A684" t="s">
        <v>3</v>
      </c>
      <c r="B684" t="s">
        <v>24</v>
      </c>
      <c r="C684" s="3" t="str">
        <f>IF($B684="GW1",VLOOKUP($A684,Matches!$A:$AC,2,FALSE),IF($B684="GW2",VLOOKUP($A684,Matches!$A:$AC,9,FALSE),IF($B684="GW3",VLOOKUP($A684,Matches!$A:$AC,16,FALSE))))</f>
        <v>Leeds</v>
      </c>
      <c r="D684" s="6">
        <v>0.72453267642370667</v>
      </c>
      <c r="E684" s="6">
        <v>0.10933263360447824</v>
      </c>
      <c r="F684" s="6">
        <v>0.61520004281922847</v>
      </c>
      <c r="G684" s="3" t="s">
        <v>1</v>
      </c>
      <c r="H684">
        <v>0.10025062699999999</v>
      </c>
      <c r="I684">
        <v>0.105820106</v>
      </c>
      <c r="J684">
        <v>0.13605442200000001</v>
      </c>
      <c r="K684">
        <v>0.5</v>
      </c>
      <c r="L684">
        <v>0.171686747</v>
      </c>
      <c r="M684">
        <v>1.9268489999999999E-2</v>
      </c>
      <c r="N684" t="e">
        <v>#N/A</v>
      </c>
      <c r="O684" t="e">
        <v>#N/A</v>
      </c>
    </row>
    <row r="685" spans="1:15" x14ac:dyDescent="0.25">
      <c r="A685" t="s">
        <v>3</v>
      </c>
      <c r="B685" t="s">
        <v>24</v>
      </c>
      <c r="C685" s="3" t="str">
        <f>IF($B685="GW1",VLOOKUP($A685,Matches!$A:$AC,2,FALSE),IF($B685="GW2",VLOOKUP($A685,Matches!$A:$AC,9,FALSE),IF($B685="GW3",VLOOKUP($A685,Matches!$A:$AC,16,FALSE))))</f>
        <v>Leeds</v>
      </c>
      <c r="D685" s="6">
        <v>0.72453267642370667</v>
      </c>
      <c r="E685" s="6">
        <v>0.10933263360447824</v>
      </c>
      <c r="F685" s="6">
        <v>0.61520004281922847</v>
      </c>
      <c r="G685" s="3" t="s">
        <v>1</v>
      </c>
      <c r="H685">
        <v>0.13605442200000001</v>
      </c>
      <c r="I685">
        <v>9.5238094999999995E-2</v>
      </c>
      <c r="J685">
        <v>0.173160173</v>
      </c>
      <c r="K685">
        <v>0.5</v>
      </c>
      <c r="L685">
        <v>0.171686747</v>
      </c>
      <c r="M685">
        <v>1.9268489999999999E-2</v>
      </c>
      <c r="N685" t="e">
        <v>#N/A</v>
      </c>
      <c r="O685" t="e">
        <v>#N/A</v>
      </c>
    </row>
    <row r="686" spans="1:15" x14ac:dyDescent="0.25">
      <c r="A686" t="s">
        <v>3</v>
      </c>
      <c r="B686" t="s">
        <v>24</v>
      </c>
      <c r="C686" s="3" t="str">
        <f>IF($B686="GW1",VLOOKUP($A686,Matches!$A:$AC,2,FALSE),IF($B686="GW2",VLOOKUP($A686,Matches!$A:$AC,9,FALSE),IF($B686="GW3",VLOOKUP($A686,Matches!$A:$AC,16,FALSE))))</f>
        <v>Leeds</v>
      </c>
      <c r="D686" s="6">
        <v>0.72453267642370667</v>
      </c>
      <c r="E686" s="6">
        <v>0.10933263360447824</v>
      </c>
      <c r="F686" s="6">
        <v>0.61520004281922847</v>
      </c>
      <c r="G686" s="3" t="s">
        <v>1</v>
      </c>
      <c r="H686">
        <v>0.10025062699999999</v>
      </c>
      <c r="I686">
        <v>0.11904761899999999</v>
      </c>
      <c r="J686">
        <v>0.14652014699999999</v>
      </c>
      <c r="K686">
        <v>0.5</v>
      </c>
      <c r="L686">
        <v>0.171686747</v>
      </c>
      <c r="M686">
        <v>1.9268489999999999E-2</v>
      </c>
      <c r="N686" t="e">
        <v>#N/A</v>
      </c>
      <c r="O686" t="e">
        <v>#N/A</v>
      </c>
    </row>
    <row r="687" spans="1:15" x14ac:dyDescent="0.25">
      <c r="A687" t="s">
        <v>3</v>
      </c>
      <c r="B687" t="s">
        <v>24</v>
      </c>
      <c r="C687" s="3" t="str">
        <f>IF($B687="GW1",VLOOKUP($A687,Matches!$A:$AC,2,FALSE),IF($B687="GW2",VLOOKUP($A687,Matches!$A:$AC,9,FALSE),IF($B687="GW3",VLOOKUP($A687,Matches!$A:$AC,16,FALSE))))</f>
        <v>Leeds</v>
      </c>
      <c r="D687" s="6">
        <v>0.72453267642370667</v>
      </c>
      <c r="E687" s="6">
        <v>0.10933263360447824</v>
      </c>
      <c r="F687" s="6">
        <v>0.61520004281922847</v>
      </c>
      <c r="G687" s="3" t="s">
        <v>1</v>
      </c>
      <c r="H687">
        <v>0.15873015900000001</v>
      </c>
      <c r="I687">
        <v>0.11904761899999999</v>
      </c>
      <c r="J687">
        <v>0.112044818</v>
      </c>
      <c r="K687">
        <v>0.5</v>
      </c>
      <c r="L687">
        <v>0.171686747</v>
      </c>
      <c r="M687">
        <v>1.9268489999999999E-2</v>
      </c>
      <c r="N687" t="e">
        <v>#N/A</v>
      </c>
      <c r="O687" t="e">
        <v>#N/A</v>
      </c>
    </row>
    <row r="688" spans="1:15" x14ac:dyDescent="0.25">
      <c r="A688" t="s">
        <v>3</v>
      </c>
      <c r="B688" t="s">
        <v>24</v>
      </c>
      <c r="C688" s="3" t="str">
        <f>IF($B688="GW1",VLOOKUP($A688,Matches!$A:$AC,2,FALSE),IF($B688="GW2",VLOOKUP($A688,Matches!$A:$AC,9,FALSE),IF($B688="GW3",VLOOKUP($A688,Matches!$A:$AC,16,FALSE))))</f>
        <v>Leeds</v>
      </c>
      <c r="D688" s="6">
        <v>0.72453267642370667</v>
      </c>
      <c r="E688" s="6">
        <v>0.10933263360447824</v>
      </c>
      <c r="F688" s="6">
        <v>0.61520004281922847</v>
      </c>
      <c r="G688" s="3" t="s">
        <v>1</v>
      </c>
      <c r="H688" t="e">
        <v>#N/A</v>
      </c>
      <c r="I688" t="e">
        <v>#N/A</v>
      </c>
      <c r="J688" t="e">
        <v>#N/A</v>
      </c>
      <c r="K688">
        <v>0.5</v>
      </c>
      <c r="L688">
        <v>0.171686747</v>
      </c>
      <c r="M688">
        <v>1.9268489999999999E-2</v>
      </c>
      <c r="N688" t="e">
        <v>#N/A</v>
      </c>
      <c r="O688" t="e">
        <v>#N/A</v>
      </c>
    </row>
    <row r="689" spans="1:15" x14ac:dyDescent="0.25">
      <c r="A689" t="s">
        <v>3</v>
      </c>
      <c r="B689" t="s">
        <v>24</v>
      </c>
      <c r="C689" s="3" t="str">
        <f>IF($B689="GW1",VLOOKUP($A689,Matches!$A:$AC,2,FALSE),IF($B689="GW2",VLOOKUP($A689,Matches!$A:$AC,9,FALSE),IF($B689="GW3",VLOOKUP($A689,Matches!$A:$AC,16,FALSE))))</f>
        <v>Leeds</v>
      </c>
      <c r="D689" s="6">
        <v>0.72453267642370667</v>
      </c>
      <c r="E689" s="6">
        <v>0.10933263360447824</v>
      </c>
      <c r="F689" s="6">
        <v>0.61520004281922847</v>
      </c>
      <c r="G689" s="3" t="s">
        <v>1</v>
      </c>
      <c r="H689" t="e">
        <v>#N/A</v>
      </c>
      <c r="I689" t="e">
        <v>#N/A</v>
      </c>
      <c r="J689" t="e">
        <v>#N/A</v>
      </c>
      <c r="K689">
        <v>0.5</v>
      </c>
      <c r="L689">
        <v>0.171686747</v>
      </c>
      <c r="M689">
        <v>1.9268489999999999E-2</v>
      </c>
      <c r="N689" t="e">
        <v>#N/A</v>
      </c>
      <c r="O689" t="e">
        <v>#N/A</v>
      </c>
    </row>
    <row r="690" spans="1:15" x14ac:dyDescent="0.25">
      <c r="A690" t="s">
        <v>3</v>
      </c>
      <c r="B690" t="s">
        <v>24</v>
      </c>
      <c r="C690" s="3" t="str">
        <f>IF($B690="GW1",VLOOKUP($A690,Matches!$A:$AC,2,FALSE),IF($B690="GW2",VLOOKUP($A690,Matches!$A:$AC,9,FALSE),IF($B690="GW3",VLOOKUP($A690,Matches!$A:$AC,16,FALSE))))</f>
        <v>Leeds</v>
      </c>
      <c r="D690" s="6">
        <v>0.72453267642370667</v>
      </c>
      <c r="E690" s="6">
        <v>0.10933263360447824</v>
      </c>
      <c r="F690" s="6">
        <v>0.61520004281922847</v>
      </c>
      <c r="G690" s="3" t="s">
        <v>1</v>
      </c>
      <c r="H690" t="e">
        <v>#N/A</v>
      </c>
      <c r="I690" t="e">
        <v>#N/A</v>
      </c>
      <c r="J690" t="e">
        <v>#N/A</v>
      </c>
      <c r="K690">
        <v>0.5</v>
      </c>
      <c r="L690">
        <v>0.171686747</v>
      </c>
      <c r="M690">
        <v>1.9268489999999999E-2</v>
      </c>
      <c r="N690" t="e">
        <v>#N/A</v>
      </c>
      <c r="O690" t="e">
        <v>#N/A</v>
      </c>
    </row>
    <row r="691" spans="1:15" x14ac:dyDescent="0.25">
      <c r="A691" t="s">
        <v>3</v>
      </c>
      <c r="B691" t="s">
        <v>24</v>
      </c>
      <c r="C691" s="3" t="str">
        <f>IF($B691="GW1",VLOOKUP($A691,Matches!$A:$AC,2,FALSE),IF($B691="GW2",VLOOKUP($A691,Matches!$A:$AC,9,FALSE),IF($B691="GW3",VLOOKUP($A691,Matches!$A:$AC,16,FALSE))))</f>
        <v>Leeds</v>
      </c>
      <c r="D691" s="6">
        <v>0.72453267642370667</v>
      </c>
      <c r="E691" s="6">
        <v>0.10933263360447824</v>
      </c>
      <c r="F691" s="6">
        <v>0.61520004281922847</v>
      </c>
      <c r="G691" s="3" t="s">
        <v>1</v>
      </c>
      <c r="H691">
        <v>0.47619047599999997</v>
      </c>
      <c r="I691">
        <v>0.346320346</v>
      </c>
      <c r="J691">
        <v>0.11904761899999999</v>
      </c>
      <c r="K691">
        <v>0.5</v>
      </c>
      <c r="L691">
        <v>0.171686747</v>
      </c>
      <c r="M691">
        <v>1.9268489999999999E-2</v>
      </c>
      <c r="N691" t="e">
        <v>#N/A</v>
      </c>
      <c r="O691" t="e">
        <v>#N/A</v>
      </c>
    </row>
    <row r="692" spans="1:15" x14ac:dyDescent="0.25">
      <c r="A692" t="s">
        <v>3</v>
      </c>
      <c r="B692" t="s">
        <v>24</v>
      </c>
      <c r="C692" s="3" t="str">
        <f>IF($B692="GW1",VLOOKUP($A692,Matches!$A:$AC,2,FALSE),IF($B692="GW2",VLOOKUP($A692,Matches!$A:$AC,9,FALSE),IF($B692="GW3",VLOOKUP($A692,Matches!$A:$AC,16,FALSE))))</f>
        <v>Leeds</v>
      </c>
      <c r="D692" s="6">
        <v>0.72453267642370667</v>
      </c>
      <c r="E692" s="6">
        <v>0.10933263360447824</v>
      </c>
      <c r="F692" s="6">
        <v>0.61520004281922847</v>
      </c>
      <c r="G692" s="3" t="s">
        <v>1</v>
      </c>
      <c r="H692">
        <v>0.36350418000000001</v>
      </c>
      <c r="I692">
        <v>0.27210884400000002</v>
      </c>
      <c r="J692">
        <v>0.10025062699999999</v>
      </c>
      <c r="K692">
        <v>0.5</v>
      </c>
      <c r="L692">
        <v>0.171686747</v>
      </c>
      <c r="M692">
        <v>1.9268489999999999E-2</v>
      </c>
      <c r="N692" t="e">
        <v>#N/A</v>
      </c>
      <c r="O692" t="e">
        <v>#N/A</v>
      </c>
    </row>
    <row r="693" spans="1:15" x14ac:dyDescent="0.25">
      <c r="A693" t="s">
        <v>3</v>
      </c>
      <c r="B693" t="s">
        <v>24</v>
      </c>
      <c r="C693" s="3" t="str">
        <f>IF($B693="GW1",VLOOKUP($A693,Matches!$A:$AC,2,FALSE),IF($B693="GW2",VLOOKUP($A693,Matches!$A:$AC,9,FALSE),IF($B693="GW3",VLOOKUP($A693,Matches!$A:$AC,16,FALSE))))</f>
        <v>Leeds</v>
      </c>
      <c r="D693" s="6">
        <v>0.72453267642370667</v>
      </c>
      <c r="E693" s="6">
        <v>0.10933263360447824</v>
      </c>
      <c r="F693" s="6">
        <v>0.61520004281922847</v>
      </c>
      <c r="G693" s="3" t="s">
        <v>1</v>
      </c>
      <c r="H693">
        <v>0.38095238100000001</v>
      </c>
      <c r="I693">
        <v>0.23809523799999999</v>
      </c>
      <c r="J693">
        <v>7.3260072999999995E-2</v>
      </c>
      <c r="K693">
        <v>0.5</v>
      </c>
      <c r="L693">
        <v>0.171686747</v>
      </c>
      <c r="M693">
        <v>1.9268489999999999E-2</v>
      </c>
      <c r="N693" t="e">
        <v>#N/A</v>
      </c>
      <c r="O693" t="e">
        <v>#N/A</v>
      </c>
    </row>
    <row r="694" spans="1:15" x14ac:dyDescent="0.25">
      <c r="A694" t="s">
        <v>3</v>
      </c>
      <c r="B694" t="s">
        <v>24</v>
      </c>
      <c r="C694" s="3" t="str">
        <f>IF($B694="GW1",VLOOKUP($A694,Matches!$A:$AC,2,FALSE),IF($B694="GW2",VLOOKUP($A694,Matches!$A:$AC,9,FALSE),IF($B694="GW3",VLOOKUP($A694,Matches!$A:$AC,16,FALSE))))</f>
        <v>Leeds</v>
      </c>
      <c r="D694" s="6">
        <v>0.72453267642370667</v>
      </c>
      <c r="E694" s="6">
        <v>0.10933263360447824</v>
      </c>
      <c r="F694" s="6">
        <v>0.61520004281922847</v>
      </c>
      <c r="G694" s="3" t="s">
        <v>1</v>
      </c>
      <c r="H694">
        <v>0.38095238100000001</v>
      </c>
      <c r="I694">
        <v>0.253968254</v>
      </c>
      <c r="J694">
        <v>8.6580087E-2</v>
      </c>
      <c r="K694">
        <v>0.5</v>
      </c>
      <c r="L694">
        <v>0.171686747</v>
      </c>
      <c r="M694">
        <v>1.9268489999999999E-2</v>
      </c>
      <c r="N694" t="e">
        <v>#N/A</v>
      </c>
      <c r="O694" t="e">
        <v>#N/A</v>
      </c>
    </row>
    <row r="695" spans="1:15" x14ac:dyDescent="0.25">
      <c r="A695" t="s">
        <v>3</v>
      </c>
      <c r="B695" t="s">
        <v>24</v>
      </c>
      <c r="C695" s="3" t="str">
        <f>IF($B695="GW1",VLOOKUP($A695,Matches!$A:$AC,2,FALSE),IF($B695="GW2",VLOOKUP($A695,Matches!$A:$AC,9,FALSE),IF($B695="GW3",VLOOKUP($A695,Matches!$A:$AC,16,FALSE))))</f>
        <v>Leeds</v>
      </c>
      <c r="D695" s="6">
        <v>0.72453267642370667</v>
      </c>
      <c r="E695" s="6">
        <v>0.10933263360447824</v>
      </c>
      <c r="F695" s="6">
        <v>0.61520004281922847</v>
      </c>
      <c r="G695" s="3" t="s">
        <v>1</v>
      </c>
      <c r="H695">
        <v>0.41407867500000001</v>
      </c>
      <c r="I695">
        <v>0.253968254</v>
      </c>
      <c r="J695">
        <v>7.9365079000000005E-2</v>
      </c>
      <c r="K695">
        <v>0.5</v>
      </c>
      <c r="L695">
        <v>0.171686747</v>
      </c>
      <c r="M695">
        <v>1.9268489999999999E-2</v>
      </c>
      <c r="N695" t="e">
        <v>#N/A</v>
      </c>
      <c r="O695" t="e">
        <v>#N/A</v>
      </c>
    </row>
    <row r="696" spans="1:15" x14ac:dyDescent="0.25">
      <c r="A696" t="s">
        <v>3</v>
      </c>
      <c r="B696" t="s">
        <v>24</v>
      </c>
      <c r="C696" s="3" t="str">
        <f>IF($B696="GW1",VLOOKUP($A696,Matches!$A:$AC,2,FALSE),IF($B696="GW2",VLOOKUP($A696,Matches!$A:$AC,9,FALSE),IF($B696="GW3",VLOOKUP($A696,Matches!$A:$AC,16,FALSE))))</f>
        <v>Leeds</v>
      </c>
      <c r="D696" s="6">
        <v>0.72453267642370667</v>
      </c>
      <c r="E696" s="6">
        <v>0.10933263360447824</v>
      </c>
      <c r="F696" s="6">
        <v>0.61520004281922847</v>
      </c>
      <c r="G696" s="3" t="s">
        <v>1</v>
      </c>
      <c r="H696">
        <v>0.23809523799999999</v>
      </c>
      <c r="I696">
        <v>0.23809523799999999</v>
      </c>
      <c r="J696">
        <v>0.13605442200000001</v>
      </c>
      <c r="K696">
        <v>0.5</v>
      </c>
      <c r="L696">
        <v>0.171686747</v>
      </c>
      <c r="M696">
        <v>1.9268489999999999E-2</v>
      </c>
      <c r="N696" t="e">
        <v>#N/A</v>
      </c>
      <c r="O696" t="e">
        <v>#N/A</v>
      </c>
    </row>
    <row r="697" spans="1:15" x14ac:dyDescent="0.25">
      <c r="A697" t="s">
        <v>3</v>
      </c>
      <c r="B697" t="s">
        <v>24</v>
      </c>
      <c r="C697" s="3" t="str">
        <f>IF($B697="GW1",VLOOKUP($A697,Matches!$A:$AC,2,FALSE),IF($B697="GW2",VLOOKUP($A697,Matches!$A:$AC,9,FALSE),IF($B697="GW3",VLOOKUP($A697,Matches!$A:$AC,16,FALSE))))</f>
        <v>Leeds</v>
      </c>
      <c r="D697" s="6">
        <v>0.72453267642370667</v>
      </c>
      <c r="E697" s="6">
        <v>0.10933263360447824</v>
      </c>
      <c r="F697" s="6">
        <v>0.61520004281922847</v>
      </c>
      <c r="G697" s="3" t="s">
        <v>1</v>
      </c>
      <c r="H697">
        <v>0.41407867500000001</v>
      </c>
      <c r="I697">
        <v>0.173160173</v>
      </c>
      <c r="J697">
        <v>0.14652014699999999</v>
      </c>
      <c r="K697">
        <v>0.5</v>
      </c>
      <c r="L697">
        <v>0.171686747</v>
      </c>
      <c r="M697">
        <v>1.9268489999999999E-2</v>
      </c>
      <c r="N697" t="e">
        <v>#N/A</v>
      </c>
      <c r="O697" t="e">
        <v>#N/A</v>
      </c>
    </row>
    <row r="698" spans="1:15" x14ac:dyDescent="0.25">
      <c r="A698" t="s">
        <v>3</v>
      </c>
      <c r="B698" t="s">
        <v>24</v>
      </c>
      <c r="C698" s="3" t="str">
        <f>IF($B698="GW1",VLOOKUP($A698,Matches!$A:$AC,2,FALSE),IF($B698="GW2",VLOOKUP($A698,Matches!$A:$AC,9,FALSE),IF($B698="GW3",VLOOKUP($A698,Matches!$A:$AC,16,FALSE))))</f>
        <v>Leeds</v>
      </c>
      <c r="D698" s="6">
        <v>0.72453267642370667</v>
      </c>
      <c r="E698" s="6">
        <v>0.10933263360447824</v>
      </c>
      <c r="F698" s="6">
        <v>0.61520004281922847</v>
      </c>
      <c r="G698" s="3" t="s">
        <v>1</v>
      </c>
      <c r="H698" t="e">
        <v>#N/A</v>
      </c>
      <c r="I698" t="e">
        <v>#N/A</v>
      </c>
      <c r="J698" t="e">
        <v>#N/A</v>
      </c>
      <c r="K698">
        <v>0.5</v>
      </c>
      <c r="L698">
        <v>0.171686747</v>
      </c>
      <c r="M698">
        <v>1.9268489999999999E-2</v>
      </c>
      <c r="N698" t="e">
        <v>#N/A</v>
      </c>
      <c r="O698" t="e">
        <v>#N/A</v>
      </c>
    </row>
    <row r="699" spans="1:15" x14ac:dyDescent="0.25">
      <c r="A699" t="s">
        <v>3</v>
      </c>
      <c r="B699" t="s">
        <v>24</v>
      </c>
      <c r="C699" s="3" t="str">
        <f>IF($B699="GW1",VLOOKUP($A699,Matches!$A:$AC,2,FALSE),IF($B699="GW2",VLOOKUP($A699,Matches!$A:$AC,9,FALSE),IF($B699="GW3",VLOOKUP($A699,Matches!$A:$AC,16,FALSE))))</f>
        <v>Leeds</v>
      </c>
      <c r="D699" s="6">
        <v>0.72453267642370667</v>
      </c>
      <c r="E699" s="6">
        <v>0.10933263360447824</v>
      </c>
      <c r="F699" s="6">
        <v>0.61520004281922847</v>
      </c>
      <c r="G699" s="3" t="s">
        <v>1</v>
      </c>
      <c r="H699">
        <v>0.14652014699999999</v>
      </c>
      <c r="I699">
        <v>0.105820106</v>
      </c>
      <c r="J699">
        <v>0.20050125299999999</v>
      </c>
      <c r="K699">
        <v>0.5</v>
      </c>
      <c r="L699">
        <v>0.171686747</v>
      </c>
      <c r="M699">
        <v>1.9268489999999999E-2</v>
      </c>
      <c r="N699" t="e">
        <v>#N/A</v>
      </c>
      <c r="O699" t="e">
        <v>#N/A</v>
      </c>
    </row>
    <row r="700" spans="1:15" x14ac:dyDescent="0.25">
      <c r="A700" t="s">
        <v>3</v>
      </c>
      <c r="B700" t="s">
        <v>24</v>
      </c>
      <c r="C700" s="3" t="str">
        <f>IF($B700="GW1",VLOOKUP($A700,Matches!$A:$AC,2,FALSE),IF($B700="GW2",VLOOKUP($A700,Matches!$A:$AC,9,FALSE),IF($B700="GW3",VLOOKUP($A700,Matches!$A:$AC,16,FALSE))))</f>
        <v>Leeds</v>
      </c>
      <c r="D700" s="6">
        <v>0.72453267642370667</v>
      </c>
      <c r="E700" s="6">
        <v>0.10933263360447824</v>
      </c>
      <c r="F700" s="6">
        <v>0.61520004281922847</v>
      </c>
      <c r="G700" s="3" t="s">
        <v>1</v>
      </c>
      <c r="H700">
        <v>0.41407867500000001</v>
      </c>
      <c r="I700">
        <v>0.21994941200000001</v>
      </c>
      <c r="J700">
        <v>0.10025062699999999</v>
      </c>
      <c r="K700">
        <v>0.5</v>
      </c>
      <c r="L700">
        <v>0.171686747</v>
      </c>
      <c r="M700">
        <v>1.9268489999999999E-2</v>
      </c>
      <c r="N700" t="e">
        <v>#N/A</v>
      </c>
      <c r="O700" t="e">
        <v>#N/A</v>
      </c>
    </row>
    <row r="701" spans="1:15" x14ac:dyDescent="0.25">
      <c r="A701" t="s">
        <v>3</v>
      </c>
      <c r="B701" t="s">
        <v>24</v>
      </c>
      <c r="C701" s="3" t="str">
        <f>IF($B701="GW1",VLOOKUP($A701,Matches!$A:$AC,2,FALSE),IF($B701="GW2",VLOOKUP($A701,Matches!$A:$AC,9,FALSE),IF($B701="GW3",VLOOKUP($A701,Matches!$A:$AC,16,FALSE))))</f>
        <v>Leeds</v>
      </c>
      <c r="D701" s="6">
        <v>0.72453267642370667</v>
      </c>
      <c r="E701" s="6">
        <v>0.10933263360447824</v>
      </c>
      <c r="F701" s="6">
        <v>0.61520004281922847</v>
      </c>
      <c r="G701" s="3" t="s">
        <v>1</v>
      </c>
      <c r="H701">
        <v>0.21164021199999999</v>
      </c>
      <c r="I701">
        <v>0.173160173</v>
      </c>
      <c r="J701">
        <v>0.11904761899999999</v>
      </c>
      <c r="K701">
        <v>0.5</v>
      </c>
      <c r="L701">
        <v>0.171686747</v>
      </c>
      <c r="M701">
        <v>1.9268489999999999E-2</v>
      </c>
      <c r="N701" t="e">
        <v>#N/A</v>
      </c>
      <c r="O701" t="e">
        <v>#N/A</v>
      </c>
    </row>
    <row r="702" spans="1:15" x14ac:dyDescent="0.25">
      <c r="A702" t="s">
        <v>3</v>
      </c>
      <c r="B702" t="s">
        <v>24</v>
      </c>
      <c r="C702" s="3" t="str">
        <f>IF($B702="GW1",VLOOKUP($A702,Matches!$A:$AC,2,FALSE),IF($B702="GW2",VLOOKUP($A702,Matches!$A:$AC,9,FALSE),IF($B702="GW3",VLOOKUP($A702,Matches!$A:$AC,16,FALSE))))</f>
        <v>Leeds</v>
      </c>
      <c r="D702" s="6">
        <v>0.72453267642370667</v>
      </c>
      <c r="E702" s="6">
        <v>0.10933263360447824</v>
      </c>
      <c r="F702" s="6">
        <v>0.61520004281922847</v>
      </c>
      <c r="G702" s="3" t="s">
        <v>1</v>
      </c>
      <c r="H702">
        <v>0.36350418000000001</v>
      </c>
      <c r="I702">
        <v>0.253968254</v>
      </c>
      <c r="J702">
        <v>0.14652014699999999</v>
      </c>
      <c r="K702">
        <v>0.5</v>
      </c>
      <c r="L702">
        <v>0.171686747</v>
      </c>
      <c r="M702">
        <v>1.9268489999999999E-2</v>
      </c>
      <c r="N702" t="e">
        <v>#N/A</v>
      </c>
      <c r="O702" t="e">
        <v>#N/A</v>
      </c>
    </row>
    <row r="703" spans="1:15" x14ac:dyDescent="0.25">
      <c r="A703" t="s">
        <v>3</v>
      </c>
      <c r="B703" t="s">
        <v>24</v>
      </c>
      <c r="C703" s="3" t="str">
        <f>IF($B703="GW1",VLOOKUP($A703,Matches!$A:$AC,2,FALSE),IF($B703="GW2",VLOOKUP($A703,Matches!$A:$AC,9,FALSE),IF($B703="GW3",VLOOKUP($A703,Matches!$A:$AC,16,FALSE))))</f>
        <v>Leeds</v>
      </c>
      <c r="D703" s="6">
        <v>0.72453267642370667</v>
      </c>
      <c r="E703" s="6">
        <v>0.10933263360447824</v>
      </c>
      <c r="F703" s="6">
        <v>0.61520004281922847</v>
      </c>
      <c r="G703" s="3" t="s">
        <v>1</v>
      </c>
      <c r="H703" t="e">
        <v>#N/A</v>
      </c>
      <c r="I703" t="e">
        <v>#N/A</v>
      </c>
      <c r="J703" t="e">
        <v>#N/A</v>
      </c>
      <c r="K703">
        <v>0.5</v>
      </c>
      <c r="L703">
        <v>0.171686747</v>
      </c>
      <c r="M703">
        <v>1.9268489999999999E-2</v>
      </c>
      <c r="N703" t="e">
        <v>#N/A</v>
      </c>
      <c r="O703" t="e">
        <v>#N/A</v>
      </c>
    </row>
    <row r="704" spans="1:15" x14ac:dyDescent="0.25">
      <c r="A704" t="s">
        <v>3</v>
      </c>
      <c r="B704" t="s">
        <v>24</v>
      </c>
      <c r="C704" s="3" t="str">
        <f>IF($B704="GW1",VLOOKUP($A704,Matches!$A:$AC,2,FALSE),IF($B704="GW2",VLOOKUP($A704,Matches!$A:$AC,9,FALSE),IF($B704="GW3",VLOOKUP($A704,Matches!$A:$AC,16,FALSE))))</f>
        <v>Leeds</v>
      </c>
      <c r="D704" s="6">
        <v>0.72453267642370667</v>
      </c>
      <c r="E704" s="6">
        <v>0.10933263360447824</v>
      </c>
      <c r="F704" s="6">
        <v>0.61520004281922847</v>
      </c>
      <c r="G704" s="3" t="s">
        <v>1</v>
      </c>
      <c r="H704">
        <v>0.21164021199999999</v>
      </c>
      <c r="I704">
        <v>0.15873015900000001</v>
      </c>
      <c r="J704">
        <v>0.173160173</v>
      </c>
      <c r="K704">
        <v>0.5</v>
      </c>
      <c r="L704">
        <v>0.171686747</v>
      </c>
      <c r="M704">
        <v>1.9268489999999999E-2</v>
      </c>
      <c r="N704" t="e">
        <v>#N/A</v>
      </c>
      <c r="O704" t="e">
        <v>#N/A</v>
      </c>
    </row>
    <row r="705" spans="1:15" x14ac:dyDescent="0.25">
      <c r="A705" t="s">
        <v>3</v>
      </c>
      <c r="B705" t="s">
        <v>24</v>
      </c>
      <c r="C705" s="3" t="str">
        <f>IF($B705="GW1",VLOOKUP($A705,Matches!$A:$AC,2,FALSE),IF($B705="GW2",VLOOKUP($A705,Matches!$A:$AC,9,FALSE),IF($B705="GW3",VLOOKUP($A705,Matches!$A:$AC,16,FALSE))))</f>
        <v>Leeds</v>
      </c>
      <c r="D705" s="6">
        <v>0.72453267642370667</v>
      </c>
      <c r="E705" s="6">
        <v>0.10933263360447824</v>
      </c>
      <c r="F705" s="6">
        <v>0.61520004281922847</v>
      </c>
      <c r="G705" s="3" t="s">
        <v>1</v>
      </c>
      <c r="H705">
        <v>0.41407867500000001</v>
      </c>
      <c r="I705">
        <v>0.13605442200000001</v>
      </c>
      <c r="J705">
        <v>0.173160173</v>
      </c>
      <c r="K705">
        <v>0.5</v>
      </c>
      <c r="L705">
        <v>0.171686747</v>
      </c>
      <c r="M705">
        <v>1.9268489999999999E-2</v>
      </c>
      <c r="N705" t="e">
        <v>#N/A</v>
      </c>
      <c r="O705" t="e">
        <v>#N/A</v>
      </c>
    </row>
    <row r="706" spans="1:15" x14ac:dyDescent="0.25">
      <c r="A706" t="s">
        <v>3</v>
      </c>
      <c r="B706" t="s">
        <v>24</v>
      </c>
      <c r="C706" s="3" t="str">
        <f>IF($B706="GW1",VLOOKUP($A706,Matches!$A:$AC,2,FALSE),IF($B706="GW2",VLOOKUP($A706,Matches!$A:$AC,9,FALSE),IF($B706="GW3",VLOOKUP($A706,Matches!$A:$AC,16,FALSE))))</f>
        <v>Leeds</v>
      </c>
      <c r="D706" s="6">
        <v>0.72453267642370667</v>
      </c>
      <c r="E706" s="6">
        <v>0.10933263360447824</v>
      </c>
      <c r="F706" s="6">
        <v>0.61520004281922847</v>
      </c>
      <c r="G706" s="3" t="s">
        <v>1</v>
      </c>
      <c r="H706" t="e">
        <v>#N/A</v>
      </c>
      <c r="I706" t="e">
        <v>#N/A</v>
      </c>
      <c r="J706" t="e">
        <v>#N/A</v>
      </c>
      <c r="K706">
        <v>0.5</v>
      </c>
      <c r="L706">
        <v>0.171686747</v>
      </c>
      <c r="M706">
        <v>1.9268489999999999E-2</v>
      </c>
      <c r="N706" t="e">
        <v>#N/A</v>
      </c>
      <c r="O706" t="e">
        <v>#N/A</v>
      </c>
    </row>
    <row r="707" spans="1:15" x14ac:dyDescent="0.25">
      <c r="A707" t="s">
        <v>3</v>
      </c>
      <c r="B707" t="s">
        <v>24</v>
      </c>
      <c r="C707" s="3" t="str">
        <f>IF($B707="GW1",VLOOKUP($A707,Matches!$A:$AC,2,FALSE),IF($B707="GW2",VLOOKUP($A707,Matches!$A:$AC,9,FALSE),IF($B707="GW3",VLOOKUP($A707,Matches!$A:$AC,16,FALSE))))</f>
        <v>Leeds</v>
      </c>
      <c r="D707" s="6">
        <v>0.72453267642370667</v>
      </c>
      <c r="E707" s="6">
        <v>0.10933263360447824</v>
      </c>
      <c r="F707" s="6">
        <v>0.61520004281922847</v>
      </c>
      <c r="G707" s="3" t="s">
        <v>1</v>
      </c>
      <c r="H707">
        <v>0.112044818</v>
      </c>
      <c r="I707">
        <v>6.3492063000000001E-2</v>
      </c>
      <c r="J707">
        <v>0.112044818</v>
      </c>
      <c r="K707">
        <v>0.5</v>
      </c>
      <c r="L707">
        <v>0.171686747</v>
      </c>
      <c r="M707">
        <v>1.9268489999999999E-2</v>
      </c>
      <c r="N707" t="e">
        <v>#N/A</v>
      </c>
      <c r="O707" t="e">
        <v>#N/A</v>
      </c>
    </row>
    <row r="708" spans="1:15" x14ac:dyDescent="0.25">
      <c r="A708" t="s">
        <v>3</v>
      </c>
      <c r="B708" t="s">
        <v>24</v>
      </c>
      <c r="C708" s="3" t="str">
        <f>IF($B708="GW1",VLOOKUP($A708,Matches!$A:$AC,2,FALSE),IF($B708="GW2",VLOOKUP($A708,Matches!$A:$AC,9,FALSE),IF($B708="GW3",VLOOKUP($A708,Matches!$A:$AC,16,FALSE))))</f>
        <v>Leeds</v>
      </c>
      <c r="D708" s="6">
        <v>0.72453267642370667</v>
      </c>
      <c r="E708" s="6">
        <v>0.10933263360447824</v>
      </c>
      <c r="F708" s="6">
        <v>0.61520004281922847</v>
      </c>
      <c r="G708" s="3" t="s">
        <v>1</v>
      </c>
      <c r="H708">
        <v>0.591540964</v>
      </c>
      <c r="I708">
        <v>0.21164021199999999</v>
      </c>
      <c r="J708">
        <v>0.112044818</v>
      </c>
      <c r="K708">
        <v>0.5</v>
      </c>
      <c r="L708">
        <v>0.171686747</v>
      </c>
      <c r="M708">
        <v>1.9268489999999999E-2</v>
      </c>
      <c r="N708" t="e">
        <v>#N/A</v>
      </c>
      <c r="O708" t="e">
        <v>#N/A</v>
      </c>
    </row>
    <row r="709" spans="1:15" x14ac:dyDescent="0.25">
      <c r="A709" t="s">
        <v>4</v>
      </c>
      <c r="B709" t="s">
        <v>24</v>
      </c>
      <c r="C709" s="3" t="str">
        <f>IF($B709="GW1",VLOOKUP($A709,Matches!$A:$AC,2,FALSE),IF($B709="GW2",VLOOKUP($A709,Matches!$A:$AC,9,FALSE),IF($B709="GW3",VLOOKUP($A709,Matches!$A:$AC,16,FALSE))))</f>
        <v>Brentford</v>
      </c>
      <c r="D709" s="6">
        <v>0.45156920298035674</v>
      </c>
      <c r="E709" s="6">
        <v>0.28555111364934321</v>
      </c>
      <c r="F709" s="6">
        <v>0.16601808933101353</v>
      </c>
      <c r="G709" s="3" t="s">
        <v>0</v>
      </c>
      <c r="H709" t="e">
        <v>#N/A</v>
      </c>
      <c r="I709" t="e">
        <v>#N/A</v>
      </c>
      <c r="J709">
        <v>0.15873015900000001</v>
      </c>
      <c r="K709">
        <v>0.29039301299999998</v>
      </c>
      <c r="L709">
        <v>0.35467980300000002</v>
      </c>
      <c r="M709">
        <v>5.0949051000000002E-2</v>
      </c>
      <c r="N709">
        <v>0.57372346500000004</v>
      </c>
      <c r="O709">
        <v>8.6580087E-2</v>
      </c>
    </row>
    <row r="710" spans="1:15" x14ac:dyDescent="0.25">
      <c r="A710" t="s">
        <v>4</v>
      </c>
      <c r="B710" t="s">
        <v>24</v>
      </c>
      <c r="C710" s="3" t="str">
        <f>IF($B710="GW1",VLOOKUP($A710,Matches!$A:$AC,2,FALSE),IF($B710="GW2",VLOOKUP($A710,Matches!$A:$AC,9,FALSE),IF($B710="GW3",VLOOKUP($A710,Matches!$A:$AC,16,FALSE))))</f>
        <v>Brentford</v>
      </c>
      <c r="D710" s="6">
        <v>0.45156920298035674</v>
      </c>
      <c r="E710" s="6">
        <v>0.28555111364934321</v>
      </c>
      <c r="F710" s="6">
        <v>0.16601808933101353</v>
      </c>
      <c r="G710" s="3" t="s">
        <v>0</v>
      </c>
      <c r="H710" t="e">
        <v>#N/A</v>
      </c>
      <c r="I710" t="e">
        <v>#N/A</v>
      </c>
      <c r="J710">
        <v>8.6580087E-2</v>
      </c>
      <c r="K710">
        <v>0.29039301299999998</v>
      </c>
      <c r="L710">
        <v>0.35467980300000002</v>
      </c>
      <c r="M710">
        <v>5.0949051000000002E-2</v>
      </c>
      <c r="N710" t="e">
        <v>#N/A</v>
      </c>
      <c r="O710" t="e">
        <v>#N/A</v>
      </c>
    </row>
    <row r="711" spans="1:15" x14ac:dyDescent="0.25">
      <c r="A711" t="s">
        <v>4</v>
      </c>
      <c r="B711" t="s">
        <v>24</v>
      </c>
      <c r="C711" s="3" t="str">
        <f>IF($B711="GW1",VLOOKUP($A711,Matches!$A:$AC,2,FALSE),IF($B711="GW2",VLOOKUP($A711,Matches!$A:$AC,9,FALSE),IF($B711="GW3",VLOOKUP($A711,Matches!$A:$AC,16,FALSE))))</f>
        <v>Brentford</v>
      </c>
      <c r="D711" s="6">
        <v>0.45156920298035674</v>
      </c>
      <c r="E711" s="6">
        <v>0.28555111364934321</v>
      </c>
      <c r="F711" s="6">
        <v>0.16601808933101353</v>
      </c>
      <c r="G711" s="3" t="s">
        <v>0</v>
      </c>
      <c r="H711" t="e">
        <v>#N/A</v>
      </c>
      <c r="I711" t="e">
        <v>#N/A</v>
      </c>
      <c r="J711">
        <v>0.126984127</v>
      </c>
      <c r="K711">
        <v>0.29039301299999998</v>
      </c>
      <c r="L711">
        <v>0.35467980300000002</v>
      </c>
      <c r="M711">
        <v>5.0949051000000002E-2</v>
      </c>
      <c r="N711" t="e">
        <v>#N/A</v>
      </c>
      <c r="O711" t="e">
        <v>#N/A</v>
      </c>
    </row>
    <row r="712" spans="1:15" x14ac:dyDescent="0.25">
      <c r="A712" t="s">
        <v>4</v>
      </c>
      <c r="B712" t="s">
        <v>24</v>
      </c>
      <c r="C712" s="3" t="str">
        <f>IF($B712="GW1",VLOOKUP($A712,Matches!$A:$AC,2,FALSE),IF($B712="GW2",VLOOKUP($A712,Matches!$A:$AC,9,FALSE),IF($B712="GW3",VLOOKUP($A712,Matches!$A:$AC,16,FALSE))))</f>
        <v>Brentford</v>
      </c>
      <c r="D712" s="6">
        <v>0.45156920298035674</v>
      </c>
      <c r="E712" s="6">
        <v>0.28555111364934321</v>
      </c>
      <c r="F712" s="6">
        <v>0.16601808933101353</v>
      </c>
      <c r="G712" s="3" t="s">
        <v>0</v>
      </c>
      <c r="H712" t="e">
        <v>#N/A</v>
      </c>
      <c r="I712" t="e">
        <v>#N/A</v>
      </c>
      <c r="J712" t="e">
        <v>#N/A</v>
      </c>
      <c r="K712">
        <v>0.29039301299999998</v>
      </c>
      <c r="L712">
        <v>0.35467980300000002</v>
      </c>
      <c r="M712">
        <v>5.0949051000000002E-2</v>
      </c>
      <c r="N712" t="e">
        <v>#N/A</v>
      </c>
      <c r="O712" t="e">
        <v>#N/A</v>
      </c>
    </row>
    <row r="713" spans="1:15" x14ac:dyDescent="0.25">
      <c r="A713" t="s">
        <v>4</v>
      </c>
      <c r="B713" t="s">
        <v>24</v>
      </c>
      <c r="C713" s="3" t="str">
        <f>IF($B713="GW1",VLOOKUP($A713,Matches!$A:$AC,2,FALSE),IF($B713="GW2",VLOOKUP($A713,Matches!$A:$AC,9,FALSE),IF($B713="GW3",VLOOKUP($A713,Matches!$A:$AC,16,FALSE))))</f>
        <v>Brentford</v>
      </c>
      <c r="D713" s="6">
        <v>0.45156920298035674</v>
      </c>
      <c r="E713" s="6">
        <v>0.28555111364934321</v>
      </c>
      <c r="F713" s="6">
        <v>0.16601808933101353</v>
      </c>
      <c r="G713" s="3" t="s">
        <v>0</v>
      </c>
      <c r="H713">
        <v>0.13605442200000001</v>
      </c>
      <c r="I713">
        <v>8.6580087E-2</v>
      </c>
      <c r="J713">
        <v>0.297619048</v>
      </c>
      <c r="K713">
        <v>0.29039301299999998</v>
      </c>
      <c r="L713">
        <v>0.35467980300000002</v>
      </c>
      <c r="M713">
        <v>5.0949051000000002E-2</v>
      </c>
      <c r="N713" t="e">
        <v>#N/A</v>
      </c>
      <c r="O713" t="e">
        <v>#N/A</v>
      </c>
    </row>
    <row r="714" spans="1:15" x14ac:dyDescent="0.25">
      <c r="A714" t="s">
        <v>4</v>
      </c>
      <c r="B714" t="s">
        <v>24</v>
      </c>
      <c r="C714" s="3" t="str">
        <f>IF($B714="GW1",VLOOKUP($A714,Matches!$A:$AC,2,FALSE),IF($B714="GW2",VLOOKUP($A714,Matches!$A:$AC,9,FALSE),IF($B714="GW3",VLOOKUP($A714,Matches!$A:$AC,16,FALSE))))</f>
        <v>Brentford</v>
      </c>
      <c r="D714" s="6">
        <v>0.45156920298035674</v>
      </c>
      <c r="E714" s="6">
        <v>0.28555111364934321</v>
      </c>
      <c r="F714" s="6">
        <v>0.16601808933101353</v>
      </c>
      <c r="G714" s="3" t="s">
        <v>0</v>
      </c>
      <c r="H714">
        <v>7.9365079000000005E-2</v>
      </c>
      <c r="I714">
        <v>0.15873015900000001</v>
      </c>
      <c r="J714">
        <v>0.297619048</v>
      </c>
      <c r="K714">
        <v>0.29039301299999998</v>
      </c>
      <c r="L714">
        <v>0.35467980300000002</v>
      </c>
      <c r="M714">
        <v>5.0949051000000002E-2</v>
      </c>
      <c r="N714" t="e">
        <v>#N/A</v>
      </c>
      <c r="O714" t="e">
        <v>#N/A</v>
      </c>
    </row>
    <row r="715" spans="1:15" x14ac:dyDescent="0.25">
      <c r="A715" t="s">
        <v>4</v>
      </c>
      <c r="B715" t="s">
        <v>24</v>
      </c>
      <c r="C715" s="3" t="str">
        <f>IF($B715="GW1",VLOOKUP($A715,Matches!$A:$AC,2,FALSE),IF($B715="GW2",VLOOKUP($A715,Matches!$A:$AC,9,FALSE),IF($B715="GW3",VLOOKUP($A715,Matches!$A:$AC,16,FALSE))))</f>
        <v>Brentford</v>
      </c>
      <c r="D715" s="6">
        <v>0.45156920298035674</v>
      </c>
      <c r="E715" s="6">
        <v>0.28555111364934321</v>
      </c>
      <c r="F715" s="6">
        <v>0.16601808933101353</v>
      </c>
      <c r="G715" s="3" t="s">
        <v>0</v>
      </c>
      <c r="H715" t="e">
        <v>#N/A</v>
      </c>
      <c r="I715" t="e">
        <v>#N/A</v>
      </c>
      <c r="J715" t="e">
        <v>#N/A</v>
      </c>
      <c r="K715">
        <v>0.29039301299999998</v>
      </c>
      <c r="L715">
        <v>0.35467980300000002</v>
      </c>
      <c r="M715">
        <v>5.0949051000000002E-2</v>
      </c>
      <c r="N715" t="e">
        <v>#N/A</v>
      </c>
      <c r="O715" t="e">
        <v>#N/A</v>
      </c>
    </row>
    <row r="716" spans="1:15" x14ac:dyDescent="0.25">
      <c r="A716" t="s">
        <v>4</v>
      </c>
      <c r="B716" t="s">
        <v>24</v>
      </c>
      <c r="C716" s="3" t="str">
        <f>IF($B716="GW1",VLOOKUP($A716,Matches!$A:$AC,2,FALSE),IF($B716="GW2",VLOOKUP($A716,Matches!$A:$AC,9,FALSE),IF($B716="GW3",VLOOKUP($A716,Matches!$A:$AC,16,FALSE))))</f>
        <v>Brentford</v>
      </c>
      <c r="D716" s="6">
        <v>0.45156920298035674</v>
      </c>
      <c r="E716" s="6">
        <v>0.28555111364934321</v>
      </c>
      <c r="F716" s="6">
        <v>0.16601808933101353</v>
      </c>
      <c r="G716" s="3" t="s">
        <v>0</v>
      </c>
      <c r="H716">
        <v>0.112044818</v>
      </c>
      <c r="I716">
        <v>0.15873015900000001</v>
      </c>
      <c r="J716">
        <v>0.346320346</v>
      </c>
      <c r="K716">
        <v>0.29039301299999998</v>
      </c>
      <c r="L716">
        <v>0.35467980300000002</v>
      </c>
      <c r="M716">
        <v>5.0949051000000002E-2</v>
      </c>
      <c r="N716" t="e">
        <v>#N/A</v>
      </c>
      <c r="O716" t="e">
        <v>#N/A</v>
      </c>
    </row>
    <row r="717" spans="1:15" x14ac:dyDescent="0.25">
      <c r="A717" t="s">
        <v>4</v>
      </c>
      <c r="B717" t="s">
        <v>24</v>
      </c>
      <c r="C717" s="3" t="str">
        <f>IF($B717="GW1",VLOOKUP($A717,Matches!$A:$AC,2,FALSE),IF($B717="GW2",VLOOKUP($A717,Matches!$A:$AC,9,FALSE),IF($B717="GW3",VLOOKUP($A717,Matches!$A:$AC,16,FALSE))))</f>
        <v>Brentford</v>
      </c>
      <c r="D717" s="6">
        <v>0.45156920298035674</v>
      </c>
      <c r="E717" s="6">
        <v>0.28555111364934321</v>
      </c>
      <c r="F717" s="6">
        <v>0.16601808933101353</v>
      </c>
      <c r="G717" s="3" t="s">
        <v>0</v>
      </c>
      <c r="H717">
        <v>7.9365079000000005E-2</v>
      </c>
      <c r="I717">
        <v>4.5351474000000003E-2</v>
      </c>
      <c r="J717">
        <v>0.31746031699999999</v>
      </c>
      <c r="K717">
        <v>0.29039301299999998</v>
      </c>
      <c r="L717">
        <v>0.35467980300000002</v>
      </c>
      <c r="M717">
        <v>5.0949051000000002E-2</v>
      </c>
      <c r="N717" t="e">
        <v>#N/A</v>
      </c>
      <c r="O717" t="e">
        <v>#N/A</v>
      </c>
    </row>
    <row r="718" spans="1:15" x14ac:dyDescent="0.25">
      <c r="A718" t="s">
        <v>4</v>
      </c>
      <c r="B718" t="s">
        <v>24</v>
      </c>
      <c r="C718" s="3" t="str">
        <f>IF($B718="GW1",VLOOKUP($A718,Matches!$A:$AC,2,FALSE),IF($B718="GW2",VLOOKUP($A718,Matches!$A:$AC,9,FALSE),IF($B718="GW3",VLOOKUP($A718,Matches!$A:$AC,16,FALSE))))</f>
        <v>Brentford</v>
      </c>
      <c r="D718" s="6">
        <v>0.45156920298035674</v>
      </c>
      <c r="E718" s="6">
        <v>0.28555111364934321</v>
      </c>
      <c r="F718" s="6">
        <v>0.16601808933101353</v>
      </c>
      <c r="G718" s="3" t="s">
        <v>0</v>
      </c>
      <c r="H718">
        <v>7.9365079000000005E-2</v>
      </c>
      <c r="I718">
        <v>3.6630036999999997E-2</v>
      </c>
      <c r="J718">
        <v>0.15873015900000001</v>
      </c>
      <c r="K718">
        <v>0.29039301299999998</v>
      </c>
      <c r="L718">
        <v>0.35467980300000002</v>
      </c>
      <c r="M718">
        <v>5.0949051000000002E-2</v>
      </c>
      <c r="N718" t="e">
        <v>#N/A</v>
      </c>
      <c r="O718" t="e">
        <v>#N/A</v>
      </c>
    </row>
    <row r="719" spans="1:15" x14ac:dyDescent="0.25">
      <c r="A719" t="s">
        <v>4</v>
      </c>
      <c r="B719" t="s">
        <v>24</v>
      </c>
      <c r="C719" s="3" t="str">
        <f>IF($B719="GW1",VLOOKUP($A719,Matches!$A:$AC,2,FALSE),IF($B719="GW2",VLOOKUP($A719,Matches!$A:$AC,9,FALSE),IF($B719="GW3",VLOOKUP($A719,Matches!$A:$AC,16,FALSE))))</f>
        <v>Brentford</v>
      </c>
      <c r="D719" s="6">
        <v>0.45156920298035674</v>
      </c>
      <c r="E719" s="6">
        <v>0.28555111364934321</v>
      </c>
      <c r="F719" s="6">
        <v>0.16601808933101353</v>
      </c>
      <c r="G719" s="3" t="s">
        <v>0</v>
      </c>
      <c r="H719" t="e">
        <v>#N/A</v>
      </c>
      <c r="I719" t="e">
        <v>#N/A</v>
      </c>
      <c r="J719" t="e">
        <v>#N/A</v>
      </c>
      <c r="K719">
        <v>0.29039301299999998</v>
      </c>
      <c r="L719">
        <v>0.35467980300000002</v>
      </c>
      <c r="M719">
        <v>5.0949051000000002E-2</v>
      </c>
      <c r="N719" t="e">
        <v>#N/A</v>
      </c>
      <c r="O719" t="e">
        <v>#N/A</v>
      </c>
    </row>
    <row r="720" spans="1:15" x14ac:dyDescent="0.25">
      <c r="A720" t="s">
        <v>4</v>
      </c>
      <c r="B720" t="s">
        <v>24</v>
      </c>
      <c r="C720" s="3" t="str">
        <f>IF($B720="GW1",VLOOKUP($A720,Matches!$A:$AC,2,FALSE),IF($B720="GW2",VLOOKUP($A720,Matches!$A:$AC,9,FALSE),IF($B720="GW3",VLOOKUP($A720,Matches!$A:$AC,16,FALSE))))</f>
        <v>Brentford</v>
      </c>
      <c r="D720" s="6">
        <v>0.45156920298035674</v>
      </c>
      <c r="E720" s="6">
        <v>0.28555111364934321</v>
      </c>
      <c r="F720" s="6">
        <v>0.16601808933101353</v>
      </c>
      <c r="G720" s="3" t="s">
        <v>0</v>
      </c>
      <c r="H720" t="e">
        <v>#N/A</v>
      </c>
      <c r="I720" t="e">
        <v>#N/A</v>
      </c>
      <c r="J720" t="e">
        <v>#N/A</v>
      </c>
      <c r="K720">
        <v>0.29039301299999998</v>
      </c>
      <c r="L720">
        <v>0.35467980300000002</v>
      </c>
      <c r="M720">
        <v>5.0949051000000002E-2</v>
      </c>
      <c r="N720" t="e">
        <v>#N/A</v>
      </c>
      <c r="O720" t="e">
        <v>#N/A</v>
      </c>
    </row>
    <row r="721" spans="1:15" x14ac:dyDescent="0.25">
      <c r="A721" t="s">
        <v>4</v>
      </c>
      <c r="B721" t="s">
        <v>24</v>
      </c>
      <c r="C721" s="3" t="str">
        <f>IF($B721="GW1",VLOOKUP($A721,Matches!$A:$AC,2,FALSE),IF($B721="GW2",VLOOKUP($A721,Matches!$A:$AC,9,FALSE),IF($B721="GW3",VLOOKUP($A721,Matches!$A:$AC,16,FALSE))))</f>
        <v>Brentford</v>
      </c>
      <c r="D721" s="6">
        <v>0.45156920298035674</v>
      </c>
      <c r="E721" s="6">
        <v>0.28555111364934321</v>
      </c>
      <c r="F721" s="6">
        <v>0.16601808933101353</v>
      </c>
      <c r="G721" s="3" t="s">
        <v>0</v>
      </c>
      <c r="H721">
        <v>0.112044818</v>
      </c>
      <c r="I721">
        <v>5.6022409000000002E-2</v>
      </c>
      <c r="J721">
        <v>0.297619048</v>
      </c>
      <c r="K721">
        <v>0.29039301299999998</v>
      </c>
      <c r="L721">
        <v>0.35467980300000002</v>
      </c>
      <c r="M721">
        <v>5.0949051000000002E-2</v>
      </c>
      <c r="N721" t="e">
        <v>#N/A</v>
      </c>
      <c r="O721" t="e">
        <v>#N/A</v>
      </c>
    </row>
    <row r="722" spans="1:15" x14ac:dyDescent="0.25">
      <c r="A722" t="s">
        <v>4</v>
      </c>
      <c r="B722" t="s">
        <v>24</v>
      </c>
      <c r="C722" s="3" t="str">
        <f>IF($B722="GW1",VLOOKUP($A722,Matches!$A:$AC,2,FALSE),IF($B722="GW2",VLOOKUP($A722,Matches!$A:$AC,9,FALSE),IF($B722="GW3",VLOOKUP($A722,Matches!$A:$AC,16,FALSE))))</f>
        <v>Brentford</v>
      </c>
      <c r="D722" s="6">
        <v>0.45156920298035674</v>
      </c>
      <c r="E722" s="6">
        <v>0.28555111364934321</v>
      </c>
      <c r="F722" s="6">
        <v>0.16601808933101353</v>
      </c>
      <c r="G722" s="3" t="s">
        <v>0</v>
      </c>
      <c r="H722" t="e">
        <v>#N/A</v>
      </c>
      <c r="I722" t="e">
        <v>#N/A</v>
      </c>
      <c r="J722" t="e">
        <v>#N/A</v>
      </c>
      <c r="K722">
        <v>0.29039301299999998</v>
      </c>
      <c r="L722">
        <v>0.35467980300000002</v>
      </c>
      <c r="M722">
        <v>5.0949051000000002E-2</v>
      </c>
      <c r="N722" t="e">
        <v>#N/A</v>
      </c>
      <c r="O722" t="e">
        <v>#N/A</v>
      </c>
    </row>
    <row r="723" spans="1:15" x14ac:dyDescent="0.25">
      <c r="A723" t="s">
        <v>4</v>
      </c>
      <c r="B723" t="s">
        <v>24</v>
      </c>
      <c r="C723" s="3" t="str">
        <f>IF($B723="GW1",VLOOKUP($A723,Matches!$A:$AC,2,FALSE),IF($B723="GW2",VLOOKUP($A723,Matches!$A:$AC,9,FALSE),IF($B723="GW3",VLOOKUP($A723,Matches!$A:$AC,16,FALSE))))</f>
        <v>Brentford</v>
      </c>
      <c r="D723" s="6">
        <v>0.45156920298035674</v>
      </c>
      <c r="E723" s="6">
        <v>0.28555111364934321</v>
      </c>
      <c r="F723" s="6">
        <v>0.16601808933101353</v>
      </c>
      <c r="G723" s="3" t="s">
        <v>0</v>
      </c>
      <c r="H723" t="e">
        <v>#N/A</v>
      </c>
      <c r="I723" t="e">
        <v>#N/A</v>
      </c>
      <c r="J723" t="e">
        <v>#N/A</v>
      </c>
      <c r="K723">
        <v>0.29039301299999998</v>
      </c>
      <c r="L723">
        <v>0.35467980300000002</v>
      </c>
      <c r="M723">
        <v>5.0949051000000002E-2</v>
      </c>
      <c r="N723" t="e">
        <v>#N/A</v>
      </c>
      <c r="O723" t="e">
        <v>#N/A</v>
      </c>
    </row>
    <row r="724" spans="1:15" x14ac:dyDescent="0.25">
      <c r="A724" t="s">
        <v>4</v>
      </c>
      <c r="B724" t="s">
        <v>24</v>
      </c>
      <c r="C724" s="3" t="str">
        <f>IF($B724="GW1",VLOOKUP($A724,Matches!$A:$AC,2,FALSE),IF($B724="GW2",VLOOKUP($A724,Matches!$A:$AC,9,FALSE),IF($B724="GW3",VLOOKUP($A724,Matches!$A:$AC,16,FALSE))))</f>
        <v>Brentford</v>
      </c>
      <c r="D724" s="6">
        <v>0.45156920298035674</v>
      </c>
      <c r="E724" s="6">
        <v>0.28555111364934321</v>
      </c>
      <c r="F724" s="6">
        <v>0.16601808933101353</v>
      </c>
      <c r="G724" s="3" t="s">
        <v>0</v>
      </c>
      <c r="H724">
        <v>0.297619048</v>
      </c>
      <c r="I724">
        <v>0.19047618999999999</v>
      </c>
      <c r="J724">
        <v>0.26455026500000001</v>
      </c>
      <c r="K724">
        <v>0.29039301299999998</v>
      </c>
      <c r="L724">
        <v>0.35467980300000002</v>
      </c>
      <c r="M724">
        <v>5.0949051000000002E-2</v>
      </c>
      <c r="N724" t="e">
        <v>#N/A</v>
      </c>
      <c r="O724" t="e">
        <v>#N/A</v>
      </c>
    </row>
    <row r="725" spans="1:15" x14ac:dyDescent="0.25">
      <c r="A725" t="s">
        <v>4</v>
      </c>
      <c r="B725" t="s">
        <v>24</v>
      </c>
      <c r="C725" s="3" t="str">
        <f>IF($B725="GW1",VLOOKUP($A725,Matches!$A:$AC,2,FALSE),IF($B725="GW2",VLOOKUP($A725,Matches!$A:$AC,9,FALSE),IF($B725="GW3",VLOOKUP($A725,Matches!$A:$AC,16,FALSE))))</f>
        <v>Brentford</v>
      </c>
      <c r="D725" s="6">
        <v>0.45156920298035674</v>
      </c>
      <c r="E725" s="6">
        <v>0.28555111364934321</v>
      </c>
      <c r="F725" s="6">
        <v>0.16601808933101353</v>
      </c>
      <c r="G725" s="3" t="s">
        <v>0</v>
      </c>
      <c r="H725">
        <v>0.14652014699999999</v>
      </c>
      <c r="I725">
        <v>0.15873015900000001</v>
      </c>
      <c r="J725">
        <v>0.26455026500000001</v>
      </c>
      <c r="K725">
        <v>0.29039301299999998</v>
      </c>
      <c r="L725">
        <v>0.35467980300000002</v>
      </c>
      <c r="M725">
        <v>5.0949051000000002E-2</v>
      </c>
      <c r="N725" t="e">
        <v>#N/A</v>
      </c>
      <c r="O725" t="e">
        <v>#N/A</v>
      </c>
    </row>
    <row r="726" spans="1:15" x14ac:dyDescent="0.25">
      <c r="A726" t="s">
        <v>4</v>
      </c>
      <c r="B726" t="s">
        <v>24</v>
      </c>
      <c r="C726" s="3" t="str">
        <f>IF($B726="GW1",VLOOKUP($A726,Matches!$A:$AC,2,FALSE),IF($B726="GW2",VLOOKUP($A726,Matches!$A:$AC,9,FALSE),IF($B726="GW3",VLOOKUP($A726,Matches!$A:$AC,16,FALSE))))</f>
        <v>Brentford</v>
      </c>
      <c r="D726" s="6">
        <v>0.45156920298035674</v>
      </c>
      <c r="E726" s="6">
        <v>0.28555111364934321</v>
      </c>
      <c r="F726" s="6">
        <v>0.16601808933101353</v>
      </c>
      <c r="G726" s="3" t="s">
        <v>0</v>
      </c>
      <c r="H726">
        <v>0.21164021199999999</v>
      </c>
      <c r="I726">
        <v>0.173160173</v>
      </c>
      <c r="J726">
        <v>0.26455026500000001</v>
      </c>
      <c r="K726">
        <v>0.29039301299999998</v>
      </c>
      <c r="L726">
        <v>0.35467980300000002</v>
      </c>
      <c r="M726">
        <v>5.0949051000000002E-2</v>
      </c>
      <c r="N726" t="e">
        <v>#N/A</v>
      </c>
      <c r="O726" t="e">
        <v>#N/A</v>
      </c>
    </row>
    <row r="727" spans="1:15" x14ac:dyDescent="0.25">
      <c r="A727" t="s">
        <v>4</v>
      </c>
      <c r="B727" t="s">
        <v>24</v>
      </c>
      <c r="C727" s="3" t="str">
        <f>IF($B727="GW1",VLOOKUP($A727,Matches!$A:$AC,2,FALSE),IF($B727="GW2",VLOOKUP($A727,Matches!$A:$AC,9,FALSE),IF($B727="GW3",VLOOKUP($A727,Matches!$A:$AC,16,FALSE))))</f>
        <v>Brentford</v>
      </c>
      <c r="D727" s="6">
        <v>0.45156920298035674</v>
      </c>
      <c r="E727" s="6">
        <v>0.28555111364934321</v>
      </c>
      <c r="F727" s="6">
        <v>0.16601808933101353</v>
      </c>
      <c r="G727" s="3" t="s">
        <v>0</v>
      </c>
      <c r="H727" t="e">
        <v>#N/A</v>
      </c>
      <c r="I727" t="e">
        <v>#N/A</v>
      </c>
      <c r="J727" t="e">
        <v>#N/A</v>
      </c>
      <c r="K727">
        <v>0.29039301299999998</v>
      </c>
      <c r="L727">
        <v>0.35467980300000002</v>
      </c>
      <c r="M727">
        <v>5.0949051000000002E-2</v>
      </c>
      <c r="N727" t="e">
        <v>#N/A</v>
      </c>
      <c r="O727" t="e">
        <v>#N/A</v>
      </c>
    </row>
    <row r="728" spans="1:15" x14ac:dyDescent="0.25">
      <c r="A728" t="s">
        <v>4</v>
      </c>
      <c r="B728" t="s">
        <v>24</v>
      </c>
      <c r="C728" s="3" t="str">
        <f>IF($B728="GW1",VLOOKUP($A728,Matches!$A:$AC,2,FALSE),IF($B728="GW2",VLOOKUP($A728,Matches!$A:$AC,9,FALSE),IF($B728="GW3",VLOOKUP($A728,Matches!$A:$AC,16,FALSE))))</f>
        <v>Brentford</v>
      </c>
      <c r="D728" s="6">
        <v>0.45156920298035674</v>
      </c>
      <c r="E728" s="6">
        <v>0.28555111364934321</v>
      </c>
      <c r="F728" s="6">
        <v>0.16601808933101353</v>
      </c>
      <c r="G728" s="3" t="s">
        <v>0</v>
      </c>
      <c r="H728">
        <v>0.19047618999999999</v>
      </c>
      <c r="I728">
        <v>0.15873015900000001</v>
      </c>
      <c r="J728">
        <v>0.346320346</v>
      </c>
      <c r="K728">
        <v>0.29039301299999998</v>
      </c>
      <c r="L728">
        <v>0.35467980300000002</v>
      </c>
      <c r="M728">
        <v>5.0949051000000002E-2</v>
      </c>
      <c r="N728" t="e">
        <v>#N/A</v>
      </c>
      <c r="O728" t="e">
        <v>#N/A</v>
      </c>
    </row>
    <row r="729" spans="1:15" x14ac:dyDescent="0.25">
      <c r="A729" t="s">
        <v>4</v>
      </c>
      <c r="B729" t="s">
        <v>24</v>
      </c>
      <c r="C729" s="3" t="str">
        <f>IF($B729="GW1",VLOOKUP($A729,Matches!$A:$AC,2,FALSE),IF($B729="GW2",VLOOKUP($A729,Matches!$A:$AC,9,FALSE),IF($B729="GW3",VLOOKUP($A729,Matches!$A:$AC,16,FALSE))))</f>
        <v>Brentford</v>
      </c>
      <c r="D729" s="6">
        <v>0.45156920298035674</v>
      </c>
      <c r="E729" s="6">
        <v>0.28555111364934321</v>
      </c>
      <c r="F729" s="6">
        <v>0.16601808933101353</v>
      </c>
      <c r="G729" s="3" t="s">
        <v>0</v>
      </c>
      <c r="H729">
        <v>0.14652014699999999</v>
      </c>
      <c r="I729">
        <v>0.11904761899999999</v>
      </c>
      <c r="J729">
        <v>0.15873015900000001</v>
      </c>
      <c r="K729">
        <v>0.29039301299999998</v>
      </c>
      <c r="L729">
        <v>0.35467980300000002</v>
      </c>
      <c r="M729">
        <v>5.0949051000000002E-2</v>
      </c>
      <c r="N729" t="e">
        <v>#N/A</v>
      </c>
      <c r="O729" t="e">
        <v>#N/A</v>
      </c>
    </row>
    <row r="730" spans="1:15" x14ac:dyDescent="0.25">
      <c r="A730" t="s">
        <v>4</v>
      </c>
      <c r="B730" t="s">
        <v>24</v>
      </c>
      <c r="C730" s="3" t="str">
        <f>IF($B730="GW1",VLOOKUP($A730,Matches!$A:$AC,2,FALSE),IF($B730="GW2",VLOOKUP($A730,Matches!$A:$AC,9,FALSE),IF($B730="GW3",VLOOKUP($A730,Matches!$A:$AC,16,FALSE))))</f>
        <v>Brentford</v>
      </c>
      <c r="D730" s="6">
        <v>0.45156920298035674</v>
      </c>
      <c r="E730" s="6">
        <v>0.28555111364934321</v>
      </c>
      <c r="F730" s="6">
        <v>0.16601808933101353</v>
      </c>
      <c r="G730" s="3" t="s">
        <v>0</v>
      </c>
      <c r="H730">
        <v>0.253968254</v>
      </c>
      <c r="I730">
        <v>0.13605442200000001</v>
      </c>
      <c r="J730">
        <v>0.20050125299999999</v>
      </c>
      <c r="K730">
        <v>0.29039301299999998</v>
      </c>
      <c r="L730">
        <v>0.35467980300000002</v>
      </c>
      <c r="M730">
        <v>5.0949051000000002E-2</v>
      </c>
      <c r="N730" t="e">
        <v>#N/A</v>
      </c>
      <c r="O730" t="e">
        <v>#N/A</v>
      </c>
    </row>
    <row r="731" spans="1:15" x14ac:dyDescent="0.25">
      <c r="A731" t="s">
        <v>4</v>
      </c>
      <c r="B731" t="s">
        <v>24</v>
      </c>
      <c r="C731" s="3" t="str">
        <f>IF($B731="GW1",VLOOKUP($A731,Matches!$A:$AC,2,FALSE),IF($B731="GW2",VLOOKUP($A731,Matches!$A:$AC,9,FALSE),IF($B731="GW3",VLOOKUP($A731,Matches!$A:$AC,16,FALSE))))</f>
        <v>Brentford</v>
      </c>
      <c r="D731" s="6">
        <v>0.45156920298035674</v>
      </c>
      <c r="E731" s="6">
        <v>0.28555111364934321</v>
      </c>
      <c r="F731" s="6">
        <v>0.16601808933101353</v>
      </c>
      <c r="G731" s="3" t="s">
        <v>0</v>
      </c>
      <c r="H731">
        <v>0.19047618999999999</v>
      </c>
      <c r="I731">
        <v>0.11904761899999999</v>
      </c>
      <c r="J731">
        <v>0.31746031699999999</v>
      </c>
      <c r="K731">
        <v>0.29039301299999998</v>
      </c>
      <c r="L731">
        <v>0.35467980300000002</v>
      </c>
      <c r="M731">
        <v>5.0949051000000002E-2</v>
      </c>
      <c r="N731" t="e">
        <v>#N/A</v>
      </c>
      <c r="O731" t="e">
        <v>#N/A</v>
      </c>
    </row>
    <row r="732" spans="1:15" x14ac:dyDescent="0.25">
      <c r="A732" t="s">
        <v>4</v>
      </c>
      <c r="B732" t="s">
        <v>24</v>
      </c>
      <c r="C732" s="3" t="str">
        <f>IF($B732="GW1",VLOOKUP($A732,Matches!$A:$AC,2,FALSE),IF($B732="GW2",VLOOKUP($A732,Matches!$A:$AC,9,FALSE),IF($B732="GW3",VLOOKUP($A732,Matches!$A:$AC,16,FALSE))))</f>
        <v>Brentford</v>
      </c>
      <c r="D732" s="6">
        <v>0.45156920298035674</v>
      </c>
      <c r="E732" s="6">
        <v>0.28555111364934321</v>
      </c>
      <c r="F732" s="6">
        <v>0.16601808933101353</v>
      </c>
      <c r="G732" s="3" t="s">
        <v>0</v>
      </c>
      <c r="H732">
        <v>0.19047618999999999</v>
      </c>
      <c r="I732">
        <v>0.14652014699999999</v>
      </c>
      <c r="J732">
        <v>0.26455026500000001</v>
      </c>
      <c r="K732">
        <v>0.29039301299999998</v>
      </c>
      <c r="L732">
        <v>0.35467980300000002</v>
      </c>
      <c r="M732">
        <v>5.0949051000000002E-2</v>
      </c>
      <c r="N732" t="e">
        <v>#N/A</v>
      </c>
      <c r="O732" t="e">
        <v>#N/A</v>
      </c>
    </row>
    <row r="733" spans="1:15" x14ac:dyDescent="0.25">
      <c r="A733" t="s">
        <v>4</v>
      </c>
      <c r="B733" t="s">
        <v>24</v>
      </c>
      <c r="C733" s="3" t="str">
        <f>IF($B733="GW1",VLOOKUP($A733,Matches!$A:$AC,2,FALSE),IF($B733="GW2",VLOOKUP($A733,Matches!$A:$AC,9,FALSE),IF($B733="GW3",VLOOKUP($A733,Matches!$A:$AC,16,FALSE))))</f>
        <v>Brentford</v>
      </c>
      <c r="D733" s="6">
        <v>0.45156920298035674</v>
      </c>
      <c r="E733" s="6">
        <v>0.28555111364934321</v>
      </c>
      <c r="F733" s="6">
        <v>0.16601808933101353</v>
      </c>
      <c r="G733" s="3" t="s">
        <v>0</v>
      </c>
      <c r="H733" t="e">
        <v>#N/A</v>
      </c>
      <c r="I733" t="e">
        <v>#N/A</v>
      </c>
      <c r="J733" t="e">
        <v>#N/A</v>
      </c>
      <c r="K733">
        <v>0.29039301299999998</v>
      </c>
      <c r="L733">
        <v>0.35467980300000002</v>
      </c>
      <c r="M733">
        <v>5.0949051000000002E-2</v>
      </c>
      <c r="N733" t="e">
        <v>#N/A</v>
      </c>
      <c r="O733" t="e">
        <v>#N/A</v>
      </c>
    </row>
    <row r="734" spans="1:15" x14ac:dyDescent="0.25">
      <c r="A734" t="s">
        <v>4</v>
      </c>
      <c r="B734" t="s">
        <v>24</v>
      </c>
      <c r="C734" s="3" t="str">
        <f>IF($B734="GW1",VLOOKUP($A734,Matches!$A:$AC,2,FALSE),IF($B734="GW2",VLOOKUP($A734,Matches!$A:$AC,9,FALSE),IF($B734="GW3",VLOOKUP($A734,Matches!$A:$AC,16,FALSE))))</f>
        <v>Brentford</v>
      </c>
      <c r="D734" s="6">
        <v>0.45156920298035674</v>
      </c>
      <c r="E734" s="6">
        <v>0.28555111364934321</v>
      </c>
      <c r="F734" s="6">
        <v>0.16601808933101353</v>
      </c>
      <c r="G734" s="3" t="s">
        <v>0</v>
      </c>
      <c r="H734">
        <v>0.27210884400000002</v>
      </c>
      <c r="I734">
        <v>0.13605442200000001</v>
      </c>
      <c r="J734">
        <v>0.23809523799999999</v>
      </c>
      <c r="K734">
        <v>0.29039301299999998</v>
      </c>
      <c r="L734">
        <v>0.35467980300000002</v>
      </c>
      <c r="M734">
        <v>5.0949051000000002E-2</v>
      </c>
      <c r="N734" t="e">
        <v>#N/A</v>
      </c>
      <c r="O734" t="e">
        <v>#N/A</v>
      </c>
    </row>
    <row r="735" spans="1:15" x14ac:dyDescent="0.25">
      <c r="A735" t="s">
        <v>4</v>
      </c>
      <c r="B735" t="s">
        <v>24</v>
      </c>
      <c r="C735" s="3" t="str">
        <f>IF($B735="GW1",VLOOKUP($A735,Matches!$A:$AC,2,FALSE),IF($B735="GW2",VLOOKUP($A735,Matches!$A:$AC,9,FALSE),IF($B735="GW3",VLOOKUP($A735,Matches!$A:$AC,16,FALSE))))</f>
        <v>Brentford</v>
      </c>
      <c r="D735" s="6">
        <v>0.45156920298035674</v>
      </c>
      <c r="E735" s="6">
        <v>0.28555111364934321</v>
      </c>
      <c r="F735" s="6">
        <v>0.16601808933101353</v>
      </c>
      <c r="G735" s="3" t="s">
        <v>0</v>
      </c>
      <c r="H735">
        <v>8.6580087E-2</v>
      </c>
      <c r="I735">
        <v>8.6580087E-2</v>
      </c>
      <c r="J735">
        <v>0.36630036599999999</v>
      </c>
      <c r="K735">
        <v>0.29039301299999998</v>
      </c>
      <c r="L735">
        <v>0.35467980300000002</v>
      </c>
      <c r="M735">
        <v>5.0949051000000002E-2</v>
      </c>
      <c r="N735" t="e">
        <v>#N/A</v>
      </c>
      <c r="O735" t="e">
        <v>#N/A</v>
      </c>
    </row>
    <row r="736" spans="1:15" x14ac:dyDescent="0.25">
      <c r="A736" t="s">
        <v>4</v>
      </c>
      <c r="B736" t="s">
        <v>24</v>
      </c>
      <c r="C736" s="3" t="str">
        <f>IF($B736="GW1",VLOOKUP($A736,Matches!$A:$AC,2,FALSE),IF($B736="GW2",VLOOKUP($A736,Matches!$A:$AC,9,FALSE),IF($B736="GW3",VLOOKUP($A736,Matches!$A:$AC,16,FALSE))))</f>
        <v>Brentford</v>
      </c>
      <c r="D736" s="6">
        <v>0.45156920298035674</v>
      </c>
      <c r="E736" s="6">
        <v>0.28555111364934321</v>
      </c>
      <c r="F736" s="6">
        <v>0.16601808933101353</v>
      </c>
      <c r="G736" s="3" t="s">
        <v>0</v>
      </c>
      <c r="H736">
        <v>0.173160173</v>
      </c>
      <c r="I736">
        <v>7.3260072999999995E-2</v>
      </c>
      <c r="J736">
        <v>0.297619048</v>
      </c>
      <c r="K736">
        <v>0.29039301299999998</v>
      </c>
      <c r="L736">
        <v>0.35467980300000002</v>
      </c>
      <c r="M736">
        <v>5.0949051000000002E-2</v>
      </c>
      <c r="N736" t="e">
        <v>#N/A</v>
      </c>
      <c r="O736" t="e">
        <v>#N/A</v>
      </c>
    </row>
    <row r="737" spans="1:15" x14ac:dyDescent="0.25">
      <c r="A737" t="s">
        <v>4</v>
      </c>
      <c r="B737" t="s">
        <v>24</v>
      </c>
      <c r="C737" s="3" t="str">
        <f>IF($B737="GW1",VLOOKUP($A737,Matches!$A:$AC,2,FALSE),IF($B737="GW2",VLOOKUP($A737,Matches!$A:$AC,9,FALSE),IF($B737="GW3",VLOOKUP($A737,Matches!$A:$AC,16,FALSE))))</f>
        <v>Brentford</v>
      </c>
      <c r="D737" s="6">
        <v>0.45156920298035674</v>
      </c>
      <c r="E737" s="6">
        <v>0.28555111364934321</v>
      </c>
      <c r="F737" s="6">
        <v>0.16601808933101353</v>
      </c>
      <c r="G737" s="3" t="s">
        <v>0</v>
      </c>
      <c r="H737" t="e">
        <v>#N/A</v>
      </c>
      <c r="I737" t="e">
        <v>#N/A</v>
      </c>
      <c r="J737" t="e">
        <v>#N/A</v>
      </c>
      <c r="K737">
        <v>0.29039301299999998</v>
      </c>
      <c r="L737">
        <v>0.35467980300000002</v>
      </c>
      <c r="M737">
        <v>5.0949051000000002E-2</v>
      </c>
      <c r="N737" t="e">
        <v>#N/A</v>
      </c>
      <c r="O737" t="e">
        <v>#N/A</v>
      </c>
    </row>
    <row r="738" spans="1:15" x14ac:dyDescent="0.25">
      <c r="A738" t="s">
        <v>4</v>
      </c>
      <c r="B738" t="s">
        <v>24</v>
      </c>
      <c r="C738" s="3" t="str">
        <f>IF($B738="GW1",VLOOKUP($A738,Matches!$A:$AC,2,FALSE),IF($B738="GW2",VLOOKUP($A738,Matches!$A:$AC,9,FALSE),IF($B738="GW3",VLOOKUP($A738,Matches!$A:$AC,16,FALSE))))</f>
        <v>Brentford</v>
      </c>
      <c r="D738" s="6">
        <v>0.45156920298035674</v>
      </c>
      <c r="E738" s="6">
        <v>0.28555111364934321</v>
      </c>
      <c r="F738" s="6">
        <v>0.16601808933101353</v>
      </c>
      <c r="G738" s="3" t="s">
        <v>0</v>
      </c>
      <c r="H738" t="e">
        <v>#N/A</v>
      </c>
      <c r="I738" t="e">
        <v>#N/A</v>
      </c>
      <c r="J738" t="e">
        <v>#N/A</v>
      </c>
      <c r="K738">
        <v>0.29039301299999998</v>
      </c>
      <c r="L738">
        <v>0.35467980300000002</v>
      </c>
      <c r="M738">
        <v>5.0949051000000002E-2</v>
      </c>
      <c r="N738" t="e">
        <v>#N/A</v>
      </c>
      <c r="O738" t="e">
        <v>#N/A</v>
      </c>
    </row>
    <row r="739" spans="1:15" x14ac:dyDescent="0.25">
      <c r="A739" t="s">
        <v>4</v>
      </c>
      <c r="B739" t="s">
        <v>24</v>
      </c>
      <c r="C739" s="3" t="str">
        <f>IF($B739="GW1",VLOOKUP($A739,Matches!$A:$AC,2,FALSE),IF($B739="GW2",VLOOKUP($A739,Matches!$A:$AC,9,FALSE),IF($B739="GW3",VLOOKUP($A739,Matches!$A:$AC,16,FALSE))))</f>
        <v>Brentford</v>
      </c>
      <c r="D739" s="6">
        <v>0.45156920298035674</v>
      </c>
      <c r="E739" s="6">
        <v>0.28555111364934321</v>
      </c>
      <c r="F739" s="6">
        <v>0.16601808933101353</v>
      </c>
      <c r="G739" s="3" t="s">
        <v>0</v>
      </c>
      <c r="H739" t="e">
        <v>#N/A</v>
      </c>
      <c r="I739" t="e">
        <v>#N/A</v>
      </c>
      <c r="J739" t="e">
        <v>#N/A</v>
      </c>
      <c r="K739">
        <v>0.29039301299999998</v>
      </c>
      <c r="L739">
        <v>0.35467980300000002</v>
      </c>
      <c r="M739">
        <v>5.0949051000000002E-2</v>
      </c>
      <c r="N739" t="e">
        <v>#N/A</v>
      </c>
      <c r="O739" t="e">
        <v>#N/A</v>
      </c>
    </row>
    <row r="740" spans="1:15" x14ac:dyDescent="0.25">
      <c r="A740" t="s">
        <v>4</v>
      </c>
      <c r="B740" t="s">
        <v>24</v>
      </c>
      <c r="C740" s="3" t="str">
        <f>IF($B740="GW1",VLOOKUP($A740,Matches!$A:$AC,2,FALSE),IF($B740="GW2",VLOOKUP($A740,Matches!$A:$AC,9,FALSE),IF($B740="GW3",VLOOKUP($A740,Matches!$A:$AC,16,FALSE))))</f>
        <v>Brentford</v>
      </c>
      <c r="D740" s="6">
        <v>0.45156920298035674</v>
      </c>
      <c r="E740" s="6">
        <v>0.28555111364934321</v>
      </c>
      <c r="F740" s="6">
        <v>0.16601808933101353</v>
      </c>
      <c r="G740" s="3" t="s">
        <v>0</v>
      </c>
      <c r="H740" t="e">
        <v>#N/A</v>
      </c>
      <c r="I740" t="e">
        <v>#N/A</v>
      </c>
      <c r="J740" t="e">
        <v>#N/A</v>
      </c>
      <c r="K740">
        <v>0.29039301299999998</v>
      </c>
      <c r="L740">
        <v>0.35467980300000002</v>
      </c>
      <c r="M740">
        <v>5.0949051000000002E-2</v>
      </c>
      <c r="N740" t="e">
        <v>#N/A</v>
      </c>
      <c r="O740" t="e">
        <v>#N/A</v>
      </c>
    </row>
    <row r="741" spans="1:15" x14ac:dyDescent="0.25">
      <c r="A741" t="s">
        <v>4</v>
      </c>
      <c r="B741" t="s">
        <v>24</v>
      </c>
      <c r="C741" s="3" t="str">
        <f>IF($B741="GW1",VLOOKUP($A741,Matches!$A:$AC,2,FALSE),IF($B741="GW2",VLOOKUP($A741,Matches!$A:$AC,9,FALSE),IF($B741="GW3",VLOOKUP($A741,Matches!$A:$AC,16,FALSE))))</f>
        <v>Brentford</v>
      </c>
      <c r="D741" s="6">
        <v>0.45156920298035674</v>
      </c>
      <c r="E741" s="6">
        <v>0.28555111364934321</v>
      </c>
      <c r="F741" s="6">
        <v>0.16601808933101353</v>
      </c>
      <c r="G741" s="3" t="s">
        <v>0</v>
      </c>
      <c r="H741">
        <v>0.41407867500000001</v>
      </c>
      <c r="I741">
        <v>0.13605442200000001</v>
      </c>
      <c r="J741">
        <v>0.15873015900000001</v>
      </c>
      <c r="K741">
        <v>0.29039301299999998</v>
      </c>
      <c r="L741">
        <v>0.35467980300000002</v>
      </c>
      <c r="M741">
        <v>5.0949051000000002E-2</v>
      </c>
      <c r="N741" t="e">
        <v>#N/A</v>
      </c>
      <c r="O741" t="e">
        <v>#N/A</v>
      </c>
    </row>
    <row r="742" spans="1:15" x14ac:dyDescent="0.25">
      <c r="A742" t="s">
        <v>4</v>
      </c>
      <c r="B742" t="s">
        <v>24</v>
      </c>
      <c r="C742" s="3" t="str">
        <f>IF($B742="GW1",VLOOKUP($A742,Matches!$A:$AC,2,FALSE),IF($B742="GW2",VLOOKUP($A742,Matches!$A:$AC,9,FALSE),IF($B742="GW3",VLOOKUP($A742,Matches!$A:$AC,16,FALSE))))</f>
        <v>Brentford</v>
      </c>
      <c r="D742" s="6">
        <v>0.45156920298035674</v>
      </c>
      <c r="E742" s="6">
        <v>0.28555111364934321</v>
      </c>
      <c r="F742" s="6">
        <v>0.16601808933101353</v>
      </c>
      <c r="G742" s="3" t="s">
        <v>0</v>
      </c>
      <c r="H742" t="e">
        <v>#N/A</v>
      </c>
      <c r="I742" t="e">
        <v>#N/A</v>
      </c>
      <c r="J742" t="e">
        <v>#N/A</v>
      </c>
      <c r="K742">
        <v>0.29039301299999998</v>
      </c>
      <c r="L742">
        <v>0.35467980300000002</v>
      </c>
      <c r="M742">
        <v>5.0949051000000002E-2</v>
      </c>
      <c r="N742" t="e">
        <v>#N/A</v>
      </c>
      <c r="O742" t="e">
        <v>#N/A</v>
      </c>
    </row>
    <row r="743" spans="1:15" x14ac:dyDescent="0.25">
      <c r="A743" t="s">
        <v>5</v>
      </c>
      <c r="B743" t="s">
        <v>24</v>
      </c>
      <c r="C743" s="3" t="str">
        <f>IF($B743="GW1",VLOOKUP($A743,Matches!$A:$AC,2,FALSE),IF($B743="GW2",VLOOKUP($A743,Matches!$A:$AC,9,FALSE),IF($B743="GW3",VLOOKUP($A743,Matches!$A:$AC,16,FALSE))))</f>
        <v>Sunderland</v>
      </c>
      <c r="D743" s="6">
        <v>0.4045307443365696</v>
      </c>
      <c r="E743" s="6">
        <v>0.30245289296192113</v>
      </c>
      <c r="F743" s="6">
        <v>0.10207785137464848</v>
      </c>
      <c r="G743" s="3" t="s">
        <v>1</v>
      </c>
      <c r="H743" t="e">
        <v>#N/A</v>
      </c>
      <c r="I743" t="e">
        <v>#N/A</v>
      </c>
      <c r="J743">
        <v>7.3260072999999995E-2</v>
      </c>
      <c r="K743">
        <v>0.35467980300000002</v>
      </c>
      <c r="L743">
        <v>0.29039301299999998</v>
      </c>
      <c r="M743">
        <v>3.7393558E-2</v>
      </c>
      <c r="N743" t="e">
        <v>#N/A</v>
      </c>
      <c r="O743" t="e">
        <v>#N/A</v>
      </c>
    </row>
    <row r="744" spans="1:15" x14ac:dyDescent="0.25">
      <c r="A744" t="s">
        <v>5</v>
      </c>
      <c r="B744" t="s">
        <v>24</v>
      </c>
      <c r="C744" s="3" t="str">
        <f>IF($B744="GW1",VLOOKUP($A744,Matches!$A:$AC,2,FALSE),IF($B744="GW2",VLOOKUP($A744,Matches!$A:$AC,9,FALSE),IF($B744="GW3",VLOOKUP($A744,Matches!$A:$AC,16,FALSE))))</f>
        <v>Sunderland</v>
      </c>
      <c r="D744" s="6">
        <v>0.4045307443365696</v>
      </c>
      <c r="E744" s="6">
        <v>0.30245289296192113</v>
      </c>
      <c r="F744" s="6">
        <v>0.10207785137464848</v>
      </c>
      <c r="G744" s="3" t="s">
        <v>1</v>
      </c>
      <c r="H744" t="e">
        <v>#N/A</v>
      </c>
      <c r="I744" t="e">
        <v>#N/A</v>
      </c>
      <c r="J744">
        <v>0.13605442200000001</v>
      </c>
      <c r="K744">
        <v>0.35467980300000002</v>
      </c>
      <c r="L744">
        <v>0.29039301299999998</v>
      </c>
      <c r="M744">
        <v>3.7393558E-2</v>
      </c>
      <c r="N744" t="e">
        <v>#N/A</v>
      </c>
      <c r="O744" t="e">
        <v>#N/A</v>
      </c>
    </row>
    <row r="745" spans="1:15" x14ac:dyDescent="0.25">
      <c r="A745" t="s">
        <v>5</v>
      </c>
      <c r="B745" t="s">
        <v>24</v>
      </c>
      <c r="C745" s="3" t="str">
        <f>IF($B745="GW1",VLOOKUP($A745,Matches!$A:$AC,2,FALSE),IF($B745="GW2",VLOOKUP($A745,Matches!$A:$AC,9,FALSE),IF($B745="GW3",VLOOKUP($A745,Matches!$A:$AC,16,FALSE))))</f>
        <v>Sunderland</v>
      </c>
      <c r="D745" s="6">
        <v>0.4045307443365696</v>
      </c>
      <c r="E745" s="6">
        <v>0.30245289296192113</v>
      </c>
      <c r="F745" s="6">
        <v>0.10207785137464848</v>
      </c>
      <c r="G745" s="3" t="s">
        <v>1</v>
      </c>
      <c r="H745" t="e">
        <v>#N/A</v>
      </c>
      <c r="I745" t="e">
        <v>#N/A</v>
      </c>
      <c r="J745" t="e">
        <v>#N/A</v>
      </c>
      <c r="K745">
        <v>0.35467980300000002</v>
      </c>
      <c r="L745">
        <v>0.29039301299999998</v>
      </c>
      <c r="M745">
        <v>3.7393558E-2</v>
      </c>
      <c r="N745" t="e">
        <v>#N/A</v>
      </c>
      <c r="O745" t="e">
        <v>#N/A</v>
      </c>
    </row>
    <row r="746" spans="1:15" x14ac:dyDescent="0.25">
      <c r="A746" t="s">
        <v>5</v>
      </c>
      <c r="B746" t="s">
        <v>24</v>
      </c>
      <c r="C746" s="3" t="str">
        <f>IF($B746="GW1",VLOOKUP($A746,Matches!$A:$AC,2,FALSE),IF($B746="GW2",VLOOKUP($A746,Matches!$A:$AC,9,FALSE),IF($B746="GW3",VLOOKUP($A746,Matches!$A:$AC,16,FALSE))))</f>
        <v>Sunderland</v>
      </c>
      <c r="D746" s="6">
        <v>0.4045307443365696</v>
      </c>
      <c r="E746" s="6">
        <v>0.30245289296192113</v>
      </c>
      <c r="F746" s="6">
        <v>0.10207785137464848</v>
      </c>
      <c r="G746" s="3" t="s">
        <v>1</v>
      </c>
      <c r="H746">
        <v>6.3492063000000001E-2</v>
      </c>
      <c r="I746">
        <v>8.6580087E-2</v>
      </c>
      <c r="J746">
        <v>0.21994941200000001</v>
      </c>
      <c r="K746">
        <v>0.35467980300000002</v>
      </c>
      <c r="L746">
        <v>0.29039301299999998</v>
      </c>
      <c r="M746">
        <v>3.7393558E-2</v>
      </c>
      <c r="N746" t="e">
        <v>#N/A</v>
      </c>
      <c r="O746" t="e">
        <v>#N/A</v>
      </c>
    </row>
    <row r="747" spans="1:15" x14ac:dyDescent="0.25">
      <c r="A747" t="s">
        <v>5</v>
      </c>
      <c r="B747" t="s">
        <v>24</v>
      </c>
      <c r="C747" s="3" t="str">
        <f>IF($B747="GW1",VLOOKUP($A747,Matches!$A:$AC,2,FALSE),IF($B747="GW2",VLOOKUP($A747,Matches!$A:$AC,9,FALSE),IF($B747="GW3",VLOOKUP($A747,Matches!$A:$AC,16,FALSE))))</f>
        <v>Sunderland</v>
      </c>
      <c r="D747" s="6">
        <v>0.4045307443365696</v>
      </c>
      <c r="E747" s="6">
        <v>0.30245289296192113</v>
      </c>
      <c r="F747" s="6">
        <v>0.10207785137464848</v>
      </c>
      <c r="G747" s="3" t="s">
        <v>1</v>
      </c>
      <c r="H747">
        <v>5.6022409000000002E-2</v>
      </c>
      <c r="I747">
        <v>4.5351474000000003E-2</v>
      </c>
      <c r="J747">
        <v>0.173160173</v>
      </c>
      <c r="K747">
        <v>0.35467980300000002</v>
      </c>
      <c r="L747">
        <v>0.29039301299999998</v>
      </c>
      <c r="M747">
        <v>3.7393558E-2</v>
      </c>
      <c r="N747" t="e">
        <v>#N/A</v>
      </c>
      <c r="O747" t="e">
        <v>#N/A</v>
      </c>
    </row>
    <row r="748" spans="1:15" x14ac:dyDescent="0.25">
      <c r="A748" t="s">
        <v>5</v>
      </c>
      <c r="B748" t="s">
        <v>24</v>
      </c>
      <c r="C748" s="3" t="str">
        <f>IF($B748="GW1",VLOOKUP($A748,Matches!$A:$AC,2,FALSE),IF($B748="GW2",VLOOKUP($A748,Matches!$A:$AC,9,FALSE),IF($B748="GW3",VLOOKUP($A748,Matches!$A:$AC,16,FALSE))))</f>
        <v>Sunderland</v>
      </c>
      <c r="D748" s="6">
        <v>0.4045307443365696</v>
      </c>
      <c r="E748" s="6">
        <v>0.30245289296192113</v>
      </c>
      <c r="F748" s="6">
        <v>0.10207785137464848</v>
      </c>
      <c r="G748" s="3" t="s">
        <v>1</v>
      </c>
      <c r="H748" t="e">
        <v>#N/A</v>
      </c>
      <c r="I748" t="e">
        <v>#N/A</v>
      </c>
      <c r="J748" t="e">
        <v>#N/A</v>
      </c>
      <c r="K748">
        <v>0.35467980300000002</v>
      </c>
      <c r="L748">
        <v>0.29039301299999998</v>
      </c>
      <c r="M748">
        <v>3.7393558E-2</v>
      </c>
      <c r="N748" t="e">
        <v>#N/A</v>
      </c>
      <c r="O748" t="e">
        <v>#N/A</v>
      </c>
    </row>
    <row r="749" spans="1:15" x14ac:dyDescent="0.25">
      <c r="A749" t="s">
        <v>5</v>
      </c>
      <c r="B749" t="s">
        <v>24</v>
      </c>
      <c r="C749" s="3" t="str">
        <f>IF($B749="GW1",VLOOKUP($A749,Matches!$A:$AC,2,FALSE),IF($B749="GW2",VLOOKUP($A749,Matches!$A:$AC,9,FALSE),IF($B749="GW3",VLOOKUP($A749,Matches!$A:$AC,16,FALSE))))</f>
        <v>Sunderland</v>
      </c>
      <c r="D749" s="6">
        <v>0.4045307443365696</v>
      </c>
      <c r="E749" s="6">
        <v>0.30245289296192113</v>
      </c>
      <c r="F749" s="6">
        <v>0.10207785137464848</v>
      </c>
      <c r="G749" s="3" t="s">
        <v>1</v>
      </c>
      <c r="H749" t="e">
        <v>#N/A</v>
      </c>
      <c r="I749" t="e">
        <v>#N/A</v>
      </c>
      <c r="J749" t="e">
        <v>#N/A</v>
      </c>
      <c r="K749">
        <v>0.35467980300000002</v>
      </c>
      <c r="L749">
        <v>0.29039301299999998</v>
      </c>
      <c r="M749">
        <v>3.7393558E-2</v>
      </c>
      <c r="N749" t="e">
        <v>#N/A</v>
      </c>
      <c r="O749" t="e">
        <v>#N/A</v>
      </c>
    </row>
    <row r="750" spans="1:15" x14ac:dyDescent="0.25">
      <c r="A750" t="s">
        <v>5</v>
      </c>
      <c r="B750" t="s">
        <v>24</v>
      </c>
      <c r="C750" s="3" t="str">
        <f>IF($B750="GW1",VLOOKUP($A750,Matches!$A:$AC,2,FALSE),IF($B750="GW2",VLOOKUP($A750,Matches!$A:$AC,9,FALSE),IF($B750="GW3",VLOOKUP($A750,Matches!$A:$AC,16,FALSE))))</f>
        <v>Sunderland</v>
      </c>
      <c r="D750" s="6">
        <v>0.4045307443365696</v>
      </c>
      <c r="E750" s="6">
        <v>0.30245289296192113</v>
      </c>
      <c r="F750" s="6">
        <v>0.10207785137464848</v>
      </c>
      <c r="G750" s="3" t="s">
        <v>1</v>
      </c>
      <c r="H750">
        <v>6.3492063000000001E-2</v>
      </c>
      <c r="I750">
        <v>5.6022409000000002E-2</v>
      </c>
      <c r="J750">
        <v>0.19047618999999999</v>
      </c>
      <c r="K750">
        <v>0.35467980300000002</v>
      </c>
      <c r="L750">
        <v>0.29039301299999998</v>
      </c>
      <c r="M750">
        <v>3.7393558E-2</v>
      </c>
      <c r="N750" t="e">
        <v>#N/A</v>
      </c>
      <c r="O750" t="e">
        <v>#N/A</v>
      </c>
    </row>
    <row r="751" spans="1:15" x14ac:dyDescent="0.25">
      <c r="A751" t="s">
        <v>5</v>
      </c>
      <c r="B751" t="s">
        <v>24</v>
      </c>
      <c r="C751" s="3" t="str">
        <f>IF($B751="GW1",VLOOKUP($A751,Matches!$A:$AC,2,FALSE),IF($B751="GW2",VLOOKUP($A751,Matches!$A:$AC,9,FALSE),IF($B751="GW3",VLOOKUP($A751,Matches!$A:$AC,16,FALSE))))</f>
        <v>Sunderland</v>
      </c>
      <c r="D751" s="6">
        <v>0.4045307443365696</v>
      </c>
      <c r="E751" s="6">
        <v>0.30245289296192113</v>
      </c>
      <c r="F751" s="6">
        <v>0.10207785137464848</v>
      </c>
      <c r="G751" s="3" t="s">
        <v>1</v>
      </c>
      <c r="H751">
        <v>7.9365079000000005E-2</v>
      </c>
      <c r="I751">
        <v>2.3228803999999999E-2</v>
      </c>
      <c r="J751">
        <v>0.21994941200000001</v>
      </c>
      <c r="K751">
        <v>0.35467980300000002</v>
      </c>
      <c r="L751">
        <v>0.29039301299999998</v>
      </c>
      <c r="M751">
        <v>3.7393558E-2</v>
      </c>
      <c r="N751" t="e">
        <v>#N/A</v>
      </c>
      <c r="O751" t="e">
        <v>#N/A</v>
      </c>
    </row>
    <row r="752" spans="1:15" x14ac:dyDescent="0.25">
      <c r="A752" t="s">
        <v>5</v>
      </c>
      <c r="B752" t="s">
        <v>24</v>
      </c>
      <c r="C752" s="3" t="str">
        <f>IF($B752="GW1",VLOOKUP($A752,Matches!$A:$AC,2,FALSE),IF($B752="GW2",VLOOKUP($A752,Matches!$A:$AC,9,FALSE),IF($B752="GW3",VLOOKUP($A752,Matches!$A:$AC,16,FALSE))))</f>
        <v>Sunderland</v>
      </c>
      <c r="D752" s="6">
        <v>0.4045307443365696</v>
      </c>
      <c r="E752" s="6">
        <v>0.30245289296192113</v>
      </c>
      <c r="F752" s="6">
        <v>0.10207785137464848</v>
      </c>
      <c r="G752" s="3" t="s">
        <v>1</v>
      </c>
      <c r="H752">
        <v>7.9365079000000005E-2</v>
      </c>
      <c r="I752">
        <v>9.5238094999999995E-2</v>
      </c>
      <c r="J752">
        <v>0.23809523799999999</v>
      </c>
      <c r="K752">
        <v>0.35467980300000002</v>
      </c>
      <c r="L752">
        <v>0.29039301299999998</v>
      </c>
      <c r="M752">
        <v>3.7393558E-2</v>
      </c>
      <c r="N752" t="e">
        <v>#N/A</v>
      </c>
      <c r="O752" t="e">
        <v>#N/A</v>
      </c>
    </row>
    <row r="753" spans="1:15" x14ac:dyDescent="0.25">
      <c r="A753" t="s">
        <v>5</v>
      </c>
      <c r="B753" t="s">
        <v>24</v>
      </c>
      <c r="C753" s="3" t="str">
        <f>IF($B753="GW1",VLOOKUP($A753,Matches!$A:$AC,2,FALSE),IF($B753="GW2",VLOOKUP($A753,Matches!$A:$AC,9,FALSE),IF($B753="GW3",VLOOKUP($A753,Matches!$A:$AC,16,FALSE))))</f>
        <v>Sunderland</v>
      </c>
      <c r="D753" s="6">
        <v>0.4045307443365696</v>
      </c>
      <c r="E753" s="6">
        <v>0.30245289296192113</v>
      </c>
      <c r="F753" s="6">
        <v>0.10207785137464848</v>
      </c>
      <c r="G753" s="3" t="s">
        <v>1</v>
      </c>
      <c r="H753">
        <v>6.3492063000000001E-2</v>
      </c>
      <c r="I753">
        <v>8.6580087E-2</v>
      </c>
      <c r="J753">
        <v>0.15873015900000001</v>
      </c>
      <c r="K753">
        <v>0.35467980300000002</v>
      </c>
      <c r="L753">
        <v>0.29039301299999998</v>
      </c>
      <c r="M753">
        <v>3.7393558E-2</v>
      </c>
      <c r="N753" t="e">
        <v>#N/A</v>
      </c>
      <c r="O753" t="e">
        <v>#N/A</v>
      </c>
    </row>
    <row r="754" spans="1:15" x14ac:dyDescent="0.25">
      <c r="A754" t="s">
        <v>5</v>
      </c>
      <c r="B754" t="s">
        <v>24</v>
      </c>
      <c r="C754" s="3" t="str">
        <f>IF($B754="GW1",VLOOKUP($A754,Matches!$A:$AC,2,FALSE),IF($B754="GW2",VLOOKUP($A754,Matches!$A:$AC,9,FALSE),IF($B754="GW3",VLOOKUP($A754,Matches!$A:$AC,16,FALSE))))</f>
        <v>Sunderland</v>
      </c>
      <c r="D754" s="6">
        <v>0.4045307443365696</v>
      </c>
      <c r="E754" s="6">
        <v>0.30245289296192113</v>
      </c>
      <c r="F754" s="6">
        <v>0.10207785137464848</v>
      </c>
      <c r="G754" s="3" t="s">
        <v>1</v>
      </c>
      <c r="H754">
        <v>7.9365079000000005E-2</v>
      </c>
      <c r="I754">
        <v>3.6630036999999997E-2</v>
      </c>
      <c r="J754">
        <v>0.23809523799999999</v>
      </c>
      <c r="K754">
        <v>0.35467980300000002</v>
      </c>
      <c r="L754">
        <v>0.29039301299999998</v>
      </c>
      <c r="M754">
        <v>3.7393558E-2</v>
      </c>
      <c r="N754" t="e">
        <v>#N/A</v>
      </c>
      <c r="O754" t="e">
        <v>#N/A</v>
      </c>
    </row>
    <row r="755" spans="1:15" x14ac:dyDescent="0.25">
      <c r="A755" t="s">
        <v>5</v>
      </c>
      <c r="B755" t="s">
        <v>24</v>
      </c>
      <c r="C755" s="3" t="str">
        <f>IF($B755="GW1",VLOOKUP($A755,Matches!$A:$AC,2,FALSE),IF($B755="GW2",VLOOKUP($A755,Matches!$A:$AC,9,FALSE),IF($B755="GW3",VLOOKUP($A755,Matches!$A:$AC,16,FALSE))))</f>
        <v>Sunderland</v>
      </c>
      <c r="D755" s="6">
        <v>0.4045307443365696</v>
      </c>
      <c r="E755" s="6">
        <v>0.30245289296192113</v>
      </c>
      <c r="F755" s="6">
        <v>0.10207785137464848</v>
      </c>
      <c r="G755" s="3" t="s">
        <v>1</v>
      </c>
      <c r="H755" t="e">
        <v>#N/A</v>
      </c>
      <c r="I755" t="e">
        <v>#N/A</v>
      </c>
      <c r="J755" t="e">
        <v>#N/A</v>
      </c>
      <c r="K755">
        <v>0.35467980300000002</v>
      </c>
      <c r="L755">
        <v>0.29039301299999998</v>
      </c>
      <c r="M755">
        <v>3.7393558E-2</v>
      </c>
      <c r="N755" t="e">
        <v>#N/A</v>
      </c>
      <c r="O755" t="e">
        <v>#N/A</v>
      </c>
    </row>
    <row r="756" spans="1:15" x14ac:dyDescent="0.25">
      <c r="A756" t="s">
        <v>5</v>
      </c>
      <c r="B756" t="s">
        <v>24</v>
      </c>
      <c r="C756" s="3" t="str">
        <f>IF($B756="GW1",VLOOKUP($A756,Matches!$A:$AC,2,FALSE),IF($B756="GW2",VLOOKUP($A756,Matches!$A:$AC,9,FALSE),IF($B756="GW3",VLOOKUP($A756,Matches!$A:$AC,16,FALSE))))</f>
        <v>Sunderland</v>
      </c>
      <c r="D756" s="6">
        <v>0.4045307443365696</v>
      </c>
      <c r="E756" s="6">
        <v>0.30245289296192113</v>
      </c>
      <c r="F756" s="6">
        <v>0.10207785137464848</v>
      </c>
      <c r="G756" s="3" t="s">
        <v>1</v>
      </c>
      <c r="H756" t="e">
        <v>#N/A</v>
      </c>
      <c r="I756" t="e">
        <v>#N/A</v>
      </c>
      <c r="J756" t="e">
        <v>#N/A</v>
      </c>
      <c r="K756">
        <v>0.35467980300000002</v>
      </c>
      <c r="L756">
        <v>0.29039301299999998</v>
      </c>
      <c r="M756">
        <v>3.7393558E-2</v>
      </c>
      <c r="N756" t="e">
        <v>#N/A</v>
      </c>
      <c r="O756" t="e">
        <v>#N/A</v>
      </c>
    </row>
    <row r="757" spans="1:15" x14ac:dyDescent="0.25">
      <c r="A757" t="s">
        <v>5</v>
      </c>
      <c r="B757" t="s">
        <v>24</v>
      </c>
      <c r="C757" s="3" t="str">
        <f>IF($B757="GW1",VLOOKUP($A757,Matches!$A:$AC,2,FALSE),IF($B757="GW2",VLOOKUP($A757,Matches!$A:$AC,9,FALSE),IF($B757="GW3",VLOOKUP($A757,Matches!$A:$AC,16,FALSE))))</f>
        <v>Sunderland</v>
      </c>
      <c r="D757" s="6">
        <v>0.4045307443365696</v>
      </c>
      <c r="E757" s="6">
        <v>0.30245289296192113</v>
      </c>
      <c r="F757" s="6">
        <v>0.10207785137464848</v>
      </c>
      <c r="G757" s="3" t="s">
        <v>1</v>
      </c>
      <c r="H757">
        <v>7.9365079000000005E-2</v>
      </c>
      <c r="I757">
        <v>4.5351474000000003E-2</v>
      </c>
      <c r="J757">
        <v>0.23809523799999999</v>
      </c>
      <c r="K757">
        <v>0.35467980300000002</v>
      </c>
      <c r="L757">
        <v>0.29039301299999998</v>
      </c>
      <c r="M757">
        <v>3.7393558E-2</v>
      </c>
      <c r="N757" t="e">
        <v>#N/A</v>
      </c>
      <c r="O757" t="e">
        <v>#N/A</v>
      </c>
    </row>
    <row r="758" spans="1:15" x14ac:dyDescent="0.25">
      <c r="A758" t="s">
        <v>5</v>
      </c>
      <c r="B758" t="s">
        <v>24</v>
      </c>
      <c r="C758" s="3" t="str">
        <f>IF($B758="GW1",VLOOKUP($A758,Matches!$A:$AC,2,FALSE),IF($B758="GW2",VLOOKUP($A758,Matches!$A:$AC,9,FALSE),IF($B758="GW3",VLOOKUP($A758,Matches!$A:$AC,16,FALSE))))</f>
        <v>Sunderland</v>
      </c>
      <c r="D758" s="6">
        <v>0.4045307443365696</v>
      </c>
      <c r="E758" s="6">
        <v>0.30245289296192113</v>
      </c>
      <c r="F758" s="6">
        <v>0.10207785137464848</v>
      </c>
      <c r="G758" s="3" t="s">
        <v>1</v>
      </c>
      <c r="H758">
        <v>5.6022409000000002E-2</v>
      </c>
      <c r="I758">
        <v>5.6022409000000002E-2</v>
      </c>
      <c r="J758">
        <v>0.15873015900000001</v>
      </c>
      <c r="K758">
        <v>0.35467980300000002</v>
      </c>
      <c r="L758">
        <v>0.29039301299999998</v>
      </c>
      <c r="M758">
        <v>3.7393558E-2</v>
      </c>
      <c r="N758" t="e">
        <v>#N/A</v>
      </c>
      <c r="O758" t="e">
        <v>#N/A</v>
      </c>
    </row>
    <row r="759" spans="1:15" x14ac:dyDescent="0.25">
      <c r="A759" t="s">
        <v>5</v>
      </c>
      <c r="B759" t="s">
        <v>24</v>
      </c>
      <c r="C759" s="3" t="str">
        <f>IF($B759="GW1",VLOOKUP($A759,Matches!$A:$AC,2,FALSE),IF($B759="GW2",VLOOKUP($A759,Matches!$A:$AC,9,FALSE),IF($B759="GW3",VLOOKUP($A759,Matches!$A:$AC,16,FALSE))))</f>
        <v>Sunderland</v>
      </c>
      <c r="D759" s="6">
        <v>0.4045307443365696</v>
      </c>
      <c r="E759" s="6">
        <v>0.30245289296192113</v>
      </c>
      <c r="F759" s="6">
        <v>0.10207785137464848</v>
      </c>
      <c r="G759" s="3" t="s">
        <v>1</v>
      </c>
      <c r="H759">
        <v>5.6022409000000002E-2</v>
      </c>
      <c r="I759">
        <v>5.6022409000000002E-2</v>
      </c>
      <c r="J759">
        <v>0.23809523799999999</v>
      </c>
      <c r="K759">
        <v>0.35467980300000002</v>
      </c>
      <c r="L759">
        <v>0.29039301299999998</v>
      </c>
      <c r="M759">
        <v>3.7393558E-2</v>
      </c>
      <c r="N759" t="e">
        <v>#N/A</v>
      </c>
      <c r="O759" t="e">
        <v>#N/A</v>
      </c>
    </row>
    <row r="760" spans="1:15" x14ac:dyDescent="0.25">
      <c r="A760" t="s">
        <v>5</v>
      </c>
      <c r="B760" t="s">
        <v>24</v>
      </c>
      <c r="C760" s="3" t="str">
        <f>IF($B760="GW1",VLOOKUP($A760,Matches!$A:$AC,2,FALSE),IF($B760="GW2",VLOOKUP($A760,Matches!$A:$AC,9,FALSE),IF($B760="GW3",VLOOKUP($A760,Matches!$A:$AC,16,FALSE))))</f>
        <v>Sunderland</v>
      </c>
      <c r="D760" s="6">
        <v>0.4045307443365696</v>
      </c>
      <c r="E760" s="6">
        <v>0.30245289296192113</v>
      </c>
      <c r="F760" s="6">
        <v>0.10207785137464848</v>
      </c>
      <c r="G760" s="3" t="s">
        <v>1</v>
      </c>
      <c r="H760">
        <v>0.21994941200000001</v>
      </c>
      <c r="I760">
        <v>0.13605442200000001</v>
      </c>
      <c r="J760">
        <v>0.11904761899999999</v>
      </c>
      <c r="K760">
        <v>0.35467980300000002</v>
      </c>
      <c r="L760">
        <v>0.29039301299999998</v>
      </c>
      <c r="M760">
        <v>3.7393558E-2</v>
      </c>
      <c r="N760" t="e">
        <v>#N/A</v>
      </c>
      <c r="O760" t="e">
        <v>#N/A</v>
      </c>
    </row>
    <row r="761" spans="1:15" x14ac:dyDescent="0.25">
      <c r="A761" t="s">
        <v>5</v>
      </c>
      <c r="B761" t="s">
        <v>24</v>
      </c>
      <c r="C761" s="3" t="str">
        <f>IF($B761="GW1",VLOOKUP($A761,Matches!$A:$AC,2,FALSE),IF($B761="GW2",VLOOKUP($A761,Matches!$A:$AC,9,FALSE),IF($B761="GW3",VLOOKUP($A761,Matches!$A:$AC,16,FALSE))))</f>
        <v>Sunderland</v>
      </c>
      <c r="D761" s="6">
        <v>0.4045307443365696</v>
      </c>
      <c r="E761" s="6">
        <v>0.30245289296192113</v>
      </c>
      <c r="F761" s="6">
        <v>0.10207785137464848</v>
      </c>
      <c r="G761" s="3" t="s">
        <v>1</v>
      </c>
      <c r="H761" t="e">
        <v>#N/A</v>
      </c>
      <c r="I761" t="e">
        <v>#N/A</v>
      </c>
      <c r="J761" t="e">
        <v>#N/A</v>
      </c>
      <c r="K761">
        <v>0.35467980300000002</v>
      </c>
      <c r="L761">
        <v>0.29039301299999998</v>
      </c>
      <c r="M761">
        <v>3.7393558E-2</v>
      </c>
      <c r="N761" t="e">
        <v>#N/A</v>
      </c>
      <c r="O761" t="e">
        <v>#N/A</v>
      </c>
    </row>
    <row r="762" spans="1:15" x14ac:dyDescent="0.25">
      <c r="A762" t="s">
        <v>5</v>
      </c>
      <c r="B762" t="s">
        <v>24</v>
      </c>
      <c r="C762" s="3" t="str">
        <f>IF($B762="GW1",VLOOKUP($A762,Matches!$A:$AC,2,FALSE),IF($B762="GW2",VLOOKUP($A762,Matches!$A:$AC,9,FALSE),IF($B762="GW3",VLOOKUP($A762,Matches!$A:$AC,16,FALSE))))</f>
        <v>Sunderland</v>
      </c>
      <c r="D762" s="6">
        <v>0.4045307443365696</v>
      </c>
      <c r="E762" s="6">
        <v>0.30245289296192113</v>
      </c>
      <c r="F762" s="6">
        <v>0.10207785137464848</v>
      </c>
      <c r="G762" s="3" t="s">
        <v>1</v>
      </c>
      <c r="H762">
        <v>0.31746031699999999</v>
      </c>
      <c r="I762">
        <v>0.13605442200000001</v>
      </c>
      <c r="J762">
        <v>0.15873015900000001</v>
      </c>
      <c r="K762">
        <v>0.35467980300000002</v>
      </c>
      <c r="L762">
        <v>0.29039301299999998</v>
      </c>
      <c r="M762">
        <v>3.7393558E-2</v>
      </c>
      <c r="N762" t="e">
        <v>#N/A</v>
      </c>
      <c r="O762" t="e">
        <v>#N/A</v>
      </c>
    </row>
    <row r="763" spans="1:15" x14ac:dyDescent="0.25">
      <c r="A763" t="s">
        <v>5</v>
      </c>
      <c r="B763" t="s">
        <v>24</v>
      </c>
      <c r="C763" s="3" t="str">
        <f>IF($B763="GW1",VLOOKUP($A763,Matches!$A:$AC,2,FALSE),IF($B763="GW2",VLOOKUP($A763,Matches!$A:$AC,9,FALSE),IF($B763="GW3",VLOOKUP($A763,Matches!$A:$AC,16,FALSE))))</f>
        <v>Sunderland</v>
      </c>
      <c r="D763" s="6">
        <v>0.4045307443365696</v>
      </c>
      <c r="E763" s="6">
        <v>0.30245289296192113</v>
      </c>
      <c r="F763" s="6">
        <v>0.10207785137464848</v>
      </c>
      <c r="G763" s="3" t="s">
        <v>1</v>
      </c>
      <c r="H763" t="e">
        <v>#N/A</v>
      </c>
      <c r="I763" t="e">
        <v>#N/A</v>
      </c>
      <c r="J763" t="e">
        <v>#N/A</v>
      </c>
      <c r="K763">
        <v>0.35467980300000002</v>
      </c>
      <c r="L763">
        <v>0.29039301299999998</v>
      </c>
      <c r="M763">
        <v>3.7393558E-2</v>
      </c>
      <c r="N763" t="e">
        <v>#N/A</v>
      </c>
      <c r="O763" t="e">
        <v>#N/A</v>
      </c>
    </row>
    <row r="764" spans="1:15" x14ac:dyDescent="0.25">
      <c r="A764" t="s">
        <v>5</v>
      </c>
      <c r="B764" t="s">
        <v>24</v>
      </c>
      <c r="C764" s="3" t="str">
        <f>IF($B764="GW1",VLOOKUP($A764,Matches!$A:$AC,2,FALSE),IF($B764="GW2",VLOOKUP($A764,Matches!$A:$AC,9,FALSE),IF($B764="GW3",VLOOKUP($A764,Matches!$A:$AC,16,FALSE))))</f>
        <v>Sunderland</v>
      </c>
      <c r="D764" s="6">
        <v>0.4045307443365696</v>
      </c>
      <c r="E764" s="6">
        <v>0.30245289296192113</v>
      </c>
      <c r="F764" s="6">
        <v>0.10207785137464848</v>
      </c>
      <c r="G764" s="3" t="s">
        <v>1</v>
      </c>
      <c r="H764" t="e">
        <v>#N/A</v>
      </c>
      <c r="I764" t="e">
        <v>#N/A</v>
      </c>
      <c r="J764" t="e">
        <v>#N/A</v>
      </c>
      <c r="K764">
        <v>0.35467980300000002</v>
      </c>
      <c r="L764">
        <v>0.29039301299999998</v>
      </c>
      <c r="M764">
        <v>3.7393558E-2</v>
      </c>
      <c r="N764" t="e">
        <v>#N/A</v>
      </c>
      <c r="O764" t="e">
        <v>#N/A</v>
      </c>
    </row>
    <row r="765" spans="1:15" x14ac:dyDescent="0.25">
      <c r="A765" t="s">
        <v>5</v>
      </c>
      <c r="B765" t="s">
        <v>24</v>
      </c>
      <c r="C765" s="3" t="str">
        <f>IF($B765="GW1",VLOOKUP($A765,Matches!$A:$AC,2,FALSE),IF($B765="GW2",VLOOKUP($A765,Matches!$A:$AC,9,FALSE),IF($B765="GW3",VLOOKUP($A765,Matches!$A:$AC,16,FALSE))))</f>
        <v>Sunderland</v>
      </c>
      <c r="D765" s="6">
        <v>0.4045307443365696</v>
      </c>
      <c r="E765" s="6">
        <v>0.30245289296192113</v>
      </c>
      <c r="F765" s="6">
        <v>0.10207785137464848</v>
      </c>
      <c r="G765" s="3" t="s">
        <v>1</v>
      </c>
      <c r="H765">
        <v>0.10025062699999999</v>
      </c>
      <c r="I765">
        <v>9.5238094999999995E-2</v>
      </c>
      <c r="J765">
        <v>0.23809523799999999</v>
      </c>
      <c r="K765">
        <v>0.35467980300000002</v>
      </c>
      <c r="L765">
        <v>0.29039301299999998</v>
      </c>
      <c r="M765">
        <v>3.7393558E-2</v>
      </c>
      <c r="N765" t="e">
        <v>#N/A</v>
      </c>
      <c r="O765" t="e">
        <v>#N/A</v>
      </c>
    </row>
    <row r="766" spans="1:15" x14ac:dyDescent="0.25">
      <c r="A766" t="s">
        <v>5</v>
      </c>
      <c r="B766" t="s">
        <v>24</v>
      </c>
      <c r="C766" s="3" t="str">
        <f>IF($B766="GW1",VLOOKUP($A766,Matches!$A:$AC,2,FALSE),IF($B766="GW2",VLOOKUP($A766,Matches!$A:$AC,9,FALSE),IF($B766="GW3",VLOOKUP($A766,Matches!$A:$AC,16,FALSE))))</f>
        <v>Sunderland</v>
      </c>
      <c r="D766" s="6">
        <v>0.4045307443365696</v>
      </c>
      <c r="E766" s="6">
        <v>0.30245289296192113</v>
      </c>
      <c r="F766" s="6">
        <v>0.10207785137464848</v>
      </c>
      <c r="G766" s="3" t="s">
        <v>1</v>
      </c>
      <c r="H766">
        <v>0.23809523799999999</v>
      </c>
      <c r="I766">
        <v>9.5238094999999995E-2</v>
      </c>
      <c r="J766">
        <v>0.15873015900000001</v>
      </c>
      <c r="K766">
        <v>0.35467980300000002</v>
      </c>
      <c r="L766">
        <v>0.29039301299999998</v>
      </c>
      <c r="M766">
        <v>3.7393558E-2</v>
      </c>
      <c r="N766" t="e">
        <v>#N/A</v>
      </c>
      <c r="O766" t="e">
        <v>#N/A</v>
      </c>
    </row>
    <row r="767" spans="1:15" x14ac:dyDescent="0.25">
      <c r="A767" t="s">
        <v>5</v>
      </c>
      <c r="B767" t="s">
        <v>24</v>
      </c>
      <c r="C767" s="3" t="str">
        <f>IF($B767="GW1",VLOOKUP($A767,Matches!$A:$AC,2,FALSE),IF($B767="GW2",VLOOKUP($A767,Matches!$A:$AC,9,FALSE),IF($B767="GW3",VLOOKUP($A767,Matches!$A:$AC,16,FALSE))))</f>
        <v>Sunderland</v>
      </c>
      <c r="D767" s="6">
        <v>0.4045307443365696</v>
      </c>
      <c r="E767" s="6">
        <v>0.30245289296192113</v>
      </c>
      <c r="F767" s="6">
        <v>0.10207785137464848</v>
      </c>
      <c r="G767" s="3" t="s">
        <v>1</v>
      </c>
      <c r="H767">
        <v>0.14652014699999999</v>
      </c>
      <c r="I767">
        <v>0.11904761899999999</v>
      </c>
      <c r="J767">
        <v>0.28011204499999998</v>
      </c>
      <c r="K767">
        <v>0.35467980300000002</v>
      </c>
      <c r="L767">
        <v>0.29039301299999998</v>
      </c>
      <c r="M767">
        <v>3.7393558E-2</v>
      </c>
      <c r="N767" t="e">
        <v>#N/A</v>
      </c>
      <c r="O767" t="e">
        <v>#N/A</v>
      </c>
    </row>
    <row r="768" spans="1:15" x14ac:dyDescent="0.25">
      <c r="A768" t="s">
        <v>5</v>
      </c>
      <c r="B768" t="s">
        <v>24</v>
      </c>
      <c r="C768" s="3" t="str">
        <f>IF($B768="GW1",VLOOKUP($A768,Matches!$A:$AC,2,FALSE),IF($B768="GW2",VLOOKUP($A768,Matches!$A:$AC,9,FALSE),IF($B768="GW3",VLOOKUP($A768,Matches!$A:$AC,16,FALSE))))</f>
        <v>Sunderland</v>
      </c>
      <c r="D768" s="6">
        <v>0.4045307443365696</v>
      </c>
      <c r="E768" s="6">
        <v>0.30245289296192113</v>
      </c>
      <c r="F768" s="6">
        <v>0.10207785137464848</v>
      </c>
      <c r="G768" s="3" t="s">
        <v>1</v>
      </c>
      <c r="H768">
        <v>0.19047618999999999</v>
      </c>
      <c r="I768">
        <v>0.13605442200000001</v>
      </c>
      <c r="J768">
        <v>0.13605442200000001</v>
      </c>
      <c r="K768">
        <v>0.35467980300000002</v>
      </c>
      <c r="L768">
        <v>0.29039301299999998</v>
      </c>
      <c r="M768">
        <v>3.7393558E-2</v>
      </c>
      <c r="N768" t="e">
        <v>#N/A</v>
      </c>
      <c r="O768" t="e">
        <v>#N/A</v>
      </c>
    </row>
    <row r="769" spans="1:15" x14ac:dyDescent="0.25">
      <c r="A769" t="s">
        <v>5</v>
      </c>
      <c r="B769" t="s">
        <v>24</v>
      </c>
      <c r="C769" s="3" t="str">
        <f>IF($B769="GW1",VLOOKUP($A769,Matches!$A:$AC,2,FALSE),IF($B769="GW2",VLOOKUP($A769,Matches!$A:$AC,9,FALSE),IF($B769="GW3",VLOOKUP($A769,Matches!$A:$AC,16,FALSE))))</f>
        <v>Sunderland</v>
      </c>
      <c r="D769" s="6">
        <v>0.4045307443365696</v>
      </c>
      <c r="E769" s="6">
        <v>0.30245289296192113</v>
      </c>
      <c r="F769" s="6">
        <v>0.10207785137464848</v>
      </c>
      <c r="G769" s="3" t="s">
        <v>1</v>
      </c>
      <c r="H769">
        <v>0.126984127</v>
      </c>
      <c r="I769">
        <v>0.11904761899999999</v>
      </c>
      <c r="J769">
        <v>0.21994941200000001</v>
      </c>
      <c r="K769">
        <v>0.35467980300000002</v>
      </c>
      <c r="L769">
        <v>0.29039301299999998</v>
      </c>
      <c r="M769">
        <v>3.7393558E-2</v>
      </c>
      <c r="N769" t="e">
        <v>#N/A</v>
      </c>
      <c r="O769" t="e">
        <v>#N/A</v>
      </c>
    </row>
    <row r="770" spans="1:15" x14ac:dyDescent="0.25">
      <c r="A770" t="s">
        <v>5</v>
      </c>
      <c r="B770" t="s">
        <v>24</v>
      </c>
      <c r="C770" s="3" t="str">
        <f>IF($B770="GW1",VLOOKUP($A770,Matches!$A:$AC,2,FALSE),IF($B770="GW2",VLOOKUP($A770,Matches!$A:$AC,9,FALSE),IF($B770="GW3",VLOOKUP($A770,Matches!$A:$AC,16,FALSE))))</f>
        <v>Sunderland</v>
      </c>
      <c r="D770" s="6">
        <v>0.4045307443365696</v>
      </c>
      <c r="E770" s="6">
        <v>0.30245289296192113</v>
      </c>
      <c r="F770" s="6">
        <v>0.10207785137464848</v>
      </c>
      <c r="G770" s="3" t="s">
        <v>1</v>
      </c>
      <c r="H770">
        <v>0.19047618999999999</v>
      </c>
      <c r="I770">
        <v>9.5238094999999995E-2</v>
      </c>
      <c r="J770">
        <v>0.13605442200000001</v>
      </c>
      <c r="K770">
        <v>0.35467980300000002</v>
      </c>
      <c r="L770">
        <v>0.29039301299999998</v>
      </c>
      <c r="M770">
        <v>3.7393558E-2</v>
      </c>
      <c r="N770" t="e">
        <v>#N/A</v>
      </c>
      <c r="O770" t="e">
        <v>#N/A</v>
      </c>
    </row>
    <row r="771" spans="1:15" x14ac:dyDescent="0.25">
      <c r="A771" t="s">
        <v>5</v>
      </c>
      <c r="B771" t="s">
        <v>24</v>
      </c>
      <c r="C771" s="3" t="str">
        <f>IF($B771="GW1",VLOOKUP($A771,Matches!$A:$AC,2,FALSE),IF($B771="GW2",VLOOKUP($A771,Matches!$A:$AC,9,FALSE),IF($B771="GW3",VLOOKUP($A771,Matches!$A:$AC,16,FALSE))))</f>
        <v>Sunderland</v>
      </c>
      <c r="D771" s="6">
        <v>0.4045307443365696</v>
      </c>
      <c r="E771" s="6">
        <v>0.30245289296192113</v>
      </c>
      <c r="F771" s="6">
        <v>0.10207785137464848</v>
      </c>
      <c r="G771" s="3" t="s">
        <v>1</v>
      </c>
      <c r="H771">
        <v>0.14652014699999999</v>
      </c>
      <c r="I771">
        <v>9.5238094999999995E-2</v>
      </c>
      <c r="J771">
        <v>0.19047618999999999</v>
      </c>
      <c r="K771">
        <v>0.35467980300000002</v>
      </c>
      <c r="L771">
        <v>0.29039301299999998</v>
      </c>
      <c r="M771">
        <v>3.7393558E-2</v>
      </c>
      <c r="N771" t="e">
        <v>#N/A</v>
      </c>
      <c r="O771" t="e">
        <v>#N/A</v>
      </c>
    </row>
    <row r="772" spans="1:15" x14ac:dyDescent="0.25">
      <c r="A772" t="s">
        <v>5</v>
      </c>
      <c r="B772" t="s">
        <v>24</v>
      </c>
      <c r="C772" s="3" t="str">
        <f>IF($B772="GW1",VLOOKUP($A772,Matches!$A:$AC,2,FALSE),IF($B772="GW2",VLOOKUP($A772,Matches!$A:$AC,9,FALSE),IF($B772="GW3",VLOOKUP($A772,Matches!$A:$AC,16,FALSE))))</f>
        <v>Sunderland</v>
      </c>
      <c r="D772" s="6">
        <v>0.4045307443365696</v>
      </c>
      <c r="E772" s="6">
        <v>0.30245289296192113</v>
      </c>
      <c r="F772" s="6">
        <v>0.10207785137464848</v>
      </c>
      <c r="G772" s="3" t="s">
        <v>1</v>
      </c>
      <c r="H772" t="e">
        <v>#N/A</v>
      </c>
      <c r="I772" t="e">
        <v>#N/A</v>
      </c>
      <c r="J772" t="e">
        <v>#N/A</v>
      </c>
      <c r="K772">
        <v>0.35467980300000002</v>
      </c>
      <c r="L772">
        <v>0.29039301299999998</v>
      </c>
      <c r="M772">
        <v>3.7393558E-2</v>
      </c>
      <c r="N772" t="e">
        <v>#N/A</v>
      </c>
      <c r="O772" t="e">
        <v>#N/A</v>
      </c>
    </row>
    <row r="773" spans="1:15" x14ac:dyDescent="0.25">
      <c r="A773" t="s">
        <v>5</v>
      </c>
      <c r="B773" t="s">
        <v>24</v>
      </c>
      <c r="C773" s="3" t="str">
        <f>IF($B773="GW1",VLOOKUP($A773,Matches!$A:$AC,2,FALSE),IF($B773="GW2",VLOOKUP($A773,Matches!$A:$AC,9,FALSE),IF($B773="GW3",VLOOKUP($A773,Matches!$A:$AC,16,FALSE))))</f>
        <v>Sunderland</v>
      </c>
      <c r="D773" s="6">
        <v>0.4045307443365696</v>
      </c>
      <c r="E773" s="6">
        <v>0.30245289296192113</v>
      </c>
      <c r="F773" s="6">
        <v>0.10207785137464848</v>
      </c>
      <c r="G773" s="3" t="s">
        <v>1</v>
      </c>
      <c r="H773">
        <v>0.19047618999999999</v>
      </c>
      <c r="I773">
        <v>9.5238094999999995E-2</v>
      </c>
      <c r="J773">
        <v>0.19047618999999999</v>
      </c>
      <c r="K773">
        <v>0.35467980300000002</v>
      </c>
      <c r="L773">
        <v>0.29039301299999998</v>
      </c>
      <c r="M773">
        <v>3.7393558E-2</v>
      </c>
      <c r="N773" t="e">
        <v>#N/A</v>
      </c>
      <c r="O773" t="e">
        <v>#N/A</v>
      </c>
    </row>
    <row r="774" spans="1:15" x14ac:dyDescent="0.25">
      <c r="A774" t="s">
        <v>5</v>
      </c>
      <c r="B774" t="s">
        <v>24</v>
      </c>
      <c r="C774" s="3" t="str">
        <f>IF($B774="GW1",VLOOKUP($A774,Matches!$A:$AC,2,FALSE),IF($B774="GW2",VLOOKUP($A774,Matches!$A:$AC,9,FALSE),IF($B774="GW3",VLOOKUP($A774,Matches!$A:$AC,16,FALSE))))</f>
        <v>Sunderland</v>
      </c>
      <c r="D774" s="6">
        <v>0.4045307443365696</v>
      </c>
      <c r="E774" s="6">
        <v>0.30245289296192113</v>
      </c>
      <c r="F774" s="6">
        <v>0.10207785137464848</v>
      </c>
      <c r="G774" s="3" t="s">
        <v>1</v>
      </c>
      <c r="H774" t="e">
        <v>#N/A</v>
      </c>
      <c r="I774" t="e">
        <v>#N/A</v>
      </c>
      <c r="J774" t="e">
        <v>#N/A</v>
      </c>
      <c r="K774">
        <v>0.35467980300000002</v>
      </c>
      <c r="L774">
        <v>0.29039301299999998</v>
      </c>
      <c r="M774">
        <v>3.7393558E-2</v>
      </c>
      <c r="N774" t="e">
        <v>#N/A</v>
      </c>
      <c r="O774" t="e">
        <v>#N/A</v>
      </c>
    </row>
    <row r="775" spans="1:15" x14ac:dyDescent="0.25">
      <c r="A775" t="s">
        <v>5</v>
      </c>
      <c r="B775" t="s">
        <v>24</v>
      </c>
      <c r="C775" s="3" t="str">
        <f>IF($B775="GW1",VLOOKUP($A775,Matches!$A:$AC,2,FALSE),IF($B775="GW2",VLOOKUP($A775,Matches!$A:$AC,9,FALSE),IF($B775="GW3",VLOOKUP($A775,Matches!$A:$AC,16,FALSE))))</f>
        <v>Sunderland</v>
      </c>
      <c r="D775" s="6">
        <v>0.4045307443365696</v>
      </c>
      <c r="E775" s="6">
        <v>0.30245289296192113</v>
      </c>
      <c r="F775" s="6">
        <v>0.10207785137464848</v>
      </c>
      <c r="G775" s="3" t="s">
        <v>1</v>
      </c>
      <c r="H775">
        <v>0.253968254</v>
      </c>
      <c r="I775">
        <v>0.105820106</v>
      </c>
      <c r="J775">
        <v>0.19047618999999999</v>
      </c>
      <c r="K775">
        <v>0.35467980300000002</v>
      </c>
      <c r="L775">
        <v>0.29039301299999998</v>
      </c>
      <c r="M775">
        <v>3.7393558E-2</v>
      </c>
      <c r="N775" t="e">
        <v>#N/A</v>
      </c>
      <c r="O775" t="e">
        <v>#N/A</v>
      </c>
    </row>
    <row r="776" spans="1:15" x14ac:dyDescent="0.25">
      <c r="A776" t="s">
        <v>5</v>
      </c>
      <c r="B776" t="s">
        <v>24</v>
      </c>
      <c r="C776" s="3" t="str">
        <f>IF($B776="GW1",VLOOKUP($A776,Matches!$A:$AC,2,FALSE),IF($B776="GW2",VLOOKUP($A776,Matches!$A:$AC,9,FALSE),IF($B776="GW3",VLOOKUP($A776,Matches!$A:$AC,16,FALSE))))</f>
        <v>Sunderland</v>
      </c>
      <c r="D776" s="6">
        <v>0.4045307443365696</v>
      </c>
      <c r="E776" s="6">
        <v>0.30245289296192113</v>
      </c>
      <c r="F776" s="6">
        <v>0.10207785137464848</v>
      </c>
      <c r="G776" s="3" t="s">
        <v>1</v>
      </c>
      <c r="H776" t="e">
        <v>#N/A</v>
      </c>
      <c r="I776" t="e">
        <v>#N/A</v>
      </c>
      <c r="J776" t="e">
        <v>#N/A</v>
      </c>
      <c r="K776">
        <v>0.35467980300000002</v>
      </c>
      <c r="L776">
        <v>0.29039301299999998</v>
      </c>
      <c r="M776">
        <v>3.7393558E-2</v>
      </c>
      <c r="N776" t="e">
        <v>#N/A</v>
      </c>
      <c r="O776" t="e">
        <v>#N/A</v>
      </c>
    </row>
    <row r="777" spans="1:15" x14ac:dyDescent="0.25">
      <c r="A777" t="s">
        <v>5</v>
      </c>
      <c r="B777" t="s">
        <v>24</v>
      </c>
      <c r="C777" s="3" t="str">
        <f>IF($B777="GW1",VLOOKUP($A777,Matches!$A:$AC,2,FALSE),IF($B777="GW2",VLOOKUP($A777,Matches!$A:$AC,9,FALSE),IF($B777="GW3",VLOOKUP($A777,Matches!$A:$AC,16,FALSE))))</f>
        <v>Sunderland</v>
      </c>
      <c r="D777" s="6">
        <v>0.4045307443365696</v>
      </c>
      <c r="E777" s="6">
        <v>0.30245289296192113</v>
      </c>
      <c r="F777" s="6">
        <v>0.10207785137464848</v>
      </c>
      <c r="G777" s="3" t="s">
        <v>1</v>
      </c>
      <c r="H777">
        <v>0.28011204499999998</v>
      </c>
      <c r="I777">
        <v>0.13605442200000001</v>
      </c>
      <c r="J777">
        <v>0.23809523799999999</v>
      </c>
      <c r="K777">
        <v>0.35467980300000002</v>
      </c>
      <c r="L777">
        <v>0.29039301299999998</v>
      </c>
      <c r="M777">
        <v>3.7393558E-2</v>
      </c>
      <c r="N777" t="e">
        <v>#N/A</v>
      </c>
      <c r="O777" t="e">
        <v>#N/A</v>
      </c>
    </row>
    <row r="778" spans="1:15" x14ac:dyDescent="0.25">
      <c r="A778" t="s">
        <v>5</v>
      </c>
      <c r="B778" t="s">
        <v>24</v>
      </c>
      <c r="C778" s="3" t="str">
        <f>IF($B778="GW1",VLOOKUP($A778,Matches!$A:$AC,2,FALSE),IF($B778="GW2",VLOOKUP($A778,Matches!$A:$AC,9,FALSE),IF($B778="GW3",VLOOKUP($A778,Matches!$A:$AC,16,FALSE))))</f>
        <v>Sunderland</v>
      </c>
      <c r="D778" s="6">
        <v>0.4045307443365696</v>
      </c>
      <c r="E778" s="6">
        <v>0.30245289296192113</v>
      </c>
      <c r="F778" s="6">
        <v>0.10207785137464848</v>
      </c>
      <c r="G778" s="3" t="s">
        <v>1</v>
      </c>
      <c r="H778">
        <v>0.21994941200000001</v>
      </c>
      <c r="I778">
        <v>0.11904761899999999</v>
      </c>
      <c r="J778">
        <v>0.21994941200000001</v>
      </c>
      <c r="K778">
        <v>0.35467980300000002</v>
      </c>
      <c r="L778">
        <v>0.29039301299999998</v>
      </c>
      <c r="M778">
        <v>3.7393558E-2</v>
      </c>
      <c r="N778" t="e">
        <v>#N/A</v>
      </c>
      <c r="O778" t="e">
        <v>#N/A</v>
      </c>
    </row>
    <row r="779" spans="1:15" x14ac:dyDescent="0.25">
      <c r="A779" t="s">
        <v>5</v>
      </c>
      <c r="B779" t="s">
        <v>24</v>
      </c>
      <c r="C779" s="3" t="str">
        <f>IF($B779="GW1",VLOOKUP($A779,Matches!$A:$AC,2,FALSE),IF($B779="GW2",VLOOKUP($A779,Matches!$A:$AC,9,FALSE),IF($B779="GW3",VLOOKUP($A779,Matches!$A:$AC,16,FALSE))))</f>
        <v>Sunderland</v>
      </c>
      <c r="D779" s="6">
        <v>0.4045307443365696</v>
      </c>
      <c r="E779" s="6">
        <v>0.30245289296192113</v>
      </c>
      <c r="F779" s="6">
        <v>0.10207785137464848</v>
      </c>
      <c r="G779" s="3" t="s">
        <v>1</v>
      </c>
      <c r="H779" t="e">
        <v>#N/A</v>
      </c>
      <c r="I779" t="e">
        <v>#N/A</v>
      </c>
      <c r="J779" t="e">
        <v>#N/A</v>
      </c>
      <c r="K779">
        <v>0.35467980300000002</v>
      </c>
      <c r="L779">
        <v>0.29039301299999998</v>
      </c>
      <c r="M779">
        <v>3.7393558E-2</v>
      </c>
      <c r="N779" t="e">
        <v>#N/A</v>
      </c>
      <c r="O779" t="e">
        <v>#N/A</v>
      </c>
    </row>
    <row r="780" spans="1:15" x14ac:dyDescent="0.25">
      <c r="A780" t="s">
        <v>6</v>
      </c>
      <c r="B780" t="s">
        <v>24</v>
      </c>
      <c r="C780" s="3" t="str">
        <f>IF($B780="GW1",VLOOKUP($A780,Matches!$A:$AC,2,FALSE),IF($B780="GW2",VLOOKUP($A780,Matches!$A:$AC,9,FALSE),IF($B780="GW3",VLOOKUP($A780,Matches!$A:$AC,16,FALSE))))</f>
        <v>Wolves</v>
      </c>
      <c r="D780" s="6">
        <v>0.53639435713136296</v>
      </c>
      <c r="E780" s="6">
        <v>0.21866526720895649</v>
      </c>
      <c r="F780" s="6">
        <v>0.31772908992240645</v>
      </c>
      <c r="G780" s="3" t="s">
        <v>1</v>
      </c>
      <c r="H780" t="e">
        <v>#N/A</v>
      </c>
      <c r="I780" t="e">
        <v>#N/A</v>
      </c>
      <c r="J780" t="e">
        <v>#N/A</v>
      </c>
      <c r="K780">
        <v>0.35467980300000002</v>
      </c>
      <c r="L780">
        <v>0.29039301299999998</v>
      </c>
      <c r="M780">
        <v>3.7393558E-2</v>
      </c>
      <c r="N780" t="e">
        <v>#N/A</v>
      </c>
      <c r="O780" t="e">
        <v>#N/A</v>
      </c>
    </row>
    <row r="781" spans="1:15" x14ac:dyDescent="0.25">
      <c r="A781" t="s">
        <v>6</v>
      </c>
      <c r="B781" t="s">
        <v>24</v>
      </c>
      <c r="C781" s="3" t="str">
        <f>IF($B781="GW1",VLOOKUP($A781,Matches!$A:$AC,2,FALSE),IF($B781="GW2",VLOOKUP($A781,Matches!$A:$AC,9,FALSE),IF($B781="GW3",VLOOKUP($A781,Matches!$A:$AC,16,FALSE))))</f>
        <v>Wolves</v>
      </c>
      <c r="D781" s="6">
        <v>0.53639435713136296</v>
      </c>
      <c r="E781" s="6">
        <v>0.21866526720895649</v>
      </c>
      <c r="F781" s="6">
        <v>0.31772908992240645</v>
      </c>
      <c r="G781" s="3" t="s">
        <v>1</v>
      </c>
      <c r="H781" t="e">
        <v>#N/A</v>
      </c>
      <c r="I781" t="e">
        <v>#N/A</v>
      </c>
      <c r="J781">
        <v>0.126984127</v>
      </c>
      <c r="K781">
        <v>0.35467980300000002</v>
      </c>
      <c r="L781">
        <v>0.29039301299999998</v>
      </c>
      <c r="M781">
        <v>3.7393558E-2</v>
      </c>
      <c r="N781">
        <v>0.553709856</v>
      </c>
      <c r="O781">
        <v>8.6580087E-2</v>
      </c>
    </row>
    <row r="782" spans="1:15" x14ac:dyDescent="0.25">
      <c r="A782" t="s">
        <v>6</v>
      </c>
      <c r="B782" t="s">
        <v>24</v>
      </c>
      <c r="C782" s="3" t="str">
        <f>IF($B782="GW1",VLOOKUP($A782,Matches!$A:$AC,2,FALSE),IF($B782="GW2",VLOOKUP($A782,Matches!$A:$AC,9,FALSE),IF($B782="GW3",VLOOKUP($A782,Matches!$A:$AC,16,FALSE))))</f>
        <v>Wolves</v>
      </c>
      <c r="D782" s="6">
        <v>0.53639435713136296</v>
      </c>
      <c r="E782" s="6">
        <v>0.21866526720895649</v>
      </c>
      <c r="F782" s="6">
        <v>0.31772908992240645</v>
      </c>
      <c r="G782" s="3" t="s">
        <v>1</v>
      </c>
      <c r="H782" t="e">
        <v>#N/A</v>
      </c>
      <c r="I782" t="e">
        <v>#N/A</v>
      </c>
      <c r="J782" t="e">
        <v>#N/A</v>
      </c>
      <c r="K782">
        <v>0.35467980300000002</v>
      </c>
      <c r="L782">
        <v>0.29039301299999998</v>
      </c>
      <c r="M782">
        <v>3.7393558E-2</v>
      </c>
      <c r="N782" t="e">
        <v>#N/A</v>
      </c>
      <c r="O782" t="e">
        <v>#N/A</v>
      </c>
    </row>
    <row r="783" spans="1:15" x14ac:dyDescent="0.25">
      <c r="A783" t="s">
        <v>6</v>
      </c>
      <c r="B783" t="s">
        <v>24</v>
      </c>
      <c r="C783" s="3" t="str">
        <f>IF($B783="GW1",VLOOKUP($A783,Matches!$A:$AC,2,FALSE),IF($B783="GW2",VLOOKUP($A783,Matches!$A:$AC,9,FALSE),IF($B783="GW3",VLOOKUP($A783,Matches!$A:$AC,16,FALSE))))</f>
        <v>Wolves</v>
      </c>
      <c r="D783" s="6">
        <v>0.53639435713136296</v>
      </c>
      <c r="E783" s="6">
        <v>0.21866526720895649</v>
      </c>
      <c r="F783" s="6">
        <v>0.31772908992240645</v>
      </c>
      <c r="G783" s="3" t="s">
        <v>1</v>
      </c>
      <c r="H783" t="e">
        <v>#N/A</v>
      </c>
      <c r="I783" t="e">
        <v>#N/A</v>
      </c>
      <c r="J783">
        <v>0.20050125299999999</v>
      </c>
      <c r="K783">
        <v>0.35467980300000002</v>
      </c>
      <c r="L783">
        <v>0.29039301299999998</v>
      </c>
      <c r="M783">
        <v>3.7393558E-2</v>
      </c>
      <c r="N783" t="e">
        <v>#N/A</v>
      </c>
      <c r="O783" t="e">
        <v>#N/A</v>
      </c>
    </row>
    <row r="784" spans="1:15" x14ac:dyDescent="0.25">
      <c r="A784" t="s">
        <v>6</v>
      </c>
      <c r="B784" t="s">
        <v>24</v>
      </c>
      <c r="C784" s="3" t="str">
        <f>IF($B784="GW1",VLOOKUP($A784,Matches!$A:$AC,2,FALSE),IF($B784="GW2",VLOOKUP($A784,Matches!$A:$AC,9,FALSE),IF($B784="GW3",VLOOKUP($A784,Matches!$A:$AC,16,FALSE))))</f>
        <v>Wolves</v>
      </c>
      <c r="D784" s="6">
        <v>0.53639435713136296</v>
      </c>
      <c r="E784" s="6">
        <v>0.21866526720895649</v>
      </c>
      <c r="F784" s="6">
        <v>0.31772908992240645</v>
      </c>
      <c r="G784" s="3" t="s">
        <v>1</v>
      </c>
      <c r="H784" t="e">
        <v>#N/A</v>
      </c>
      <c r="I784" t="e">
        <v>#N/A</v>
      </c>
      <c r="J784">
        <v>0.20050125299999999</v>
      </c>
      <c r="K784">
        <v>0.35467980300000002</v>
      </c>
      <c r="L784">
        <v>0.29039301299999998</v>
      </c>
      <c r="M784">
        <v>3.7393558E-2</v>
      </c>
      <c r="N784" t="e">
        <v>#N/A</v>
      </c>
      <c r="O784" t="e">
        <v>#N/A</v>
      </c>
    </row>
    <row r="785" spans="1:15" x14ac:dyDescent="0.25">
      <c r="A785" t="s">
        <v>6</v>
      </c>
      <c r="B785" t="s">
        <v>24</v>
      </c>
      <c r="C785" s="3" t="str">
        <f>IF($B785="GW1",VLOOKUP($A785,Matches!$A:$AC,2,FALSE),IF($B785="GW2",VLOOKUP($A785,Matches!$A:$AC,9,FALSE),IF($B785="GW3",VLOOKUP($A785,Matches!$A:$AC,16,FALSE))))</f>
        <v>Wolves</v>
      </c>
      <c r="D785" s="6">
        <v>0.53639435713136296</v>
      </c>
      <c r="E785" s="6">
        <v>0.21866526720895649</v>
      </c>
      <c r="F785" s="6">
        <v>0.31772908992240645</v>
      </c>
      <c r="G785" s="3" t="s">
        <v>1</v>
      </c>
      <c r="H785" t="e">
        <v>#N/A</v>
      </c>
      <c r="I785" t="e">
        <v>#N/A</v>
      </c>
      <c r="J785" t="e">
        <v>#N/A</v>
      </c>
      <c r="K785">
        <v>0.35467980300000002</v>
      </c>
      <c r="L785">
        <v>0.29039301299999998</v>
      </c>
      <c r="M785">
        <v>3.7393558E-2</v>
      </c>
      <c r="N785" t="e">
        <v>#N/A</v>
      </c>
      <c r="O785" t="e">
        <v>#N/A</v>
      </c>
    </row>
    <row r="786" spans="1:15" x14ac:dyDescent="0.25">
      <c r="A786" t="s">
        <v>6</v>
      </c>
      <c r="B786" t="s">
        <v>24</v>
      </c>
      <c r="C786" s="3" t="str">
        <f>IF($B786="GW1",VLOOKUP($A786,Matches!$A:$AC,2,FALSE),IF($B786="GW2",VLOOKUP($A786,Matches!$A:$AC,9,FALSE),IF($B786="GW3",VLOOKUP($A786,Matches!$A:$AC,16,FALSE))))</f>
        <v>Wolves</v>
      </c>
      <c r="D786" s="6">
        <v>0.53639435713136296</v>
      </c>
      <c r="E786" s="6">
        <v>0.21866526720895649</v>
      </c>
      <c r="F786" s="6">
        <v>0.31772908992240645</v>
      </c>
      <c r="G786" s="3" t="s">
        <v>1</v>
      </c>
      <c r="H786">
        <v>7.9365079000000005E-2</v>
      </c>
      <c r="I786">
        <v>8.6580087E-2</v>
      </c>
      <c r="J786">
        <v>0.297619048</v>
      </c>
      <c r="K786">
        <v>0.35467980300000002</v>
      </c>
      <c r="L786">
        <v>0.29039301299999998</v>
      </c>
      <c r="M786">
        <v>3.7393558E-2</v>
      </c>
      <c r="N786" t="e">
        <v>#N/A</v>
      </c>
      <c r="O786" t="e">
        <v>#N/A</v>
      </c>
    </row>
    <row r="787" spans="1:15" x14ac:dyDescent="0.25">
      <c r="A787" t="s">
        <v>6</v>
      </c>
      <c r="B787" t="s">
        <v>24</v>
      </c>
      <c r="C787" s="3" t="str">
        <f>IF($B787="GW1",VLOOKUP($A787,Matches!$A:$AC,2,FALSE),IF($B787="GW2",VLOOKUP($A787,Matches!$A:$AC,9,FALSE),IF($B787="GW3",VLOOKUP($A787,Matches!$A:$AC,16,FALSE))))</f>
        <v>Wolves</v>
      </c>
      <c r="D787" s="6">
        <v>0.53639435713136296</v>
      </c>
      <c r="E787" s="6">
        <v>0.21866526720895649</v>
      </c>
      <c r="F787" s="6">
        <v>0.31772908992240645</v>
      </c>
      <c r="G787" s="3" t="s">
        <v>1</v>
      </c>
      <c r="H787">
        <v>7.9365079000000005E-2</v>
      </c>
      <c r="I787">
        <v>7.3260072999999995E-2</v>
      </c>
      <c r="J787">
        <v>0.253968254</v>
      </c>
      <c r="K787">
        <v>0.35467980300000002</v>
      </c>
      <c r="L787">
        <v>0.29039301299999998</v>
      </c>
      <c r="M787">
        <v>3.7393558E-2</v>
      </c>
      <c r="N787" t="e">
        <v>#N/A</v>
      </c>
      <c r="O787" t="e">
        <v>#N/A</v>
      </c>
    </row>
    <row r="788" spans="1:15" x14ac:dyDescent="0.25">
      <c r="A788" t="s">
        <v>6</v>
      </c>
      <c r="B788" t="s">
        <v>24</v>
      </c>
      <c r="C788" s="3" t="str">
        <f>IF($B788="GW1",VLOOKUP($A788,Matches!$A:$AC,2,FALSE),IF($B788="GW2",VLOOKUP($A788,Matches!$A:$AC,9,FALSE),IF($B788="GW3",VLOOKUP($A788,Matches!$A:$AC,16,FALSE))))</f>
        <v>Wolves</v>
      </c>
      <c r="D788" s="6">
        <v>0.53639435713136296</v>
      </c>
      <c r="E788" s="6">
        <v>0.21866526720895649</v>
      </c>
      <c r="F788" s="6">
        <v>0.31772908992240645</v>
      </c>
      <c r="G788" s="3" t="s">
        <v>1</v>
      </c>
      <c r="H788">
        <v>0.10025062699999999</v>
      </c>
      <c r="I788">
        <v>0.15873015900000001</v>
      </c>
      <c r="J788">
        <v>0.20050125299999999</v>
      </c>
      <c r="K788">
        <v>0.35467980300000002</v>
      </c>
      <c r="L788">
        <v>0.29039301299999998</v>
      </c>
      <c r="M788">
        <v>3.7393558E-2</v>
      </c>
      <c r="N788" t="e">
        <v>#N/A</v>
      </c>
      <c r="O788" t="e">
        <v>#N/A</v>
      </c>
    </row>
    <row r="789" spans="1:15" x14ac:dyDescent="0.25">
      <c r="A789" t="s">
        <v>6</v>
      </c>
      <c r="B789" t="s">
        <v>24</v>
      </c>
      <c r="C789" s="3" t="str">
        <f>IF($B789="GW1",VLOOKUP($A789,Matches!$A:$AC,2,FALSE),IF($B789="GW2",VLOOKUP($A789,Matches!$A:$AC,9,FALSE),IF($B789="GW3",VLOOKUP($A789,Matches!$A:$AC,16,FALSE))))</f>
        <v>Wolves</v>
      </c>
      <c r="D789" s="6">
        <v>0.53639435713136296</v>
      </c>
      <c r="E789" s="6">
        <v>0.21866526720895649</v>
      </c>
      <c r="F789" s="6">
        <v>0.31772908992240645</v>
      </c>
      <c r="G789" s="3" t="s">
        <v>1</v>
      </c>
      <c r="H789" t="e">
        <v>#N/A</v>
      </c>
      <c r="I789" t="e">
        <v>#N/A</v>
      </c>
      <c r="J789" t="e">
        <v>#N/A</v>
      </c>
      <c r="K789">
        <v>0.35467980300000002</v>
      </c>
      <c r="L789">
        <v>0.29039301299999998</v>
      </c>
      <c r="M789">
        <v>3.7393558E-2</v>
      </c>
      <c r="N789" t="e">
        <v>#N/A</v>
      </c>
      <c r="O789" t="e">
        <v>#N/A</v>
      </c>
    </row>
    <row r="790" spans="1:15" x14ac:dyDescent="0.25">
      <c r="A790" t="s">
        <v>6</v>
      </c>
      <c r="B790" t="s">
        <v>24</v>
      </c>
      <c r="C790" s="3" t="str">
        <f>IF($B790="GW1",VLOOKUP($A790,Matches!$A:$AC,2,FALSE),IF($B790="GW2",VLOOKUP($A790,Matches!$A:$AC,9,FALSE),IF($B790="GW3",VLOOKUP($A790,Matches!$A:$AC,16,FALSE))))</f>
        <v>Wolves</v>
      </c>
      <c r="D790" s="6">
        <v>0.53639435713136296</v>
      </c>
      <c r="E790" s="6">
        <v>0.21866526720895649</v>
      </c>
      <c r="F790" s="6">
        <v>0.31772908992240645</v>
      </c>
      <c r="G790" s="3" t="s">
        <v>1</v>
      </c>
      <c r="H790" t="e">
        <v>#N/A</v>
      </c>
      <c r="I790" t="e">
        <v>#N/A</v>
      </c>
      <c r="J790" t="e">
        <v>#N/A</v>
      </c>
      <c r="K790">
        <v>0.35467980300000002</v>
      </c>
      <c r="L790">
        <v>0.29039301299999998</v>
      </c>
      <c r="M790">
        <v>3.7393558E-2</v>
      </c>
      <c r="N790" t="e">
        <v>#N/A</v>
      </c>
      <c r="O790" t="e">
        <v>#N/A</v>
      </c>
    </row>
    <row r="791" spans="1:15" x14ac:dyDescent="0.25">
      <c r="A791" t="s">
        <v>6</v>
      </c>
      <c r="B791" t="s">
        <v>24</v>
      </c>
      <c r="C791" s="3" t="str">
        <f>IF($B791="GW1",VLOOKUP($A791,Matches!$A:$AC,2,FALSE),IF($B791="GW2",VLOOKUP($A791,Matches!$A:$AC,9,FALSE),IF($B791="GW3",VLOOKUP($A791,Matches!$A:$AC,16,FALSE))))</f>
        <v>Wolves</v>
      </c>
      <c r="D791" s="6">
        <v>0.53639435713136296</v>
      </c>
      <c r="E791" s="6">
        <v>0.21866526720895649</v>
      </c>
      <c r="F791" s="6">
        <v>0.31772908992240645</v>
      </c>
      <c r="G791" s="3" t="s">
        <v>1</v>
      </c>
      <c r="H791">
        <v>0.10025062699999999</v>
      </c>
      <c r="I791">
        <v>0.11904761899999999</v>
      </c>
      <c r="J791">
        <v>0.20050125299999999</v>
      </c>
      <c r="K791">
        <v>0.35467980300000002</v>
      </c>
      <c r="L791">
        <v>0.29039301299999998</v>
      </c>
      <c r="M791">
        <v>3.7393558E-2</v>
      </c>
      <c r="N791" t="e">
        <v>#N/A</v>
      </c>
      <c r="O791" t="e">
        <v>#N/A</v>
      </c>
    </row>
    <row r="792" spans="1:15" x14ac:dyDescent="0.25">
      <c r="A792" t="s">
        <v>6</v>
      </c>
      <c r="B792" t="s">
        <v>24</v>
      </c>
      <c r="C792" s="3" t="str">
        <f>IF($B792="GW1",VLOOKUP($A792,Matches!$A:$AC,2,FALSE),IF($B792="GW2",VLOOKUP($A792,Matches!$A:$AC,9,FALSE),IF($B792="GW3",VLOOKUP($A792,Matches!$A:$AC,16,FALSE))))</f>
        <v>Wolves</v>
      </c>
      <c r="D792" s="6">
        <v>0.53639435713136296</v>
      </c>
      <c r="E792" s="6">
        <v>0.21866526720895649</v>
      </c>
      <c r="F792" s="6">
        <v>0.31772908992240645</v>
      </c>
      <c r="G792" s="3" t="s">
        <v>1</v>
      </c>
      <c r="H792">
        <v>9.5238094999999995E-2</v>
      </c>
      <c r="I792">
        <v>0.13605442200000001</v>
      </c>
      <c r="J792">
        <v>0.27210884400000002</v>
      </c>
      <c r="K792">
        <v>0.35467980300000002</v>
      </c>
      <c r="L792">
        <v>0.29039301299999998</v>
      </c>
      <c r="M792">
        <v>3.7393558E-2</v>
      </c>
      <c r="N792" t="e">
        <v>#N/A</v>
      </c>
      <c r="O792" t="e">
        <v>#N/A</v>
      </c>
    </row>
    <row r="793" spans="1:15" x14ac:dyDescent="0.25">
      <c r="A793" t="s">
        <v>6</v>
      </c>
      <c r="B793" t="s">
        <v>24</v>
      </c>
      <c r="C793" s="3" t="str">
        <f>IF($B793="GW1",VLOOKUP($A793,Matches!$A:$AC,2,FALSE),IF($B793="GW2",VLOOKUP($A793,Matches!$A:$AC,9,FALSE),IF($B793="GW3",VLOOKUP($A793,Matches!$A:$AC,16,FALSE))))</f>
        <v>Wolves</v>
      </c>
      <c r="D793" s="6">
        <v>0.53639435713136296</v>
      </c>
      <c r="E793" s="6">
        <v>0.21866526720895649</v>
      </c>
      <c r="F793" s="6">
        <v>0.31772908992240645</v>
      </c>
      <c r="G793" s="3" t="s">
        <v>1</v>
      </c>
      <c r="H793">
        <v>9.5238094999999995E-2</v>
      </c>
      <c r="I793">
        <v>5.6022409000000002E-2</v>
      </c>
      <c r="J793">
        <v>0.253968254</v>
      </c>
      <c r="K793">
        <v>0.35467980300000002</v>
      </c>
      <c r="L793">
        <v>0.29039301299999998</v>
      </c>
      <c r="M793">
        <v>3.7393558E-2</v>
      </c>
      <c r="N793" t="e">
        <v>#N/A</v>
      </c>
      <c r="O793" t="e">
        <v>#N/A</v>
      </c>
    </row>
    <row r="794" spans="1:15" x14ac:dyDescent="0.25">
      <c r="A794" t="s">
        <v>6</v>
      </c>
      <c r="B794" t="s">
        <v>24</v>
      </c>
      <c r="C794" s="3" t="str">
        <f>IF($B794="GW1",VLOOKUP($A794,Matches!$A:$AC,2,FALSE),IF($B794="GW2",VLOOKUP($A794,Matches!$A:$AC,9,FALSE),IF($B794="GW3",VLOOKUP($A794,Matches!$A:$AC,16,FALSE))))</f>
        <v>Wolves</v>
      </c>
      <c r="D794" s="6">
        <v>0.53639435713136296</v>
      </c>
      <c r="E794" s="6">
        <v>0.21866526720895649</v>
      </c>
      <c r="F794" s="6">
        <v>0.31772908992240645</v>
      </c>
      <c r="G794" s="3" t="s">
        <v>1</v>
      </c>
      <c r="H794" t="e">
        <v>#N/A</v>
      </c>
      <c r="I794" t="e">
        <v>#N/A</v>
      </c>
      <c r="J794" t="e">
        <v>#N/A</v>
      </c>
      <c r="K794">
        <v>0.35467980300000002</v>
      </c>
      <c r="L794">
        <v>0.29039301299999998</v>
      </c>
      <c r="M794">
        <v>3.7393558E-2</v>
      </c>
      <c r="N794" t="e">
        <v>#N/A</v>
      </c>
      <c r="O794" t="e">
        <v>#N/A</v>
      </c>
    </row>
    <row r="795" spans="1:15" x14ac:dyDescent="0.25">
      <c r="A795" t="s">
        <v>6</v>
      </c>
      <c r="B795" t="s">
        <v>24</v>
      </c>
      <c r="C795" s="3" t="str">
        <f>IF($B795="GW1",VLOOKUP($A795,Matches!$A:$AC,2,FALSE),IF($B795="GW2",VLOOKUP($A795,Matches!$A:$AC,9,FALSE),IF($B795="GW3",VLOOKUP($A795,Matches!$A:$AC,16,FALSE))))</f>
        <v>Wolves</v>
      </c>
      <c r="D795" s="6">
        <v>0.53639435713136296</v>
      </c>
      <c r="E795" s="6">
        <v>0.21866526720895649</v>
      </c>
      <c r="F795" s="6">
        <v>0.31772908992240645</v>
      </c>
      <c r="G795" s="3" t="s">
        <v>1</v>
      </c>
      <c r="H795" t="e">
        <v>#N/A</v>
      </c>
      <c r="I795" t="e">
        <v>#N/A</v>
      </c>
      <c r="J795" t="e">
        <v>#N/A</v>
      </c>
      <c r="K795">
        <v>0.35467980300000002</v>
      </c>
      <c r="L795">
        <v>0.29039301299999998</v>
      </c>
      <c r="M795">
        <v>3.7393558E-2</v>
      </c>
      <c r="N795" t="e">
        <v>#N/A</v>
      </c>
      <c r="O795" t="e">
        <v>#N/A</v>
      </c>
    </row>
    <row r="796" spans="1:15" x14ac:dyDescent="0.25">
      <c r="A796" t="s">
        <v>6</v>
      </c>
      <c r="B796" t="s">
        <v>24</v>
      </c>
      <c r="C796" s="3" t="str">
        <f>IF($B796="GW1",VLOOKUP($A796,Matches!$A:$AC,2,FALSE),IF($B796="GW2",VLOOKUP($A796,Matches!$A:$AC,9,FALSE),IF($B796="GW3",VLOOKUP($A796,Matches!$A:$AC,16,FALSE))))</f>
        <v>Wolves</v>
      </c>
      <c r="D796" s="6">
        <v>0.53639435713136296</v>
      </c>
      <c r="E796" s="6">
        <v>0.21866526720895649</v>
      </c>
      <c r="F796" s="6">
        <v>0.31772908992240645</v>
      </c>
      <c r="G796" s="3" t="s">
        <v>1</v>
      </c>
      <c r="H796">
        <v>0.346320346</v>
      </c>
      <c r="I796">
        <v>0.173160173</v>
      </c>
      <c r="J796">
        <v>0.21994941200000001</v>
      </c>
      <c r="K796">
        <v>0.35467980300000002</v>
      </c>
      <c r="L796">
        <v>0.29039301299999998</v>
      </c>
      <c r="M796">
        <v>3.7393558E-2</v>
      </c>
      <c r="N796" t="e">
        <v>#N/A</v>
      </c>
      <c r="O796" t="e">
        <v>#N/A</v>
      </c>
    </row>
    <row r="797" spans="1:15" x14ac:dyDescent="0.25">
      <c r="A797" t="s">
        <v>6</v>
      </c>
      <c r="B797" t="s">
        <v>24</v>
      </c>
      <c r="C797" s="3" t="str">
        <f>IF($B797="GW1",VLOOKUP($A797,Matches!$A:$AC,2,FALSE),IF($B797="GW2",VLOOKUP($A797,Matches!$A:$AC,9,FALSE),IF($B797="GW3",VLOOKUP($A797,Matches!$A:$AC,16,FALSE))))</f>
        <v>Wolves</v>
      </c>
      <c r="D797" s="6">
        <v>0.53639435713136296</v>
      </c>
      <c r="E797" s="6">
        <v>0.21866526720895649</v>
      </c>
      <c r="F797" s="6">
        <v>0.31772908992240645</v>
      </c>
      <c r="G797" s="3" t="s">
        <v>1</v>
      </c>
      <c r="H797">
        <v>0.253968254</v>
      </c>
      <c r="I797">
        <v>0.15873015900000001</v>
      </c>
      <c r="J797">
        <v>0.21994941200000001</v>
      </c>
      <c r="K797">
        <v>0.35467980300000002</v>
      </c>
      <c r="L797">
        <v>0.29039301299999998</v>
      </c>
      <c r="M797">
        <v>3.7393558E-2</v>
      </c>
      <c r="N797" t="e">
        <v>#N/A</v>
      </c>
      <c r="O797" t="e">
        <v>#N/A</v>
      </c>
    </row>
    <row r="798" spans="1:15" x14ac:dyDescent="0.25">
      <c r="A798" t="s">
        <v>6</v>
      </c>
      <c r="B798" t="s">
        <v>24</v>
      </c>
      <c r="C798" s="3" t="str">
        <f>IF($B798="GW1",VLOOKUP($A798,Matches!$A:$AC,2,FALSE),IF($B798="GW2",VLOOKUP($A798,Matches!$A:$AC,9,FALSE),IF($B798="GW3",VLOOKUP($A798,Matches!$A:$AC,16,FALSE))))</f>
        <v>Wolves</v>
      </c>
      <c r="D798" s="6">
        <v>0.53639435713136296</v>
      </c>
      <c r="E798" s="6">
        <v>0.21866526720895649</v>
      </c>
      <c r="F798" s="6">
        <v>0.31772908992240645</v>
      </c>
      <c r="G798" s="3" t="s">
        <v>1</v>
      </c>
      <c r="H798">
        <v>0.253968254</v>
      </c>
      <c r="I798">
        <v>0.173160173</v>
      </c>
      <c r="J798">
        <v>0.173160173</v>
      </c>
      <c r="K798">
        <v>0.35467980300000002</v>
      </c>
      <c r="L798">
        <v>0.29039301299999998</v>
      </c>
      <c r="M798">
        <v>3.7393558E-2</v>
      </c>
      <c r="N798" t="e">
        <v>#N/A</v>
      </c>
      <c r="O798" t="e">
        <v>#N/A</v>
      </c>
    </row>
    <row r="799" spans="1:15" x14ac:dyDescent="0.25">
      <c r="A799" t="s">
        <v>6</v>
      </c>
      <c r="B799" t="s">
        <v>24</v>
      </c>
      <c r="C799" s="3" t="str">
        <f>IF($B799="GW1",VLOOKUP($A799,Matches!$A:$AC,2,FALSE),IF($B799="GW2",VLOOKUP($A799,Matches!$A:$AC,9,FALSE),IF($B799="GW3",VLOOKUP($A799,Matches!$A:$AC,16,FALSE))))</f>
        <v>Wolves</v>
      </c>
      <c r="D799" s="6">
        <v>0.53639435713136296</v>
      </c>
      <c r="E799" s="6">
        <v>0.21866526720895649</v>
      </c>
      <c r="F799" s="6">
        <v>0.31772908992240645</v>
      </c>
      <c r="G799" s="3" t="s">
        <v>1</v>
      </c>
      <c r="H799">
        <v>9.5238094999999995E-2</v>
      </c>
      <c r="I799">
        <v>8.6580087E-2</v>
      </c>
      <c r="J799">
        <v>0.297619048</v>
      </c>
      <c r="K799">
        <v>0.35467980300000002</v>
      </c>
      <c r="L799">
        <v>0.29039301299999998</v>
      </c>
      <c r="M799">
        <v>3.7393558E-2</v>
      </c>
      <c r="N799" t="e">
        <v>#N/A</v>
      </c>
      <c r="O799" t="e">
        <v>#N/A</v>
      </c>
    </row>
    <row r="800" spans="1:15" x14ac:dyDescent="0.25">
      <c r="A800" t="s">
        <v>6</v>
      </c>
      <c r="B800" t="s">
        <v>24</v>
      </c>
      <c r="C800" s="3" t="str">
        <f>IF($B800="GW1",VLOOKUP($A800,Matches!$A:$AC,2,FALSE),IF($B800="GW2",VLOOKUP($A800,Matches!$A:$AC,9,FALSE),IF($B800="GW3",VLOOKUP($A800,Matches!$A:$AC,16,FALSE))))</f>
        <v>Wolves</v>
      </c>
      <c r="D800" s="6">
        <v>0.53639435713136296</v>
      </c>
      <c r="E800" s="6">
        <v>0.21866526720895649</v>
      </c>
      <c r="F800" s="6">
        <v>0.31772908992240645</v>
      </c>
      <c r="G800" s="3" t="s">
        <v>1</v>
      </c>
      <c r="H800">
        <v>0.307219662</v>
      </c>
      <c r="I800">
        <v>0.23809523799999999</v>
      </c>
      <c r="J800">
        <v>0.173160173</v>
      </c>
      <c r="K800">
        <v>0.35467980300000002</v>
      </c>
      <c r="L800">
        <v>0.29039301299999998</v>
      </c>
      <c r="M800">
        <v>3.7393558E-2</v>
      </c>
      <c r="N800" t="e">
        <v>#N/A</v>
      </c>
      <c r="O800" t="e">
        <v>#N/A</v>
      </c>
    </row>
    <row r="801" spans="1:15" x14ac:dyDescent="0.25">
      <c r="A801" t="s">
        <v>6</v>
      </c>
      <c r="B801" t="s">
        <v>24</v>
      </c>
      <c r="C801" s="3" t="str">
        <f>IF($B801="GW1",VLOOKUP($A801,Matches!$A:$AC,2,FALSE),IF($B801="GW2",VLOOKUP($A801,Matches!$A:$AC,9,FALSE),IF($B801="GW3",VLOOKUP($A801,Matches!$A:$AC,16,FALSE))))</f>
        <v>Wolves</v>
      </c>
      <c r="D801" s="6">
        <v>0.53639435713136296</v>
      </c>
      <c r="E801" s="6">
        <v>0.21866526720895649</v>
      </c>
      <c r="F801" s="6">
        <v>0.31772908992240645</v>
      </c>
      <c r="G801" s="3" t="s">
        <v>1</v>
      </c>
      <c r="H801" t="e">
        <v>#N/A</v>
      </c>
      <c r="I801" t="e">
        <v>#N/A</v>
      </c>
      <c r="J801" t="e">
        <v>#N/A</v>
      </c>
      <c r="K801">
        <v>0.35467980300000002</v>
      </c>
      <c r="L801">
        <v>0.29039301299999998</v>
      </c>
      <c r="M801">
        <v>3.7393558E-2</v>
      </c>
      <c r="N801" t="e">
        <v>#N/A</v>
      </c>
      <c r="O801" t="e">
        <v>#N/A</v>
      </c>
    </row>
    <row r="802" spans="1:15" x14ac:dyDescent="0.25">
      <c r="A802" t="s">
        <v>6</v>
      </c>
      <c r="B802" t="s">
        <v>24</v>
      </c>
      <c r="C802" s="3" t="str">
        <f>IF($B802="GW1",VLOOKUP($A802,Matches!$A:$AC,2,FALSE),IF($B802="GW2",VLOOKUP($A802,Matches!$A:$AC,9,FALSE),IF($B802="GW3",VLOOKUP($A802,Matches!$A:$AC,16,FALSE))))</f>
        <v>Wolves</v>
      </c>
      <c r="D802" s="6">
        <v>0.53639435713136296</v>
      </c>
      <c r="E802" s="6">
        <v>0.21866526720895649</v>
      </c>
      <c r="F802" s="6">
        <v>0.31772908992240645</v>
      </c>
      <c r="G802" s="3" t="s">
        <v>1</v>
      </c>
      <c r="H802" t="e">
        <v>#N/A</v>
      </c>
      <c r="I802" t="e">
        <v>#N/A</v>
      </c>
      <c r="J802" t="e">
        <v>#N/A</v>
      </c>
      <c r="K802">
        <v>0.35467980300000002</v>
      </c>
      <c r="L802">
        <v>0.29039301299999998</v>
      </c>
      <c r="M802">
        <v>3.7393558E-2</v>
      </c>
      <c r="N802" t="e">
        <v>#N/A</v>
      </c>
      <c r="O802" t="e">
        <v>#N/A</v>
      </c>
    </row>
    <row r="803" spans="1:15" x14ac:dyDescent="0.25">
      <c r="A803" t="s">
        <v>6</v>
      </c>
      <c r="B803" t="s">
        <v>24</v>
      </c>
      <c r="C803" s="3" t="str">
        <f>IF($B803="GW1",VLOOKUP($A803,Matches!$A:$AC,2,FALSE),IF($B803="GW2",VLOOKUP($A803,Matches!$A:$AC,9,FALSE),IF($B803="GW3",VLOOKUP($A803,Matches!$A:$AC,16,FALSE))))</f>
        <v>Wolves</v>
      </c>
      <c r="D803" s="6">
        <v>0.53639435713136296</v>
      </c>
      <c r="E803" s="6">
        <v>0.21866526720895649</v>
      </c>
      <c r="F803" s="6">
        <v>0.31772908992240645</v>
      </c>
      <c r="G803" s="3" t="s">
        <v>1</v>
      </c>
      <c r="H803">
        <v>0.253968254</v>
      </c>
      <c r="I803">
        <v>0.15873015900000001</v>
      </c>
      <c r="J803">
        <v>0.253968254</v>
      </c>
      <c r="K803">
        <v>0.35467980300000002</v>
      </c>
      <c r="L803">
        <v>0.29039301299999998</v>
      </c>
      <c r="M803">
        <v>3.7393558E-2</v>
      </c>
      <c r="N803" t="e">
        <v>#N/A</v>
      </c>
      <c r="O803" t="e">
        <v>#N/A</v>
      </c>
    </row>
    <row r="804" spans="1:15" x14ac:dyDescent="0.25">
      <c r="A804" t="s">
        <v>6</v>
      </c>
      <c r="B804" t="s">
        <v>24</v>
      </c>
      <c r="C804" s="3" t="str">
        <f>IF($B804="GW1",VLOOKUP($A804,Matches!$A:$AC,2,FALSE),IF($B804="GW2",VLOOKUP($A804,Matches!$A:$AC,9,FALSE),IF($B804="GW3",VLOOKUP($A804,Matches!$A:$AC,16,FALSE))))</f>
        <v>Wolves</v>
      </c>
      <c r="D804" s="6">
        <v>0.53639435713136296</v>
      </c>
      <c r="E804" s="6">
        <v>0.21866526720895649</v>
      </c>
      <c r="F804" s="6">
        <v>0.31772908992240645</v>
      </c>
      <c r="G804" s="3" t="s">
        <v>1</v>
      </c>
      <c r="H804">
        <v>0.21164021199999999</v>
      </c>
      <c r="I804">
        <v>0.13605442200000001</v>
      </c>
      <c r="J804">
        <v>0.31746031699999999</v>
      </c>
      <c r="K804">
        <v>0.35467980300000002</v>
      </c>
      <c r="L804">
        <v>0.29039301299999998</v>
      </c>
      <c r="M804">
        <v>3.7393558E-2</v>
      </c>
      <c r="N804" t="e">
        <v>#N/A</v>
      </c>
      <c r="O804" t="e">
        <v>#N/A</v>
      </c>
    </row>
    <row r="805" spans="1:15" x14ac:dyDescent="0.25">
      <c r="A805" t="s">
        <v>6</v>
      </c>
      <c r="B805" t="s">
        <v>24</v>
      </c>
      <c r="C805" s="3" t="str">
        <f>IF($B805="GW1",VLOOKUP($A805,Matches!$A:$AC,2,FALSE),IF($B805="GW2",VLOOKUP($A805,Matches!$A:$AC,9,FALSE),IF($B805="GW3",VLOOKUP($A805,Matches!$A:$AC,16,FALSE))))</f>
        <v>Wolves</v>
      </c>
      <c r="D805" s="6">
        <v>0.53639435713136296</v>
      </c>
      <c r="E805" s="6">
        <v>0.21866526720895649</v>
      </c>
      <c r="F805" s="6">
        <v>0.31772908992240645</v>
      </c>
      <c r="G805" s="3" t="s">
        <v>1</v>
      </c>
      <c r="H805" t="e">
        <v>#N/A</v>
      </c>
      <c r="I805" t="e">
        <v>#N/A</v>
      </c>
      <c r="J805" t="e">
        <v>#N/A</v>
      </c>
      <c r="K805">
        <v>0.35467980300000002</v>
      </c>
      <c r="L805">
        <v>0.29039301299999998</v>
      </c>
      <c r="M805">
        <v>3.7393558E-2</v>
      </c>
      <c r="N805" t="e">
        <v>#N/A</v>
      </c>
      <c r="O805" t="e">
        <v>#N/A</v>
      </c>
    </row>
    <row r="806" spans="1:15" x14ac:dyDescent="0.25">
      <c r="A806" t="s">
        <v>6</v>
      </c>
      <c r="B806" t="s">
        <v>24</v>
      </c>
      <c r="C806" s="3" t="str">
        <f>IF($B806="GW1",VLOOKUP($A806,Matches!$A:$AC,2,FALSE),IF($B806="GW2",VLOOKUP($A806,Matches!$A:$AC,9,FALSE),IF($B806="GW3",VLOOKUP($A806,Matches!$A:$AC,16,FALSE))))</f>
        <v>Wolves</v>
      </c>
      <c r="D806" s="6">
        <v>0.53639435713136296</v>
      </c>
      <c r="E806" s="6">
        <v>0.21866526720895649</v>
      </c>
      <c r="F806" s="6">
        <v>0.31772908992240645</v>
      </c>
      <c r="G806" s="3" t="s">
        <v>1</v>
      </c>
      <c r="H806">
        <v>0.20050125299999999</v>
      </c>
      <c r="I806">
        <v>0.19047618999999999</v>
      </c>
      <c r="J806">
        <v>0.20050125299999999</v>
      </c>
      <c r="K806">
        <v>0.35467980300000002</v>
      </c>
      <c r="L806">
        <v>0.29039301299999998</v>
      </c>
      <c r="M806">
        <v>3.7393558E-2</v>
      </c>
      <c r="N806" t="e">
        <v>#N/A</v>
      </c>
      <c r="O806" t="e">
        <v>#N/A</v>
      </c>
    </row>
    <row r="807" spans="1:15" x14ac:dyDescent="0.25">
      <c r="A807" t="s">
        <v>6</v>
      </c>
      <c r="B807" t="s">
        <v>24</v>
      </c>
      <c r="C807" s="3" t="str">
        <f>IF($B807="GW1",VLOOKUP($A807,Matches!$A:$AC,2,FALSE),IF($B807="GW2",VLOOKUP($A807,Matches!$A:$AC,9,FALSE),IF($B807="GW3",VLOOKUP($A807,Matches!$A:$AC,16,FALSE))))</f>
        <v>Wolves</v>
      </c>
      <c r="D807" s="6">
        <v>0.53639435713136296</v>
      </c>
      <c r="E807" s="6">
        <v>0.21866526720895649</v>
      </c>
      <c r="F807" s="6">
        <v>0.31772908992240645</v>
      </c>
      <c r="G807" s="3" t="s">
        <v>1</v>
      </c>
      <c r="H807" t="e">
        <v>#N/A</v>
      </c>
      <c r="I807" t="e">
        <v>#N/A</v>
      </c>
      <c r="J807" t="e">
        <v>#N/A</v>
      </c>
      <c r="K807">
        <v>0.35467980300000002</v>
      </c>
      <c r="L807">
        <v>0.29039301299999998</v>
      </c>
      <c r="M807">
        <v>3.7393558E-2</v>
      </c>
      <c r="N807" t="e">
        <v>#N/A</v>
      </c>
      <c r="O807" t="e">
        <v>#N/A</v>
      </c>
    </row>
    <row r="808" spans="1:15" x14ac:dyDescent="0.25">
      <c r="A808" t="s">
        <v>6</v>
      </c>
      <c r="B808" t="s">
        <v>24</v>
      </c>
      <c r="C808" s="3" t="str">
        <f>IF($B808="GW1",VLOOKUP($A808,Matches!$A:$AC,2,FALSE),IF($B808="GW2",VLOOKUP($A808,Matches!$A:$AC,9,FALSE),IF($B808="GW3",VLOOKUP($A808,Matches!$A:$AC,16,FALSE))))</f>
        <v>Wolves</v>
      </c>
      <c r="D808" s="6">
        <v>0.53639435713136296</v>
      </c>
      <c r="E808" s="6">
        <v>0.21866526720895649</v>
      </c>
      <c r="F808" s="6">
        <v>0.31772908992240645</v>
      </c>
      <c r="G808" s="3" t="s">
        <v>1</v>
      </c>
      <c r="H808" t="e">
        <v>#N/A</v>
      </c>
      <c r="I808" t="e">
        <v>#N/A</v>
      </c>
      <c r="J808" t="e">
        <v>#N/A</v>
      </c>
      <c r="K808">
        <v>0.35467980300000002</v>
      </c>
      <c r="L808">
        <v>0.29039301299999998</v>
      </c>
      <c r="M808">
        <v>3.7393558E-2</v>
      </c>
      <c r="N808" t="e">
        <v>#N/A</v>
      </c>
      <c r="O808" t="e">
        <v>#N/A</v>
      </c>
    </row>
    <row r="809" spans="1:15" x14ac:dyDescent="0.25">
      <c r="A809" t="s">
        <v>6</v>
      </c>
      <c r="B809" t="s">
        <v>24</v>
      </c>
      <c r="C809" s="3" t="str">
        <f>IF($B809="GW1",VLOOKUP($A809,Matches!$A:$AC,2,FALSE),IF($B809="GW2",VLOOKUP($A809,Matches!$A:$AC,9,FALSE),IF($B809="GW3",VLOOKUP($A809,Matches!$A:$AC,16,FALSE))))</f>
        <v>Wolves</v>
      </c>
      <c r="D809" s="6">
        <v>0.53639435713136296</v>
      </c>
      <c r="E809" s="6">
        <v>0.21866526720895649</v>
      </c>
      <c r="F809" s="6">
        <v>0.31772908992240645</v>
      </c>
      <c r="G809" s="3" t="s">
        <v>1</v>
      </c>
      <c r="H809" t="e">
        <v>#N/A</v>
      </c>
      <c r="I809" t="e">
        <v>#N/A</v>
      </c>
      <c r="J809" t="e">
        <v>#N/A</v>
      </c>
      <c r="K809">
        <v>0.35467980300000002</v>
      </c>
      <c r="L809">
        <v>0.29039301299999998</v>
      </c>
      <c r="M809">
        <v>3.7393558E-2</v>
      </c>
      <c r="N809" t="e">
        <v>#N/A</v>
      </c>
      <c r="O809" t="e">
        <v>#N/A</v>
      </c>
    </row>
    <row r="810" spans="1:15" x14ac:dyDescent="0.25">
      <c r="A810" t="s">
        <v>6</v>
      </c>
      <c r="B810" t="s">
        <v>24</v>
      </c>
      <c r="C810" s="3" t="str">
        <f>IF($B810="GW1",VLOOKUP($A810,Matches!$A:$AC,2,FALSE),IF($B810="GW2",VLOOKUP($A810,Matches!$A:$AC,9,FALSE),IF($B810="GW3",VLOOKUP($A810,Matches!$A:$AC,16,FALSE))))</f>
        <v>Wolves</v>
      </c>
      <c r="D810" s="6">
        <v>0.53639435713136296</v>
      </c>
      <c r="E810" s="6">
        <v>0.21866526720895649</v>
      </c>
      <c r="F810" s="6">
        <v>0.31772908992240645</v>
      </c>
      <c r="G810" s="3" t="s">
        <v>1</v>
      </c>
      <c r="H810">
        <v>0.15873015900000001</v>
      </c>
      <c r="I810">
        <v>0.14652014699999999</v>
      </c>
      <c r="J810">
        <v>0.21994941200000001</v>
      </c>
      <c r="K810">
        <v>0.35467980300000002</v>
      </c>
      <c r="L810">
        <v>0.29039301299999998</v>
      </c>
      <c r="M810">
        <v>3.7393558E-2</v>
      </c>
      <c r="N810" t="e">
        <v>#N/A</v>
      </c>
      <c r="O810" t="e">
        <v>#N/A</v>
      </c>
    </row>
    <row r="811" spans="1:15" x14ac:dyDescent="0.25">
      <c r="A811" t="s">
        <v>6</v>
      </c>
      <c r="B811" t="s">
        <v>24</v>
      </c>
      <c r="C811" s="3" t="str">
        <f>IF($B811="GW1",VLOOKUP($A811,Matches!$A:$AC,2,FALSE),IF($B811="GW2",VLOOKUP($A811,Matches!$A:$AC,9,FALSE),IF($B811="GW3",VLOOKUP($A811,Matches!$A:$AC,16,FALSE))))</f>
        <v>Wolves</v>
      </c>
      <c r="D811" s="6">
        <v>0.53639435713136296</v>
      </c>
      <c r="E811" s="6">
        <v>0.21866526720895649</v>
      </c>
      <c r="F811" s="6">
        <v>0.31772908992240645</v>
      </c>
      <c r="G811" s="3" t="s">
        <v>1</v>
      </c>
      <c r="H811">
        <v>0.41407867500000001</v>
      </c>
      <c r="I811">
        <v>0.105820106</v>
      </c>
      <c r="J811">
        <v>0.21994941200000001</v>
      </c>
      <c r="K811">
        <v>0.35467980300000002</v>
      </c>
      <c r="L811">
        <v>0.29039301299999998</v>
      </c>
      <c r="M811">
        <v>3.7393558E-2</v>
      </c>
      <c r="N811" t="e">
        <v>#N/A</v>
      </c>
      <c r="O811" t="e">
        <v>#N/A</v>
      </c>
    </row>
    <row r="812" spans="1:15" x14ac:dyDescent="0.25">
      <c r="A812" t="s">
        <v>6</v>
      </c>
      <c r="B812" t="s">
        <v>24</v>
      </c>
      <c r="C812" s="3" t="str">
        <f>IF($B812="GW1",VLOOKUP($A812,Matches!$A:$AC,2,FALSE),IF($B812="GW2",VLOOKUP($A812,Matches!$A:$AC,9,FALSE),IF($B812="GW3",VLOOKUP($A812,Matches!$A:$AC,16,FALSE))))</f>
        <v>Wolves</v>
      </c>
      <c r="D812" s="6">
        <v>0.53639435713136296</v>
      </c>
      <c r="E812" s="6">
        <v>0.21866526720895649</v>
      </c>
      <c r="F812" s="6">
        <v>0.31772908992240645</v>
      </c>
      <c r="G812" s="3" t="s">
        <v>1</v>
      </c>
      <c r="H812" t="e">
        <v>#N/A</v>
      </c>
      <c r="I812" t="e">
        <v>#N/A</v>
      </c>
      <c r="J812" t="e">
        <v>#N/A</v>
      </c>
      <c r="K812">
        <v>0.35467980300000002</v>
      </c>
      <c r="L812">
        <v>0.29039301299999998</v>
      </c>
      <c r="M812">
        <v>3.7393558E-2</v>
      </c>
      <c r="N812" t="e">
        <v>#N/A</v>
      </c>
      <c r="O812" t="e">
        <v>#N/A</v>
      </c>
    </row>
    <row r="813" spans="1:15" x14ac:dyDescent="0.25">
      <c r="A813" t="s">
        <v>6</v>
      </c>
      <c r="B813" t="s">
        <v>24</v>
      </c>
      <c r="C813" s="3" t="str">
        <f>IF($B813="GW1",VLOOKUP($A813,Matches!$A:$AC,2,FALSE),IF($B813="GW2",VLOOKUP($A813,Matches!$A:$AC,9,FALSE),IF($B813="GW3",VLOOKUP($A813,Matches!$A:$AC,16,FALSE))))</f>
        <v>Wolves</v>
      </c>
      <c r="D813" s="6">
        <v>0.53639435713136296</v>
      </c>
      <c r="E813" s="6">
        <v>0.21866526720895649</v>
      </c>
      <c r="F813" s="6">
        <v>0.31772908992240645</v>
      </c>
      <c r="G813" s="3" t="s">
        <v>1</v>
      </c>
      <c r="H813" t="e">
        <v>#N/A</v>
      </c>
      <c r="I813" t="e">
        <v>#N/A</v>
      </c>
      <c r="J813" t="e">
        <v>#N/A</v>
      </c>
      <c r="K813">
        <v>0.35467980300000002</v>
      </c>
      <c r="L813">
        <v>0.29039301299999998</v>
      </c>
      <c r="M813">
        <v>3.7393558E-2</v>
      </c>
      <c r="N813" t="e">
        <v>#N/A</v>
      </c>
      <c r="O813" t="e">
        <v>#N/A</v>
      </c>
    </row>
    <row r="814" spans="1:15" x14ac:dyDescent="0.25">
      <c r="A814" t="s">
        <v>6</v>
      </c>
      <c r="B814" t="s">
        <v>24</v>
      </c>
      <c r="C814" s="3" t="str">
        <f>IF($B814="GW1",VLOOKUP($A814,Matches!$A:$AC,2,FALSE),IF($B814="GW2",VLOOKUP($A814,Matches!$A:$AC,9,FALSE),IF($B814="GW3",VLOOKUP($A814,Matches!$A:$AC,16,FALSE))))</f>
        <v>Wolves</v>
      </c>
      <c r="D814" s="6">
        <v>0.53639435713136296</v>
      </c>
      <c r="E814" s="6">
        <v>0.21866526720895649</v>
      </c>
      <c r="F814" s="6">
        <v>0.31772908992240645</v>
      </c>
      <c r="G814" s="3" t="s">
        <v>1</v>
      </c>
      <c r="H814">
        <v>0.41407867500000001</v>
      </c>
      <c r="I814">
        <v>0.13605442200000001</v>
      </c>
      <c r="J814">
        <v>0.253968254</v>
      </c>
      <c r="K814">
        <v>0.35467980300000002</v>
      </c>
      <c r="L814">
        <v>0.29039301299999998</v>
      </c>
      <c r="M814">
        <v>3.7393558E-2</v>
      </c>
      <c r="N814" t="e">
        <v>#N/A</v>
      </c>
      <c r="O814" t="e">
        <v>#N/A</v>
      </c>
    </row>
    <row r="815" spans="1:15" x14ac:dyDescent="0.25">
      <c r="A815" t="s">
        <v>7</v>
      </c>
      <c r="B815" t="s">
        <v>24</v>
      </c>
      <c r="C815" s="3" t="str">
        <f>IF($B815="GW1",VLOOKUP($A815,Matches!$A:$AC,2,FALSE),IF($B815="GW2",VLOOKUP($A815,Matches!$A:$AC,9,FALSE),IF($B815="GW3",VLOOKUP($A815,Matches!$A:$AC,16,FALSE))))</f>
        <v>Aston Villa</v>
      </c>
      <c r="D815" s="6">
        <v>0.28555111364934321</v>
      </c>
      <c r="E815" s="6">
        <v>0.45156920298035674</v>
      </c>
      <c r="F815" s="6">
        <v>-0.16601808933101353</v>
      </c>
      <c r="G815" s="3" t="s">
        <v>1</v>
      </c>
      <c r="H815" t="e">
        <v>#N/A</v>
      </c>
      <c r="I815" t="e">
        <v>#N/A</v>
      </c>
      <c r="J815">
        <v>0.20050125299999999</v>
      </c>
      <c r="K815">
        <v>0.21699819200000001</v>
      </c>
      <c r="L815">
        <v>0.486486486</v>
      </c>
      <c r="M815">
        <v>8.7136929000000002E-2</v>
      </c>
      <c r="N815">
        <v>0.63492063499999996</v>
      </c>
      <c r="O815">
        <v>0.13605442200000001</v>
      </c>
    </row>
    <row r="816" spans="1:15" x14ac:dyDescent="0.25">
      <c r="A816" t="s">
        <v>7</v>
      </c>
      <c r="B816" t="s">
        <v>24</v>
      </c>
      <c r="C816" s="3" t="str">
        <f>IF($B816="GW1",VLOOKUP($A816,Matches!$A:$AC,2,FALSE),IF($B816="GW2",VLOOKUP($A816,Matches!$A:$AC,9,FALSE),IF($B816="GW3",VLOOKUP($A816,Matches!$A:$AC,16,FALSE))))</f>
        <v>Aston Villa</v>
      </c>
      <c r="D816" s="6">
        <v>0.28555111364934321</v>
      </c>
      <c r="E816" s="6">
        <v>0.45156920298035674</v>
      </c>
      <c r="F816" s="6">
        <v>-0.16601808933101353</v>
      </c>
      <c r="G816" s="3" t="s">
        <v>1</v>
      </c>
      <c r="H816" t="e">
        <v>#N/A</v>
      </c>
      <c r="I816" t="e">
        <v>#N/A</v>
      </c>
      <c r="J816">
        <v>0.13605442200000001</v>
      </c>
      <c r="K816">
        <v>0.21699819200000001</v>
      </c>
      <c r="L816">
        <v>0.486486486</v>
      </c>
      <c r="M816">
        <v>8.7136929000000002E-2</v>
      </c>
      <c r="N816" t="e">
        <v>#N/A</v>
      </c>
      <c r="O816" t="e">
        <v>#N/A</v>
      </c>
    </row>
    <row r="817" spans="1:15" x14ac:dyDescent="0.25">
      <c r="A817" t="s">
        <v>7</v>
      </c>
      <c r="B817" t="s">
        <v>24</v>
      </c>
      <c r="C817" s="3" t="str">
        <f>IF($B817="GW1",VLOOKUP($A817,Matches!$A:$AC,2,FALSE),IF($B817="GW2",VLOOKUP($A817,Matches!$A:$AC,9,FALSE),IF($B817="GW3",VLOOKUP($A817,Matches!$A:$AC,16,FALSE))))</f>
        <v>Aston Villa</v>
      </c>
      <c r="D817" s="6">
        <v>0.28555111364934321</v>
      </c>
      <c r="E817" s="6">
        <v>0.45156920298035674</v>
      </c>
      <c r="F817" s="6">
        <v>-0.16601808933101353</v>
      </c>
      <c r="G817" s="3" t="s">
        <v>1</v>
      </c>
      <c r="H817" t="e">
        <v>#N/A</v>
      </c>
      <c r="I817" t="e">
        <v>#N/A</v>
      </c>
      <c r="J817">
        <v>0.105820106</v>
      </c>
      <c r="K817">
        <v>0.21699819200000001</v>
      </c>
      <c r="L817">
        <v>0.486486486</v>
      </c>
      <c r="M817">
        <v>8.7136929000000002E-2</v>
      </c>
      <c r="N817" t="e">
        <v>#N/A</v>
      </c>
      <c r="O817" t="e">
        <v>#N/A</v>
      </c>
    </row>
    <row r="818" spans="1:15" x14ac:dyDescent="0.25">
      <c r="A818" t="s">
        <v>7</v>
      </c>
      <c r="B818" t="s">
        <v>24</v>
      </c>
      <c r="C818" s="3" t="str">
        <f>IF($B818="GW1",VLOOKUP($A818,Matches!$A:$AC,2,FALSE),IF($B818="GW2",VLOOKUP($A818,Matches!$A:$AC,9,FALSE),IF($B818="GW3",VLOOKUP($A818,Matches!$A:$AC,16,FALSE))))</f>
        <v>Aston Villa</v>
      </c>
      <c r="D818" s="6">
        <v>0.28555111364934321</v>
      </c>
      <c r="E818" s="6">
        <v>0.45156920298035674</v>
      </c>
      <c r="F818" s="6">
        <v>-0.16601808933101353</v>
      </c>
      <c r="G818" s="3" t="s">
        <v>1</v>
      </c>
      <c r="H818" t="e">
        <v>#N/A</v>
      </c>
      <c r="I818" t="e">
        <v>#N/A</v>
      </c>
      <c r="J818">
        <v>0.13605442200000001</v>
      </c>
      <c r="K818">
        <v>0.21699819200000001</v>
      </c>
      <c r="L818">
        <v>0.486486486</v>
      </c>
      <c r="M818">
        <v>8.7136929000000002E-2</v>
      </c>
      <c r="N818" t="e">
        <v>#N/A</v>
      </c>
      <c r="O818" t="e">
        <v>#N/A</v>
      </c>
    </row>
    <row r="819" spans="1:15" x14ac:dyDescent="0.25">
      <c r="A819" t="s">
        <v>7</v>
      </c>
      <c r="B819" t="s">
        <v>24</v>
      </c>
      <c r="C819" s="3" t="str">
        <f>IF($B819="GW1",VLOOKUP($A819,Matches!$A:$AC,2,FALSE),IF($B819="GW2",VLOOKUP($A819,Matches!$A:$AC,9,FALSE),IF($B819="GW3",VLOOKUP($A819,Matches!$A:$AC,16,FALSE))))</f>
        <v>Aston Villa</v>
      </c>
      <c r="D819" s="6">
        <v>0.28555111364934321</v>
      </c>
      <c r="E819" s="6">
        <v>0.45156920298035674</v>
      </c>
      <c r="F819" s="6">
        <v>-0.16601808933101353</v>
      </c>
      <c r="G819" s="3" t="s">
        <v>1</v>
      </c>
      <c r="H819" t="e">
        <v>#N/A</v>
      </c>
      <c r="I819" t="e">
        <v>#N/A</v>
      </c>
      <c r="J819" t="e">
        <v>#N/A</v>
      </c>
      <c r="K819">
        <v>0.21699819200000001</v>
      </c>
      <c r="L819">
        <v>0.486486486</v>
      </c>
      <c r="M819">
        <v>8.7136929000000002E-2</v>
      </c>
      <c r="N819" t="e">
        <v>#N/A</v>
      </c>
      <c r="O819" t="e">
        <v>#N/A</v>
      </c>
    </row>
    <row r="820" spans="1:15" x14ac:dyDescent="0.25">
      <c r="A820" t="s">
        <v>7</v>
      </c>
      <c r="B820" t="s">
        <v>24</v>
      </c>
      <c r="C820" s="3" t="str">
        <f>IF($B820="GW1",VLOOKUP($A820,Matches!$A:$AC,2,FALSE),IF($B820="GW2",VLOOKUP($A820,Matches!$A:$AC,9,FALSE),IF($B820="GW3",VLOOKUP($A820,Matches!$A:$AC,16,FALSE))))</f>
        <v>Aston Villa</v>
      </c>
      <c r="D820" s="6">
        <v>0.28555111364934321</v>
      </c>
      <c r="E820" s="6">
        <v>0.45156920298035674</v>
      </c>
      <c r="F820" s="6">
        <v>-0.16601808933101353</v>
      </c>
      <c r="G820" s="3" t="s">
        <v>1</v>
      </c>
      <c r="H820">
        <v>7.9365079000000005E-2</v>
      </c>
      <c r="I820">
        <v>4.5351474000000003E-2</v>
      </c>
      <c r="J820">
        <v>0.21994941200000001</v>
      </c>
      <c r="K820">
        <v>0.21699819200000001</v>
      </c>
      <c r="L820">
        <v>0.486486486</v>
      </c>
      <c r="M820">
        <v>8.7136929000000002E-2</v>
      </c>
      <c r="N820" t="e">
        <v>#N/A</v>
      </c>
      <c r="O820" t="e">
        <v>#N/A</v>
      </c>
    </row>
    <row r="821" spans="1:15" x14ac:dyDescent="0.25">
      <c r="A821" t="s">
        <v>7</v>
      </c>
      <c r="B821" t="s">
        <v>24</v>
      </c>
      <c r="C821" s="3" t="str">
        <f>IF($B821="GW1",VLOOKUP($A821,Matches!$A:$AC,2,FALSE),IF($B821="GW2",VLOOKUP($A821,Matches!$A:$AC,9,FALSE),IF($B821="GW3",VLOOKUP($A821,Matches!$A:$AC,16,FALSE))))</f>
        <v>Aston Villa</v>
      </c>
      <c r="D821" s="6">
        <v>0.28555111364934321</v>
      </c>
      <c r="E821" s="6">
        <v>0.45156920298035674</v>
      </c>
      <c r="F821" s="6">
        <v>-0.16601808933101353</v>
      </c>
      <c r="G821" s="3" t="s">
        <v>1</v>
      </c>
      <c r="H821">
        <v>0.126984127</v>
      </c>
      <c r="I821">
        <v>0.11904761899999999</v>
      </c>
      <c r="J821">
        <v>0.27210884400000002</v>
      </c>
      <c r="K821">
        <v>0.21699819200000001</v>
      </c>
      <c r="L821">
        <v>0.486486486</v>
      </c>
      <c r="M821">
        <v>8.7136929000000002E-2</v>
      </c>
      <c r="N821" t="e">
        <v>#N/A</v>
      </c>
      <c r="O821" t="e">
        <v>#N/A</v>
      </c>
    </row>
    <row r="822" spans="1:15" x14ac:dyDescent="0.25">
      <c r="A822" t="s">
        <v>7</v>
      </c>
      <c r="B822" t="s">
        <v>24</v>
      </c>
      <c r="C822" s="3" t="str">
        <f>IF($B822="GW1",VLOOKUP($A822,Matches!$A:$AC,2,FALSE),IF($B822="GW2",VLOOKUP($A822,Matches!$A:$AC,9,FALSE),IF($B822="GW3",VLOOKUP($A822,Matches!$A:$AC,16,FALSE))))</f>
        <v>Aston Villa</v>
      </c>
      <c r="D822" s="6">
        <v>0.28555111364934321</v>
      </c>
      <c r="E822" s="6">
        <v>0.45156920298035674</v>
      </c>
      <c r="F822" s="6">
        <v>-0.16601808933101353</v>
      </c>
      <c r="G822" s="3" t="s">
        <v>1</v>
      </c>
      <c r="H822">
        <v>5.0125312999999998E-2</v>
      </c>
      <c r="I822">
        <v>7.3260072999999995E-2</v>
      </c>
      <c r="J822">
        <v>0.253968254</v>
      </c>
      <c r="K822">
        <v>0.21699819200000001</v>
      </c>
      <c r="L822">
        <v>0.486486486</v>
      </c>
      <c r="M822">
        <v>8.7136929000000002E-2</v>
      </c>
      <c r="N822" t="e">
        <v>#N/A</v>
      </c>
      <c r="O822" t="e">
        <v>#N/A</v>
      </c>
    </row>
    <row r="823" spans="1:15" x14ac:dyDescent="0.25">
      <c r="A823" t="s">
        <v>7</v>
      </c>
      <c r="B823" t="s">
        <v>24</v>
      </c>
      <c r="C823" s="3" t="str">
        <f>IF($B823="GW1",VLOOKUP($A823,Matches!$A:$AC,2,FALSE),IF($B823="GW2",VLOOKUP($A823,Matches!$A:$AC,9,FALSE),IF($B823="GW3",VLOOKUP($A823,Matches!$A:$AC,16,FALSE))))</f>
        <v>Aston Villa</v>
      </c>
      <c r="D823" s="6">
        <v>0.28555111364934321</v>
      </c>
      <c r="E823" s="6">
        <v>0.45156920298035674</v>
      </c>
      <c r="F823" s="6">
        <v>-0.16601808933101353</v>
      </c>
      <c r="G823" s="3" t="s">
        <v>1</v>
      </c>
      <c r="H823">
        <v>6.3492063000000001E-2</v>
      </c>
      <c r="I823">
        <v>7.3260072999999995E-2</v>
      </c>
      <c r="J823">
        <v>0.13605442200000001</v>
      </c>
      <c r="K823">
        <v>0.21699819200000001</v>
      </c>
      <c r="L823">
        <v>0.486486486</v>
      </c>
      <c r="M823">
        <v>8.7136929000000002E-2</v>
      </c>
      <c r="N823" t="e">
        <v>#N/A</v>
      </c>
      <c r="O823" t="e">
        <v>#N/A</v>
      </c>
    </row>
    <row r="824" spans="1:15" x14ac:dyDescent="0.25">
      <c r="A824" t="s">
        <v>7</v>
      </c>
      <c r="B824" t="s">
        <v>24</v>
      </c>
      <c r="C824" s="3" t="str">
        <f>IF($B824="GW1",VLOOKUP($A824,Matches!$A:$AC,2,FALSE),IF($B824="GW2",VLOOKUP($A824,Matches!$A:$AC,9,FALSE),IF($B824="GW3",VLOOKUP($A824,Matches!$A:$AC,16,FALSE))))</f>
        <v>Aston Villa</v>
      </c>
      <c r="D824" s="6">
        <v>0.28555111364934321</v>
      </c>
      <c r="E824" s="6">
        <v>0.45156920298035674</v>
      </c>
      <c r="F824" s="6">
        <v>-0.16601808933101353</v>
      </c>
      <c r="G824" s="3" t="s">
        <v>1</v>
      </c>
      <c r="H824">
        <v>7.9365079000000005E-2</v>
      </c>
      <c r="I824">
        <v>6.3492063000000001E-2</v>
      </c>
      <c r="J824">
        <v>0.297619048</v>
      </c>
      <c r="K824">
        <v>0.21699819200000001</v>
      </c>
      <c r="L824">
        <v>0.486486486</v>
      </c>
      <c r="M824">
        <v>8.7136929000000002E-2</v>
      </c>
      <c r="N824" t="e">
        <v>#N/A</v>
      </c>
      <c r="O824" t="e">
        <v>#N/A</v>
      </c>
    </row>
    <row r="825" spans="1:15" x14ac:dyDescent="0.25">
      <c r="A825" t="s">
        <v>7</v>
      </c>
      <c r="B825" t="s">
        <v>24</v>
      </c>
      <c r="C825" s="3" t="str">
        <f>IF($B825="GW1",VLOOKUP($A825,Matches!$A:$AC,2,FALSE),IF($B825="GW2",VLOOKUP($A825,Matches!$A:$AC,9,FALSE),IF($B825="GW3",VLOOKUP($A825,Matches!$A:$AC,16,FALSE))))</f>
        <v>Aston Villa</v>
      </c>
      <c r="D825" s="6">
        <v>0.28555111364934321</v>
      </c>
      <c r="E825" s="6">
        <v>0.45156920298035674</v>
      </c>
      <c r="F825" s="6">
        <v>-0.16601808933101353</v>
      </c>
      <c r="G825" s="3" t="s">
        <v>1</v>
      </c>
      <c r="H825">
        <v>7.9365079000000005E-2</v>
      </c>
      <c r="I825">
        <v>4.1407867000000001E-2</v>
      </c>
      <c r="J825">
        <v>0.13605442200000001</v>
      </c>
      <c r="K825">
        <v>0.21699819200000001</v>
      </c>
      <c r="L825">
        <v>0.486486486</v>
      </c>
      <c r="M825">
        <v>8.7136929000000002E-2</v>
      </c>
      <c r="N825" t="e">
        <v>#N/A</v>
      </c>
      <c r="O825" t="e">
        <v>#N/A</v>
      </c>
    </row>
    <row r="826" spans="1:15" x14ac:dyDescent="0.25">
      <c r="A826" t="s">
        <v>7</v>
      </c>
      <c r="B826" t="s">
        <v>24</v>
      </c>
      <c r="C826" s="3" t="str">
        <f>IF($B826="GW1",VLOOKUP($A826,Matches!$A:$AC,2,FALSE),IF($B826="GW2",VLOOKUP($A826,Matches!$A:$AC,9,FALSE),IF($B826="GW3",VLOOKUP($A826,Matches!$A:$AC,16,FALSE))))</f>
        <v>Aston Villa</v>
      </c>
      <c r="D826" s="6">
        <v>0.28555111364934321</v>
      </c>
      <c r="E826" s="6">
        <v>0.45156920298035674</v>
      </c>
      <c r="F826" s="6">
        <v>-0.16601808933101353</v>
      </c>
      <c r="G826" s="3" t="s">
        <v>1</v>
      </c>
      <c r="H826" t="e">
        <v>#N/A</v>
      </c>
      <c r="I826" t="e">
        <v>#N/A</v>
      </c>
      <c r="J826" t="e">
        <v>#N/A</v>
      </c>
      <c r="K826">
        <v>0.21699819200000001</v>
      </c>
      <c r="L826">
        <v>0.486486486</v>
      </c>
      <c r="M826">
        <v>8.7136929000000002E-2</v>
      </c>
      <c r="N826" t="e">
        <v>#N/A</v>
      </c>
      <c r="O826" t="e">
        <v>#N/A</v>
      </c>
    </row>
    <row r="827" spans="1:15" x14ac:dyDescent="0.25">
      <c r="A827" t="s">
        <v>7</v>
      </c>
      <c r="B827" t="s">
        <v>24</v>
      </c>
      <c r="C827" s="3" t="str">
        <f>IF($B827="GW1",VLOOKUP($A827,Matches!$A:$AC,2,FALSE),IF($B827="GW2",VLOOKUP($A827,Matches!$A:$AC,9,FALSE),IF($B827="GW3",VLOOKUP($A827,Matches!$A:$AC,16,FALSE))))</f>
        <v>Aston Villa</v>
      </c>
      <c r="D827" s="6">
        <v>0.28555111364934321</v>
      </c>
      <c r="E827" s="6">
        <v>0.45156920298035674</v>
      </c>
      <c r="F827" s="6">
        <v>-0.16601808933101353</v>
      </c>
      <c r="G827" s="3" t="s">
        <v>1</v>
      </c>
      <c r="H827">
        <v>5.0125312999999998E-2</v>
      </c>
      <c r="I827">
        <v>3.2840722000000003E-2</v>
      </c>
      <c r="J827">
        <v>0.21994941200000001</v>
      </c>
      <c r="K827">
        <v>0.21699819200000001</v>
      </c>
      <c r="L827">
        <v>0.486486486</v>
      </c>
      <c r="M827">
        <v>8.7136929000000002E-2</v>
      </c>
      <c r="N827" t="e">
        <v>#N/A</v>
      </c>
      <c r="O827" t="e">
        <v>#N/A</v>
      </c>
    </row>
    <row r="828" spans="1:15" x14ac:dyDescent="0.25">
      <c r="A828" t="s">
        <v>7</v>
      </c>
      <c r="B828" t="s">
        <v>24</v>
      </c>
      <c r="C828" s="3" t="str">
        <f>IF($B828="GW1",VLOOKUP($A828,Matches!$A:$AC,2,FALSE),IF($B828="GW2",VLOOKUP($A828,Matches!$A:$AC,9,FALSE),IF($B828="GW3",VLOOKUP($A828,Matches!$A:$AC,16,FALSE))))</f>
        <v>Aston Villa</v>
      </c>
      <c r="D828" s="6">
        <v>0.28555111364934321</v>
      </c>
      <c r="E828" s="6">
        <v>0.45156920298035674</v>
      </c>
      <c r="F828" s="6">
        <v>-0.16601808933101353</v>
      </c>
      <c r="G828" s="3" t="s">
        <v>1</v>
      </c>
      <c r="H828">
        <v>7.9365079000000005E-2</v>
      </c>
      <c r="I828">
        <v>5.6022409000000002E-2</v>
      </c>
      <c r="J828">
        <v>0.21994941200000001</v>
      </c>
      <c r="K828">
        <v>0.21699819200000001</v>
      </c>
      <c r="L828">
        <v>0.486486486</v>
      </c>
      <c r="M828">
        <v>8.7136929000000002E-2</v>
      </c>
      <c r="N828" t="e">
        <v>#N/A</v>
      </c>
      <c r="O828" t="e">
        <v>#N/A</v>
      </c>
    </row>
    <row r="829" spans="1:15" x14ac:dyDescent="0.25">
      <c r="A829" t="s">
        <v>7</v>
      </c>
      <c r="B829" t="s">
        <v>24</v>
      </c>
      <c r="C829" s="3" t="str">
        <f>IF($B829="GW1",VLOOKUP($A829,Matches!$A:$AC,2,FALSE),IF($B829="GW2",VLOOKUP($A829,Matches!$A:$AC,9,FALSE),IF($B829="GW3",VLOOKUP($A829,Matches!$A:$AC,16,FALSE))))</f>
        <v>Aston Villa</v>
      </c>
      <c r="D829" s="6">
        <v>0.28555111364934321</v>
      </c>
      <c r="E829" s="6">
        <v>0.45156920298035674</v>
      </c>
      <c r="F829" s="6">
        <v>-0.16601808933101353</v>
      </c>
      <c r="G829" s="3" t="s">
        <v>1</v>
      </c>
      <c r="H829" t="e">
        <v>#N/A</v>
      </c>
      <c r="I829" t="e">
        <v>#N/A</v>
      </c>
      <c r="J829" t="e">
        <v>#N/A</v>
      </c>
      <c r="K829">
        <v>0.21699819200000001</v>
      </c>
      <c r="L829">
        <v>0.486486486</v>
      </c>
      <c r="M829">
        <v>8.7136929000000002E-2</v>
      </c>
      <c r="N829" t="e">
        <v>#N/A</v>
      </c>
      <c r="O829" t="e">
        <v>#N/A</v>
      </c>
    </row>
    <row r="830" spans="1:15" x14ac:dyDescent="0.25">
      <c r="A830" t="s">
        <v>7</v>
      </c>
      <c r="B830" t="s">
        <v>24</v>
      </c>
      <c r="C830" s="3" t="str">
        <f>IF($B830="GW1",VLOOKUP($A830,Matches!$A:$AC,2,FALSE),IF($B830="GW2",VLOOKUP($A830,Matches!$A:$AC,9,FALSE),IF($B830="GW3",VLOOKUP($A830,Matches!$A:$AC,16,FALSE))))</f>
        <v>Aston Villa</v>
      </c>
      <c r="D830" s="6">
        <v>0.28555111364934321</v>
      </c>
      <c r="E830" s="6">
        <v>0.45156920298035674</v>
      </c>
      <c r="F830" s="6">
        <v>-0.16601808933101353</v>
      </c>
      <c r="G830" s="3" t="s">
        <v>1</v>
      </c>
      <c r="H830">
        <v>7.9365079000000005E-2</v>
      </c>
      <c r="I830">
        <v>4.1407867000000001E-2</v>
      </c>
      <c r="J830">
        <v>0.253968254</v>
      </c>
      <c r="K830">
        <v>0.21699819200000001</v>
      </c>
      <c r="L830">
        <v>0.486486486</v>
      </c>
      <c r="M830">
        <v>8.7136929000000002E-2</v>
      </c>
      <c r="N830" t="e">
        <v>#N/A</v>
      </c>
      <c r="O830" t="e">
        <v>#N/A</v>
      </c>
    </row>
    <row r="831" spans="1:15" x14ac:dyDescent="0.25">
      <c r="A831" t="s">
        <v>7</v>
      </c>
      <c r="B831" t="s">
        <v>24</v>
      </c>
      <c r="C831" s="3" t="str">
        <f>IF($B831="GW1",VLOOKUP($A831,Matches!$A:$AC,2,FALSE),IF($B831="GW2",VLOOKUP($A831,Matches!$A:$AC,9,FALSE),IF($B831="GW3",VLOOKUP($A831,Matches!$A:$AC,16,FALSE))))</f>
        <v>Aston Villa</v>
      </c>
      <c r="D831" s="6">
        <v>0.28555111364934321</v>
      </c>
      <c r="E831" s="6">
        <v>0.45156920298035674</v>
      </c>
      <c r="F831" s="6">
        <v>-0.16601808933101353</v>
      </c>
      <c r="G831" s="3" t="s">
        <v>1</v>
      </c>
      <c r="H831" t="e">
        <v>#N/A</v>
      </c>
      <c r="I831" t="e">
        <v>#N/A</v>
      </c>
      <c r="J831" t="e">
        <v>#N/A</v>
      </c>
      <c r="K831">
        <v>0.21699819200000001</v>
      </c>
      <c r="L831">
        <v>0.486486486</v>
      </c>
      <c r="M831">
        <v>8.7136929000000002E-2</v>
      </c>
      <c r="N831" t="e">
        <v>#N/A</v>
      </c>
      <c r="O831" t="e">
        <v>#N/A</v>
      </c>
    </row>
    <row r="832" spans="1:15" x14ac:dyDescent="0.25">
      <c r="A832" t="s">
        <v>7</v>
      </c>
      <c r="B832" t="s">
        <v>24</v>
      </c>
      <c r="C832" s="3" t="str">
        <f>IF($B832="GW1",VLOOKUP($A832,Matches!$A:$AC,2,FALSE),IF($B832="GW2",VLOOKUP($A832,Matches!$A:$AC,9,FALSE),IF($B832="GW3",VLOOKUP($A832,Matches!$A:$AC,16,FALSE))))</f>
        <v>Aston Villa</v>
      </c>
      <c r="D832" s="6">
        <v>0.28555111364934321</v>
      </c>
      <c r="E832" s="6">
        <v>0.45156920298035674</v>
      </c>
      <c r="F832" s="6">
        <v>-0.16601808933101353</v>
      </c>
      <c r="G832" s="3" t="s">
        <v>1</v>
      </c>
      <c r="H832" t="e">
        <v>#N/A</v>
      </c>
      <c r="I832" t="e">
        <v>#N/A</v>
      </c>
      <c r="J832" t="e">
        <v>#N/A</v>
      </c>
      <c r="K832">
        <v>0.21699819200000001</v>
      </c>
      <c r="L832">
        <v>0.486486486</v>
      </c>
      <c r="M832">
        <v>8.7136929000000002E-2</v>
      </c>
      <c r="N832" t="e">
        <v>#N/A</v>
      </c>
      <c r="O832" t="e">
        <v>#N/A</v>
      </c>
    </row>
    <row r="833" spans="1:15" x14ac:dyDescent="0.25">
      <c r="A833" t="s">
        <v>7</v>
      </c>
      <c r="B833" t="s">
        <v>24</v>
      </c>
      <c r="C833" s="3" t="str">
        <f>IF($B833="GW1",VLOOKUP($A833,Matches!$A:$AC,2,FALSE),IF($B833="GW2",VLOOKUP($A833,Matches!$A:$AC,9,FALSE),IF($B833="GW3",VLOOKUP($A833,Matches!$A:$AC,16,FALSE))))</f>
        <v>Aston Villa</v>
      </c>
      <c r="D833" s="6">
        <v>0.28555111364934321</v>
      </c>
      <c r="E833" s="6">
        <v>0.45156920298035674</v>
      </c>
      <c r="F833" s="6">
        <v>-0.16601808933101353</v>
      </c>
      <c r="G833" s="3" t="s">
        <v>1</v>
      </c>
      <c r="H833">
        <v>0.21994941200000001</v>
      </c>
      <c r="I833">
        <v>0.11904761899999999</v>
      </c>
      <c r="J833">
        <v>0.21994941200000001</v>
      </c>
      <c r="K833">
        <v>0.21699819200000001</v>
      </c>
      <c r="L833">
        <v>0.486486486</v>
      </c>
      <c r="M833">
        <v>8.7136929000000002E-2</v>
      </c>
      <c r="N833" t="e">
        <v>#N/A</v>
      </c>
      <c r="O833" t="e">
        <v>#N/A</v>
      </c>
    </row>
    <row r="834" spans="1:15" x14ac:dyDescent="0.25">
      <c r="A834" t="s">
        <v>7</v>
      </c>
      <c r="B834" t="s">
        <v>24</v>
      </c>
      <c r="C834" s="3" t="str">
        <f>IF($B834="GW1",VLOOKUP($A834,Matches!$A:$AC,2,FALSE),IF($B834="GW2",VLOOKUP($A834,Matches!$A:$AC,9,FALSE),IF($B834="GW3",VLOOKUP($A834,Matches!$A:$AC,16,FALSE))))</f>
        <v>Aston Villa</v>
      </c>
      <c r="D834" s="6">
        <v>0.28555111364934321</v>
      </c>
      <c r="E834" s="6">
        <v>0.45156920298035674</v>
      </c>
      <c r="F834" s="6">
        <v>-0.16601808933101353</v>
      </c>
      <c r="G834" s="3" t="s">
        <v>1</v>
      </c>
      <c r="H834">
        <v>0.173160173</v>
      </c>
      <c r="I834">
        <v>0.19047618999999999</v>
      </c>
      <c r="J834">
        <v>0.13605442200000001</v>
      </c>
      <c r="K834">
        <v>0.21699819200000001</v>
      </c>
      <c r="L834">
        <v>0.486486486</v>
      </c>
      <c r="M834">
        <v>8.7136929000000002E-2</v>
      </c>
      <c r="N834" t="e">
        <v>#N/A</v>
      </c>
      <c r="O834" t="e">
        <v>#N/A</v>
      </c>
    </row>
    <row r="835" spans="1:15" x14ac:dyDescent="0.25">
      <c r="A835" t="s">
        <v>7</v>
      </c>
      <c r="B835" t="s">
        <v>24</v>
      </c>
      <c r="C835" s="3" t="str">
        <f>IF($B835="GW1",VLOOKUP($A835,Matches!$A:$AC,2,FALSE),IF($B835="GW2",VLOOKUP($A835,Matches!$A:$AC,9,FALSE),IF($B835="GW3",VLOOKUP($A835,Matches!$A:$AC,16,FALSE))))</f>
        <v>Aston Villa</v>
      </c>
      <c r="D835" s="6">
        <v>0.28555111364934321</v>
      </c>
      <c r="E835" s="6">
        <v>0.45156920298035674</v>
      </c>
      <c r="F835" s="6">
        <v>-0.16601808933101353</v>
      </c>
      <c r="G835" s="3" t="s">
        <v>1</v>
      </c>
      <c r="H835">
        <v>0.19047618999999999</v>
      </c>
      <c r="I835">
        <v>0.13605442200000001</v>
      </c>
      <c r="J835">
        <v>0.20050125299999999</v>
      </c>
      <c r="K835">
        <v>0.21699819200000001</v>
      </c>
      <c r="L835">
        <v>0.486486486</v>
      </c>
      <c r="M835">
        <v>8.7136929000000002E-2</v>
      </c>
      <c r="N835" t="e">
        <v>#N/A</v>
      </c>
      <c r="O835" t="e">
        <v>#N/A</v>
      </c>
    </row>
    <row r="836" spans="1:15" x14ac:dyDescent="0.25">
      <c r="A836" t="s">
        <v>7</v>
      </c>
      <c r="B836" t="s">
        <v>24</v>
      </c>
      <c r="C836" s="3" t="str">
        <f>IF($B836="GW1",VLOOKUP($A836,Matches!$A:$AC,2,FALSE),IF($B836="GW2",VLOOKUP($A836,Matches!$A:$AC,9,FALSE),IF($B836="GW3",VLOOKUP($A836,Matches!$A:$AC,16,FALSE))))</f>
        <v>Aston Villa</v>
      </c>
      <c r="D836" s="6">
        <v>0.28555111364934321</v>
      </c>
      <c r="E836" s="6">
        <v>0.45156920298035674</v>
      </c>
      <c r="F836" s="6">
        <v>-0.16601808933101353</v>
      </c>
      <c r="G836" s="3" t="s">
        <v>1</v>
      </c>
      <c r="H836">
        <v>0.21164021199999999</v>
      </c>
      <c r="I836">
        <v>0.13605442200000001</v>
      </c>
      <c r="J836">
        <v>0.173160173</v>
      </c>
      <c r="K836">
        <v>0.21699819200000001</v>
      </c>
      <c r="L836">
        <v>0.486486486</v>
      </c>
      <c r="M836">
        <v>8.7136929000000002E-2</v>
      </c>
      <c r="N836" t="e">
        <v>#N/A</v>
      </c>
      <c r="O836" t="e">
        <v>#N/A</v>
      </c>
    </row>
    <row r="837" spans="1:15" x14ac:dyDescent="0.25">
      <c r="A837" t="s">
        <v>7</v>
      </c>
      <c r="B837" t="s">
        <v>24</v>
      </c>
      <c r="C837" s="3" t="str">
        <f>IF($B837="GW1",VLOOKUP($A837,Matches!$A:$AC,2,FALSE),IF($B837="GW2",VLOOKUP($A837,Matches!$A:$AC,9,FALSE),IF($B837="GW3",VLOOKUP($A837,Matches!$A:$AC,16,FALSE))))</f>
        <v>Aston Villa</v>
      </c>
      <c r="D837" s="6">
        <v>0.28555111364934321</v>
      </c>
      <c r="E837" s="6">
        <v>0.45156920298035674</v>
      </c>
      <c r="F837" s="6">
        <v>-0.16601808933101353</v>
      </c>
      <c r="G837" s="3" t="s">
        <v>1</v>
      </c>
      <c r="H837">
        <v>0.10025062699999999</v>
      </c>
      <c r="I837">
        <v>0.105820106</v>
      </c>
      <c r="J837">
        <v>0.21994941200000001</v>
      </c>
      <c r="K837">
        <v>0.21699819200000001</v>
      </c>
      <c r="L837">
        <v>0.486486486</v>
      </c>
      <c r="M837">
        <v>8.7136929000000002E-2</v>
      </c>
      <c r="N837" t="e">
        <v>#N/A</v>
      </c>
      <c r="O837" t="e">
        <v>#N/A</v>
      </c>
    </row>
    <row r="838" spans="1:15" x14ac:dyDescent="0.25">
      <c r="A838" t="s">
        <v>7</v>
      </c>
      <c r="B838" t="s">
        <v>24</v>
      </c>
      <c r="C838" s="3" t="str">
        <f>IF($B838="GW1",VLOOKUP($A838,Matches!$A:$AC,2,FALSE),IF($B838="GW2",VLOOKUP($A838,Matches!$A:$AC,9,FALSE),IF($B838="GW3",VLOOKUP($A838,Matches!$A:$AC,16,FALSE))))</f>
        <v>Aston Villa</v>
      </c>
      <c r="D838" s="6">
        <v>0.28555111364934321</v>
      </c>
      <c r="E838" s="6">
        <v>0.45156920298035674</v>
      </c>
      <c r="F838" s="6">
        <v>-0.16601808933101353</v>
      </c>
      <c r="G838" s="3" t="s">
        <v>1</v>
      </c>
      <c r="H838">
        <v>0.10025062699999999</v>
      </c>
      <c r="I838">
        <v>9.5238094999999995E-2</v>
      </c>
      <c r="J838">
        <v>0.27210884400000002</v>
      </c>
      <c r="K838">
        <v>0.21699819200000001</v>
      </c>
      <c r="L838">
        <v>0.486486486</v>
      </c>
      <c r="M838">
        <v>8.7136929000000002E-2</v>
      </c>
      <c r="N838" t="e">
        <v>#N/A</v>
      </c>
      <c r="O838" t="e">
        <v>#N/A</v>
      </c>
    </row>
    <row r="839" spans="1:15" x14ac:dyDescent="0.25">
      <c r="A839" t="s">
        <v>7</v>
      </c>
      <c r="B839" t="s">
        <v>24</v>
      </c>
      <c r="C839" s="3" t="str">
        <f>IF($B839="GW1",VLOOKUP($A839,Matches!$A:$AC,2,FALSE),IF($B839="GW2",VLOOKUP($A839,Matches!$A:$AC,9,FALSE),IF($B839="GW3",VLOOKUP($A839,Matches!$A:$AC,16,FALSE))))</f>
        <v>Aston Villa</v>
      </c>
      <c r="D839" s="6">
        <v>0.28555111364934321</v>
      </c>
      <c r="E839" s="6">
        <v>0.45156920298035674</v>
      </c>
      <c r="F839" s="6">
        <v>-0.16601808933101353</v>
      </c>
      <c r="G839" s="3" t="s">
        <v>1</v>
      </c>
      <c r="H839">
        <v>0.10025062699999999</v>
      </c>
      <c r="I839">
        <v>0.15873015900000001</v>
      </c>
      <c r="J839">
        <v>0.15873015900000001</v>
      </c>
      <c r="K839">
        <v>0.21699819200000001</v>
      </c>
      <c r="L839">
        <v>0.486486486</v>
      </c>
      <c r="M839">
        <v>8.7136929000000002E-2</v>
      </c>
      <c r="N839" t="e">
        <v>#N/A</v>
      </c>
      <c r="O839" t="e">
        <v>#N/A</v>
      </c>
    </row>
    <row r="840" spans="1:15" x14ac:dyDescent="0.25">
      <c r="A840" t="s">
        <v>7</v>
      </c>
      <c r="B840" t="s">
        <v>24</v>
      </c>
      <c r="C840" s="3" t="str">
        <f>IF($B840="GW1",VLOOKUP($A840,Matches!$A:$AC,2,FALSE),IF($B840="GW2",VLOOKUP($A840,Matches!$A:$AC,9,FALSE),IF($B840="GW3",VLOOKUP($A840,Matches!$A:$AC,16,FALSE))))</f>
        <v>Aston Villa</v>
      </c>
      <c r="D840" s="6">
        <v>0.28555111364934321</v>
      </c>
      <c r="E840" s="6">
        <v>0.45156920298035674</v>
      </c>
      <c r="F840" s="6">
        <v>-0.16601808933101353</v>
      </c>
      <c r="G840" s="3" t="s">
        <v>1</v>
      </c>
      <c r="H840" t="e">
        <v>#N/A</v>
      </c>
      <c r="I840" t="e">
        <v>#N/A</v>
      </c>
      <c r="J840" t="e">
        <v>#N/A</v>
      </c>
      <c r="K840">
        <v>0.21699819200000001</v>
      </c>
      <c r="L840">
        <v>0.486486486</v>
      </c>
      <c r="M840">
        <v>8.7136929000000002E-2</v>
      </c>
      <c r="N840" t="e">
        <v>#N/A</v>
      </c>
      <c r="O840" t="e">
        <v>#N/A</v>
      </c>
    </row>
    <row r="841" spans="1:15" x14ac:dyDescent="0.25">
      <c r="A841" t="s">
        <v>7</v>
      </c>
      <c r="B841" t="s">
        <v>24</v>
      </c>
      <c r="C841" s="3" t="str">
        <f>IF($B841="GW1",VLOOKUP($A841,Matches!$A:$AC,2,FALSE),IF($B841="GW2",VLOOKUP($A841,Matches!$A:$AC,9,FALSE),IF($B841="GW3",VLOOKUP($A841,Matches!$A:$AC,16,FALSE))))</f>
        <v>Aston Villa</v>
      </c>
      <c r="D841" s="6">
        <v>0.28555111364934321</v>
      </c>
      <c r="E841" s="6">
        <v>0.45156920298035674</v>
      </c>
      <c r="F841" s="6">
        <v>-0.16601808933101353</v>
      </c>
      <c r="G841" s="3" t="s">
        <v>1</v>
      </c>
      <c r="H841">
        <v>0.126984127</v>
      </c>
      <c r="I841">
        <v>9.5238094999999995E-2</v>
      </c>
      <c r="J841">
        <v>0.253968254</v>
      </c>
      <c r="K841">
        <v>0.21699819200000001</v>
      </c>
      <c r="L841">
        <v>0.486486486</v>
      </c>
      <c r="M841">
        <v>8.7136929000000002E-2</v>
      </c>
      <c r="N841" t="e">
        <v>#N/A</v>
      </c>
      <c r="O841" t="e">
        <v>#N/A</v>
      </c>
    </row>
    <row r="842" spans="1:15" x14ac:dyDescent="0.25">
      <c r="A842" t="s">
        <v>7</v>
      </c>
      <c r="B842" t="s">
        <v>24</v>
      </c>
      <c r="C842" s="3" t="str">
        <f>IF($B842="GW1",VLOOKUP($A842,Matches!$A:$AC,2,FALSE),IF($B842="GW2",VLOOKUP($A842,Matches!$A:$AC,9,FALSE),IF($B842="GW3",VLOOKUP($A842,Matches!$A:$AC,16,FALSE))))</f>
        <v>Aston Villa</v>
      </c>
      <c r="D842" s="6">
        <v>0.28555111364934321</v>
      </c>
      <c r="E842" s="6">
        <v>0.45156920298035674</v>
      </c>
      <c r="F842" s="6">
        <v>-0.16601808933101353</v>
      </c>
      <c r="G842" s="3" t="s">
        <v>1</v>
      </c>
      <c r="H842">
        <v>0.19047618999999999</v>
      </c>
      <c r="I842">
        <v>9.5238094999999995E-2</v>
      </c>
      <c r="J842">
        <v>0.21994941200000001</v>
      </c>
      <c r="K842">
        <v>0.21699819200000001</v>
      </c>
      <c r="L842">
        <v>0.486486486</v>
      </c>
      <c r="M842">
        <v>8.7136929000000002E-2</v>
      </c>
      <c r="N842" t="e">
        <v>#N/A</v>
      </c>
      <c r="O842" t="e">
        <v>#N/A</v>
      </c>
    </row>
    <row r="843" spans="1:15" x14ac:dyDescent="0.25">
      <c r="A843" t="s">
        <v>7</v>
      </c>
      <c r="B843" t="s">
        <v>24</v>
      </c>
      <c r="C843" s="3" t="str">
        <f>IF($B843="GW1",VLOOKUP($A843,Matches!$A:$AC,2,FALSE),IF($B843="GW2",VLOOKUP($A843,Matches!$A:$AC,9,FALSE),IF($B843="GW3",VLOOKUP($A843,Matches!$A:$AC,16,FALSE))))</f>
        <v>Aston Villa</v>
      </c>
      <c r="D843" s="6">
        <v>0.28555111364934321</v>
      </c>
      <c r="E843" s="6">
        <v>0.45156920298035674</v>
      </c>
      <c r="F843" s="6">
        <v>-0.16601808933101353</v>
      </c>
      <c r="G843" s="3" t="s">
        <v>1</v>
      </c>
      <c r="H843">
        <v>0.14652014699999999</v>
      </c>
      <c r="I843">
        <v>8.6580087E-2</v>
      </c>
      <c r="J843">
        <v>0.19047618999999999</v>
      </c>
      <c r="K843">
        <v>0.21699819200000001</v>
      </c>
      <c r="L843">
        <v>0.486486486</v>
      </c>
      <c r="M843">
        <v>8.7136929000000002E-2</v>
      </c>
      <c r="N843" t="e">
        <v>#N/A</v>
      </c>
      <c r="O843" t="e">
        <v>#N/A</v>
      </c>
    </row>
    <row r="844" spans="1:15" x14ac:dyDescent="0.25">
      <c r="A844" t="s">
        <v>7</v>
      </c>
      <c r="B844" t="s">
        <v>24</v>
      </c>
      <c r="C844" s="3" t="str">
        <f>IF($B844="GW1",VLOOKUP($A844,Matches!$A:$AC,2,FALSE),IF($B844="GW2",VLOOKUP($A844,Matches!$A:$AC,9,FALSE),IF($B844="GW3",VLOOKUP($A844,Matches!$A:$AC,16,FALSE))))</f>
        <v>Aston Villa</v>
      </c>
      <c r="D844" s="6">
        <v>0.28555111364934321</v>
      </c>
      <c r="E844" s="6">
        <v>0.45156920298035674</v>
      </c>
      <c r="F844" s="6">
        <v>-0.16601808933101353</v>
      </c>
      <c r="G844" s="3" t="s">
        <v>1</v>
      </c>
      <c r="H844">
        <v>0.126984127</v>
      </c>
      <c r="I844">
        <v>7.3260072999999995E-2</v>
      </c>
      <c r="J844">
        <v>0.27210884400000002</v>
      </c>
      <c r="K844">
        <v>0.21699819200000001</v>
      </c>
      <c r="L844">
        <v>0.486486486</v>
      </c>
      <c r="M844">
        <v>8.7136929000000002E-2</v>
      </c>
      <c r="N844" t="e">
        <v>#N/A</v>
      </c>
      <c r="O844" t="e">
        <v>#N/A</v>
      </c>
    </row>
    <row r="845" spans="1:15" x14ac:dyDescent="0.25">
      <c r="A845" t="s">
        <v>7</v>
      </c>
      <c r="B845" t="s">
        <v>24</v>
      </c>
      <c r="C845" s="3" t="str">
        <f>IF($B845="GW1",VLOOKUP($A845,Matches!$A:$AC,2,FALSE),IF($B845="GW2",VLOOKUP($A845,Matches!$A:$AC,9,FALSE),IF($B845="GW3",VLOOKUP($A845,Matches!$A:$AC,16,FALSE))))</f>
        <v>Aston Villa</v>
      </c>
      <c r="D845" s="6">
        <v>0.28555111364934321</v>
      </c>
      <c r="E845" s="6">
        <v>0.45156920298035674</v>
      </c>
      <c r="F845" s="6">
        <v>-0.16601808933101353</v>
      </c>
      <c r="G845" s="3" t="s">
        <v>1</v>
      </c>
      <c r="H845" t="e">
        <v>#N/A</v>
      </c>
      <c r="I845" t="e">
        <v>#N/A</v>
      </c>
      <c r="J845" t="e">
        <v>#N/A</v>
      </c>
      <c r="K845">
        <v>0.21699819200000001</v>
      </c>
      <c r="L845">
        <v>0.486486486</v>
      </c>
      <c r="M845">
        <v>8.7136929000000002E-2</v>
      </c>
      <c r="N845" t="e">
        <v>#N/A</v>
      </c>
      <c r="O845" t="e">
        <v>#N/A</v>
      </c>
    </row>
    <row r="846" spans="1:15" x14ac:dyDescent="0.25">
      <c r="A846" t="s">
        <v>7</v>
      </c>
      <c r="B846" t="s">
        <v>24</v>
      </c>
      <c r="C846" s="3" t="str">
        <f>IF($B846="GW1",VLOOKUP($A846,Matches!$A:$AC,2,FALSE),IF($B846="GW2",VLOOKUP($A846,Matches!$A:$AC,9,FALSE),IF($B846="GW3",VLOOKUP($A846,Matches!$A:$AC,16,FALSE))))</f>
        <v>Aston Villa</v>
      </c>
      <c r="D846" s="6">
        <v>0.28555111364934321</v>
      </c>
      <c r="E846" s="6">
        <v>0.45156920298035674</v>
      </c>
      <c r="F846" s="6">
        <v>-0.16601808933101353</v>
      </c>
      <c r="G846" s="3" t="s">
        <v>1</v>
      </c>
      <c r="H846">
        <v>0.173160173</v>
      </c>
      <c r="I846">
        <v>7.3260072999999995E-2</v>
      </c>
      <c r="J846">
        <v>0.173160173</v>
      </c>
      <c r="K846">
        <v>0.21699819200000001</v>
      </c>
      <c r="L846">
        <v>0.486486486</v>
      </c>
      <c r="M846">
        <v>8.7136929000000002E-2</v>
      </c>
      <c r="N846" t="e">
        <v>#N/A</v>
      </c>
      <c r="O846" t="e">
        <v>#N/A</v>
      </c>
    </row>
    <row r="847" spans="1:15" x14ac:dyDescent="0.25">
      <c r="A847" t="s">
        <v>7</v>
      </c>
      <c r="B847" t="s">
        <v>24</v>
      </c>
      <c r="C847" s="3" t="str">
        <f>IF($B847="GW1",VLOOKUP($A847,Matches!$A:$AC,2,FALSE),IF($B847="GW2",VLOOKUP($A847,Matches!$A:$AC,9,FALSE),IF($B847="GW3",VLOOKUP($A847,Matches!$A:$AC,16,FALSE))))</f>
        <v>Aston Villa</v>
      </c>
      <c r="D847" s="6">
        <v>0.28555111364934321</v>
      </c>
      <c r="E847" s="6">
        <v>0.45156920298035674</v>
      </c>
      <c r="F847" s="6">
        <v>-0.16601808933101353</v>
      </c>
      <c r="G847" s="3" t="s">
        <v>1</v>
      </c>
      <c r="H847" t="e">
        <v>#N/A</v>
      </c>
      <c r="I847" t="e">
        <v>#N/A</v>
      </c>
      <c r="J847" t="e">
        <v>#N/A</v>
      </c>
      <c r="K847">
        <v>0.21699819200000001</v>
      </c>
      <c r="L847">
        <v>0.486486486</v>
      </c>
      <c r="M847">
        <v>8.7136929000000002E-2</v>
      </c>
      <c r="N847" t="e">
        <v>#N/A</v>
      </c>
      <c r="O847" t="e">
        <v>#N/A</v>
      </c>
    </row>
    <row r="848" spans="1:15" x14ac:dyDescent="0.25">
      <c r="A848" t="s">
        <v>7</v>
      </c>
      <c r="B848" t="s">
        <v>24</v>
      </c>
      <c r="C848" s="3" t="str">
        <f>IF($B848="GW1",VLOOKUP($A848,Matches!$A:$AC,2,FALSE),IF($B848="GW2",VLOOKUP($A848,Matches!$A:$AC,9,FALSE),IF($B848="GW3",VLOOKUP($A848,Matches!$A:$AC,16,FALSE))))</f>
        <v>Aston Villa</v>
      </c>
      <c r="D848" s="6">
        <v>0.28555111364934321</v>
      </c>
      <c r="E848" s="6">
        <v>0.45156920298035674</v>
      </c>
      <c r="F848" s="6">
        <v>-0.16601808933101353</v>
      </c>
      <c r="G848" s="3" t="s">
        <v>1</v>
      </c>
      <c r="H848">
        <v>0.297619048</v>
      </c>
      <c r="I848">
        <v>0.105820106</v>
      </c>
      <c r="J848">
        <v>0.173160173</v>
      </c>
      <c r="K848">
        <v>0.21699819200000001</v>
      </c>
      <c r="L848">
        <v>0.486486486</v>
      </c>
      <c r="M848">
        <v>8.7136929000000002E-2</v>
      </c>
      <c r="N848" t="e">
        <v>#N/A</v>
      </c>
      <c r="O848" t="e">
        <v>#N/A</v>
      </c>
    </row>
    <row r="849" spans="1:15" x14ac:dyDescent="0.25">
      <c r="A849" t="s">
        <v>7</v>
      </c>
      <c r="B849" t="s">
        <v>24</v>
      </c>
      <c r="C849" s="3" t="str">
        <f>IF($B849="GW1",VLOOKUP($A849,Matches!$A:$AC,2,FALSE),IF($B849="GW2",VLOOKUP($A849,Matches!$A:$AC,9,FALSE),IF($B849="GW3",VLOOKUP($A849,Matches!$A:$AC,16,FALSE))))</f>
        <v>Aston Villa</v>
      </c>
      <c r="D849" s="6">
        <v>0.28555111364934321</v>
      </c>
      <c r="E849" s="6">
        <v>0.45156920298035674</v>
      </c>
      <c r="F849" s="6">
        <v>-0.16601808933101353</v>
      </c>
      <c r="G849" s="3" t="s">
        <v>1</v>
      </c>
      <c r="H849">
        <v>0.33184005300000002</v>
      </c>
      <c r="I849">
        <v>9.5238094999999995E-2</v>
      </c>
      <c r="J849">
        <v>0.27210884400000002</v>
      </c>
      <c r="K849">
        <v>0.21699819200000001</v>
      </c>
      <c r="L849">
        <v>0.486486486</v>
      </c>
      <c r="M849">
        <v>8.7136929000000002E-2</v>
      </c>
      <c r="N849" t="e">
        <v>#N/A</v>
      </c>
      <c r="O849" t="e">
        <v>#N/A</v>
      </c>
    </row>
    <row r="850" spans="1:15" x14ac:dyDescent="0.25">
      <c r="A850" t="s">
        <v>7</v>
      </c>
      <c r="B850" t="s">
        <v>24</v>
      </c>
      <c r="C850" s="3" t="str">
        <f>IF($B850="GW1",VLOOKUP($A850,Matches!$A:$AC,2,FALSE),IF($B850="GW2",VLOOKUP($A850,Matches!$A:$AC,9,FALSE),IF($B850="GW3",VLOOKUP($A850,Matches!$A:$AC,16,FALSE))))</f>
        <v>Aston Villa</v>
      </c>
      <c r="D850" s="6">
        <v>0.28555111364934321</v>
      </c>
      <c r="E850" s="6">
        <v>0.45156920298035674</v>
      </c>
      <c r="F850" s="6">
        <v>-0.16601808933101353</v>
      </c>
      <c r="G850" s="3" t="s">
        <v>1</v>
      </c>
      <c r="H850" t="e">
        <v>#N/A</v>
      </c>
      <c r="I850" t="e">
        <v>#N/A</v>
      </c>
      <c r="J850" t="e">
        <v>#N/A</v>
      </c>
      <c r="K850">
        <v>0.21699819200000001</v>
      </c>
      <c r="L850">
        <v>0.486486486</v>
      </c>
      <c r="M850">
        <v>8.7136929000000002E-2</v>
      </c>
      <c r="N850" t="e">
        <v>#N/A</v>
      </c>
      <c r="O850" t="e">
        <v>#N/A</v>
      </c>
    </row>
    <row r="851" spans="1:15" x14ac:dyDescent="0.25">
      <c r="A851" t="s">
        <v>8</v>
      </c>
      <c r="B851" t="s">
        <v>24</v>
      </c>
      <c r="C851" s="3" t="str">
        <f>IF($B851="GW1",VLOOKUP($A851,Matches!$A:$AC,2,FALSE),IF($B851="GW2",VLOOKUP($A851,Matches!$A:$AC,9,FALSE),IF($B851="GW3",VLOOKUP($A851,Matches!$A:$AC,16,FALSE))))</f>
        <v>Everton</v>
      </c>
      <c r="D851" s="6">
        <v>0.39953653761636498</v>
      </c>
      <c r="E851" s="6">
        <v>0.32579657262005607</v>
      </c>
      <c r="F851" s="6">
        <v>7.3739964996308915E-2</v>
      </c>
      <c r="G851" s="3" t="s">
        <v>0</v>
      </c>
      <c r="H851" t="e">
        <v>#N/A</v>
      </c>
      <c r="I851" t="e">
        <v>#N/A</v>
      </c>
      <c r="J851">
        <v>0.19047618999999999</v>
      </c>
      <c r="K851">
        <v>0.311926606</v>
      </c>
      <c r="L851">
        <v>0.33734939800000002</v>
      </c>
      <c r="M851">
        <v>4.6104928000000003E-2</v>
      </c>
      <c r="N851" t="e">
        <v>#N/A</v>
      </c>
      <c r="O851" t="e">
        <v>#N/A</v>
      </c>
    </row>
    <row r="852" spans="1:15" x14ac:dyDescent="0.25">
      <c r="A852" t="s">
        <v>8</v>
      </c>
      <c r="B852" t="s">
        <v>24</v>
      </c>
      <c r="C852" s="3" t="str">
        <f>IF($B852="GW1",VLOOKUP($A852,Matches!$A:$AC,2,FALSE),IF($B852="GW2",VLOOKUP($A852,Matches!$A:$AC,9,FALSE),IF($B852="GW3",VLOOKUP($A852,Matches!$A:$AC,16,FALSE))))</f>
        <v>Everton</v>
      </c>
      <c r="D852" s="6">
        <v>0.39953653761636498</v>
      </c>
      <c r="E852" s="6">
        <v>0.32579657262005607</v>
      </c>
      <c r="F852" s="6">
        <v>7.3739964996308915E-2</v>
      </c>
      <c r="G852" s="3" t="s">
        <v>0</v>
      </c>
      <c r="H852" t="e">
        <v>#N/A</v>
      </c>
      <c r="I852" t="e">
        <v>#N/A</v>
      </c>
      <c r="J852">
        <v>0.19047618999999999</v>
      </c>
      <c r="K852">
        <v>0.311926606</v>
      </c>
      <c r="L852">
        <v>0.33734939800000002</v>
      </c>
      <c r="M852">
        <v>4.6104928000000003E-2</v>
      </c>
      <c r="N852">
        <v>0.553709856</v>
      </c>
      <c r="O852">
        <v>8.6580087E-2</v>
      </c>
    </row>
    <row r="853" spans="1:15" x14ac:dyDescent="0.25">
      <c r="A853" t="s">
        <v>8</v>
      </c>
      <c r="B853" t="s">
        <v>24</v>
      </c>
      <c r="C853" s="3" t="str">
        <f>IF($B853="GW1",VLOOKUP($A853,Matches!$A:$AC,2,FALSE),IF($B853="GW2",VLOOKUP($A853,Matches!$A:$AC,9,FALSE),IF($B853="GW3",VLOOKUP($A853,Matches!$A:$AC,16,FALSE))))</f>
        <v>Everton</v>
      </c>
      <c r="D853" s="6">
        <v>0.39953653761636498</v>
      </c>
      <c r="E853" s="6">
        <v>0.32579657262005607</v>
      </c>
      <c r="F853" s="6">
        <v>7.3739964996308915E-2</v>
      </c>
      <c r="G853" s="3" t="s">
        <v>0</v>
      </c>
      <c r="H853" t="e">
        <v>#N/A</v>
      </c>
      <c r="I853" t="e">
        <v>#N/A</v>
      </c>
      <c r="J853" t="e">
        <v>#N/A</v>
      </c>
      <c r="K853">
        <v>0.311926606</v>
      </c>
      <c r="L853">
        <v>0.33734939800000002</v>
      </c>
      <c r="M853">
        <v>4.6104928000000003E-2</v>
      </c>
      <c r="N853" t="e">
        <v>#N/A</v>
      </c>
      <c r="O853" t="e">
        <v>#N/A</v>
      </c>
    </row>
    <row r="854" spans="1:15" x14ac:dyDescent="0.25">
      <c r="A854" t="s">
        <v>8</v>
      </c>
      <c r="B854" t="s">
        <v>24</v>
      </c>
      <c r="C854" s="3" t="str">
        <f>IF($B854="GW1",VLOOKUP($A854,Matches!$A:$AC,2,FALSE),IF($B854="GW2",VLOOKUP($A854,Matches!$A:$AC,9,FALSE),IF($B854="GW3",VLOOKUP($A854,Matches!$A:$AC,16,FALSE))))</f>
        <v>Everton</v>
      </c>
      <c r="D854" s="6">
        <v>0.39953653761636498</v>
      </c>
      <c r="E854" s="6">
        <v>0.32579657262005607</v>
      </c>
      <c r="F854" s="6">
        <v>7.3739964996308915E-2</v>
      </c>
      <c r="G854" s="3" t="s">
        <v>0</v>
      </c>
      <c r="H854" t="e">
        <v>#N/A</v>
      </c>
      <c r="I854" t="e">
        <v>#N/A</v>
      </c>
      <c r="J854" t="e">
        <v>#N/A</v>
      </c>
      <c r="K854">
        <v>0.311926606</v>
      </c>
      <c r="L854">
        <v>0.33734939800000002</v>
      </c>
      <c r="M854">
        <v>4.6104928000000003E-2</v>
      </c>
      <c r="N854" t="e">
        <v>#N/A</v>
      </c>
      <c r="O854" t="e">
        <v>#N/A</v>
      </c>
    </row>
    <row r="855" spans="1:15" x14ac:dyDescent="0.25">
      <c r="A855" t="s">
        <v>8</v>
      </c>
      <c r="B855" t="s">
        <v>24</v>
      </c>
      <c r="C855" s="3" t="str">
        <f>IF($B855="GW1",VLOOKUP($A855,Matches!$A:$AC,2,FALSE),IF($B855="GW2",VLOOKUP($A855,Matches!$A:$AC,9,FALSE),IF($B855="GW3",VLOOKUP($A855,Matches!$A:$AC,16,FALSE))))</f>
        <v>Everton</v>
      </c>
      <c r="D855" s="6">
        <v>0.39953653761636498</v>
      </c>
      <c r="E855" s="6">
        <v>0.32579657262005607</v>
      </c>
      <c r="F855" s="6">
        <v>7.3739964996308915E-2</v>
      </c>
      <c r="G855" s="3" t="s">
        <v>0</v>
      </c>
      <c r="H855" t="e">
        <v>#N/A</v>
      </c>
      <c r="I855" t="e">
        <v>#N/A</v>
      </c>
      <c r="J855" t="e">
        <v>#N/A</v>
      </c>
      <c r="K855">
        <v>0.311926606</v>
      </c>
      <c r="L855">
        <v>0.33734939800000002</v>
      </c>
      <c r="M855">
        <v>4.6104928000000003E-2</v>
      </c>
      <c r="N855" t="e">
        <v>#N/A</v>
      </c>
      <c r="O855" t="e">
        <v>#N/A</v>
      </c>
    </row>
    <row r="856" spans="1:15" x14ac:dyDescent="0.25">
      <c r="A856" t="s">
        <v>8</v>
      </c>
      <c r="B856" t="s">
        <v>24</v>
      </c>
      <c r="C856" s="3" t="str">
        <f>IF($B856="GW1",VLOOKUP($A856,Matches!$A:$AC,2,FALSE),IF($B856="GW2",VLOOKUP($A856,Matches!$A:$AC,9,FALSE),IF($B856="GW3",VLOOKUP($A856,Matches!$A:$AC,16,FALSE))))</f>
        <v>Everton</v>
      </c>
      <c r="D856" s="6">
        <v>0.39953653761636498</v>
      </c>
      <c r="E856" s="6">
        <v>0.32579657262005607</v>
      </c>
      <c r="F856" s="6">
        <v>7.3739964996308915E-2</v>
      </c>
      <c r="G856" s="3" t="s">
        <v>0</v>
      </c>
      <c r="H856">
        <v>7.3260072999999995E-2</v>
      </c>
      <c r="I856">
        <v>5.6022409000000002E-2</v>
      </c>
      <c r="J856">
        <v>0.173160173</v>
      </c>
      <c r="K856">
        <v>0.311926606</v>
      </c>
      <c r="L856">
        <v>0.33734939800000002</v>
      </c>
      <c r="M856">
        <v>4.6104928000000003E-2</v>
      </c>
      <c r="N856" t="e">
        <v>#N/A</v>
      </c>
      <c r="O856" t="e">
        <v>#N/A</v>
      </c>
    </row>
    <row r="857" spans="1:15" x14ac:dyDescent="0.25">
      <c r="A857" t="s">
        <v>8</v>
      </c>
      <c r="B857" t="s">
        <v>24</v>
      </c>
      <c r="C857" s="3" t="str">
        <f>IF($B857="GW1",VLOOKUP($A857,Matches!$A:$AC,2,FALSE),IF($B857="GW2",VLOOKUP($A857,Matches!$A:$AC,9,FALSE),IF($B857="GW3",VLOOKUP($A857,Matches!$A:$AC,16,FALSE))))</f>
        <v>Everton</v>
      </c>
      <c r="D857" s="6">
        <v>0.39953653761636498</v>
      </c>
      <c r="E857" s="6">
        <v>0.32579657262005607</v>
      </c>
      <c r="F857" s="6">
        <v>7.3739964996308915E-2</v>
      </c>
      <c r="G857" s="3" t="s">
        <v>0</v>
      </c>
      <c r="H857">
        <v>8.6580087E-2</v>
      </c>
      <c r="I857">
        <v>4.1407867000000001E-2</v>
      </c>
      <c r="J857">
        <v>0.27210884400000002</v>
      </c>
      <c r="K857">
        <v>0.311926606</v>
      </c>
      <c r="L857">
        <v>0.33734939800000002</v>
      </c>
      <c r="M857">
        <v>4.6104928000000003E-2</v>
      </c>
      <c r="N857" t="e">
        <v>#N/A</v>
      </c>
      <c r="O857" t="e">
        <v>#N/A</v>
      </c>
    </row>
    <row r="858" spans="1:15" x14ac:dyDescent="0.25">
      <c r="A858" t="s">
        <v>8</v>
      </c>
      <c r="B858" t="s">
        <v>24</v>
      </c>
      <c r="C858" s="3" t="str">
        <f>IF($B858="GW1",VLOOKUP($A858,Matches!$A:$AC,2,FALSE),IF($B858="GW2",VLOOKUP($A858,Matches!$A:$AC,9,FALSE),IF($B858="GW3",VLOOKUP($A858,Matches!$A:$AC,16,FALSE))))</f>
        <v>Everton</v>
      </c>
      <c r="D858" s="6">
        <v>0.39953653761636498</v>
      </c>
      <c r="E858" s="6">
        <v>0.32579657262005607</v>
      </c>
      <c r="F858" s="6">
        <v>7.3739964996308915E-2</v>
      </c>
      <c r="G858" s="3" t="s">
        <v>0</v>
      </c>
      <c r="H858">
        <v>0.13605442200000001</v>
      </c>
      <c r="I858">
        <v>0.11904761899999999</v>
      </c>
      <c r="J858">
        <v>0.173160173</v>
      </c>
      <c r="K858">
        <v>0.311926606</v>
      </c>
      <c r="L858">
        <v>0.33734939800000002</v>
      </c>
      <c r="M858">
        <v>4.6104928000000003E-2</v>
      </c>
      <c r="N858" t="e">
        <v>#N/A</v>
      </c>
      <c r="O858" t="e">
        <v>#N/A</v>
      </c>
    </row>
    <row r="859" spans="1:15" x14ac:dyDescent="0.25">
      <c r="A859" t="s">
        <v>8</v>
      </c>
      <c r="B859" t="s">
        <v>24</v>
      </c>
      <c r="C859" s="3" t="str">
        <f>IF($B859="GW1",VLOOKUP($A859,Matches!$A:$AC,2,FALSE),IF($B859="GW2",VLOOKUP($A859,Matches!$A:$AC,9,FALSE),IF($B859="GW3",VLOOKUP($A859,Matches!$A:$AC,16,FALSE))))</f>
        <v>Everton</v>
      </c>
      <c r="D859" s="6">
        <v>0.39953653761636498</v>
      </c>
      <c r="E859" s="6">
        <v>0.32579657262005607</v>
      </c>
      <c r="F859" s="6">
        <v>7.3739964996308915E-2</v>
      </c>
      <c r="G859" s="3" t="s">
        <v>0</v>
      </c>
      <c r="H859">
        <v>8.6580087E-2</v>
      </c>
      <c r="I859">
        <v>5.0125312999999998E-2</v>
      </c>
      <c r="J859">
        <v>0.253968254</v>
      </c>
      <c r="K859">
        <v>0.311926606</v>
      </c>
      <c r="L859">
        <v>0.33734939800000002</v>
      </c>
      <c r="M859">
        <v>4.6104928000000003E-2</v>
      </c>
      <c r="N859" t="e">
        <v>#N/A</v>
      </c>
      <c r="O859" t="e">
        <v>#N/A</v>
      </c>
    </row>
    <row r="860" spans="1:15" x14ac:dyDescent="0.25">
      <c r="A860" t="s">
        <v>8</v>
      </c>
      <c r="B860" t="s">
        <v>24</v>
      </c>
      <c r="C860" s="3" t="str">
        <f>IF($B860="GW1",VLOOKUP($A860,Matches!$A:$AC,2,FALSE),IF($B860="GW2",VLOOKUP($A860,Matches!$A:$AC,9,FALSE),IF($B860="GW3",VLOOKUP($A860,Matches!$A:$AC,16,FALSE))))</f>
        <v>Everton</v>
      </c>
      <c r="D860" s="6">
        <v>0.39953653761636498</v>
      </c>
      <c r="E860" s="6">
        <v>0.32579657262005607</v>
      </c>
      <c r="F860" s="6">
        <v>7.3739964996308915E-2</v>
      </c>
      <c r="G860" s="3" t="s">
        <v>0</v>
      </c>
      <c r="H860" t="e">
        <v>#N/A</v>
      </c>
      <c r="I860" t="e">
        <v>#N/A</v>
      </c>
      <c r="J860" t="e">
        <v>#N/A</v>
      </c>
      <c r="K860">
        <v>0.311926606</v>
      </c>
      <c r="L860">
        <v>0.33734939800000002</v>
      </c>
      <c r="M860">
        <v>4.6104928000000003E-2</v>
      </c>
      <c r="N860" t="e">
        <v>#N/A</v>
      </c>
      <c r="O860" t="e">
        <v>#N/A</v>
      </c>
    </row>
    <row r="861" spans="1:15" x14ac:dyDescent="0.25">
      <c r="A861" t="s">
        <v>8</v>
      </c>
      <c r="B861" t="s">
        <v>24</v>
      </c>
      <c r="C861" s="3" t="str">
        <f>IF($B861="GW1",VLOOKUP($A861,Matches!$A:$AC,2,FALSE),IF($B861="GW2",VLOOKUP($A861,Matches!$A:$AC,9,FALSE),IF($B861="GW3",VLOOKUP($A861,Matches!$A:$AC,16,FALSE))))</f>
        <v>Everton</v>
      </c>
      <c r="D861" s="6">
        <v>0.39953653761636498</v>
      </c>
      <c r="E861" s="6">
        <v>0.32579657262005607</v>
      </c>
      <c r="F861" s="6">
        <v>7.3739964996308915E-2</v>
      </c>
      <c r="G861" s="3" t="s">
        <v>0</v>
      </c>
      <c r="H861" t="e">
        <v>#N/A</v>
      </c>
      <c r="I861" t="e">
        <v>#N/A</v>
      </c>
      <c r="J861" t="e">
        <v>#N/A</v>
      </c>
      <c r="K861">
        <v>0.311926606</v>
      </c>
      <c r="L861">
        <v>0.33734939800000002</v>
      </c>
      <c r="M861">
        <v>4.6104928000000003E-2</v>
      </c>
      <c r="N861" t="e">
        <v>#N/A</v>
      </c>
      <c r="O861" t="e">
        <v>#N/A</v>
      </c>
    </row>
    <row r="862" spans="1:15" x14ac:dyDescent="0.25">
      <c r="A862" t="s">
        <v>8</v>
      </c>
      <c r="B862" t="s">
        <v>24</v>
      </c>
      <c r="C862" s="3" t="str">
        <f>IF($B862="GW1",VLOOKUP($A862,Matches!$A:$AC,2,FALSE),IF($B862="GW2",VLOOKUP($A862,Matches!$A:$AC,9,FALSE),IF($B862="GW3",VLOOKUP($A862,Matches!$A:$AC,16,FALSE))))</f>
        <v>Everton</v>
      </c>
      <c r="D862" s="6">
        <v>0.39953653761636498</v>
      </c>
      <c r="E862" s="6">
        <v>0.32579657262005607</v>
      </c>
      <c r="F862" s="6">
        <v>7.3739964996308915E-2</v>
      </c>
      <c r="G862" s="3" t="s">
        <v>0</v>
      </c>
      <c r="H862" t="e">
        <v>#N/A</v>
      </c>
      <c r="I862" t="e">
        <v>#N/A</v>
      </c>
      <c r="J862" t="e">
        <v>#N/A</v>
      </c>
      <c r="K862">
        <v>0.311926606</v>
      </c>
      <c r="L862">
        <v>0.33734939800000002</v>
      </c>
      <c r="M862">
        <v>4.6104928000000003E-2</v>
      </c>
      <c r="N862" t="e">
        <v>#N/A</v>
      </c>
      <c r="O862" t="e">
        <v>#N/A</v>
      </c>
    </row>
    <row r="863" spans="1:15" x14ac:dyDescent="0.25">
      <c r="A863" t="s">
        <v>8</v>
      </c>
      <c r="B863" t="s">
        <v>24</v>
      </c>
      <c r="C863" s="3" t="str">
        <f>IF($B863="GW1",VLOOKUP($A863,Matches!$A:$AC,2,FALSE),IF($B863="GW2",VLOOKUP($A863,Matches!$A:$AC,9,FALSE),IF($B863="GW3",VLOOKUP($A863,Matches!$A:$AC,16,FALSE))))</f>
        <v>Everton</v>
      </c>
      <c r="D863" s="6">
        <v>0.39953653761636498</v>
      </c>
      <c r="E863" s="6">
        <v>0.32579657262005607</v>
      </c>
      <c r="F863" s="6">
        <v>7.3739964996308915E-2</v>
      </c>
      <c r="G863" s="3" t="s">
        <v>0</v>
      </c>
      <c r="H863" t="e">
        <v>#N/A</v>
      </c>
      <c r="I863" t="e">
        <v>#N/A</v>
      </c>
      <c r="J863" t="e">
        <v>#N/A</v>
      </c>
      <c r="K863">
        <v>0.311926606</v>
      </c>
      <c r="L863">
        <v>0.33734939800000002</v>
      </c>
      <c r="M863">
        <v>4.6104928000000003E-2</v>
      </c>
      <c r="N863" t="e">
        <v>#N/A</v>
      </c>
      <c r="O863" t="e">
        <v>#N/A</v>
      </c>
    </row>
    <row r="864" spans="1:15" x14ac:dyDescent="0.25">
      <c r="A864" t="s">
        <v>8</v>
      </c>
      <c r="B864" t="s">
        <v>24</v>
      </c>
      <c r="C864" s="3" t="str">
        <f>IF($B864="GW1",VLOOKUP($A864,Matches!$A:$AC,2,FALSE),IF($B864="GW2",VLOOKUP($A864,Matches!$A:$AC,9,FALSE),IF($B864="GW3",VLOOKUP($A864,Matches!$A:$AC,16,FALSE))))</f>
        <v>Everton</v>
      </c>
      <c r="D864" s="6">
        <v>0.39953653761636498</v>
      </c>
      <c r="E864" s="6">
        <v>0.32579657262005607</v>
      </c>
      <c r="F864" s="6">
        <v>7.3739964996308915E-2</v>
      </c>
      <c r="G864" s="3" t="s">
        <v>0</v>
      </c>
      <c r="H864">
        <v>5.6022409000000002E-2</v>
      </c>
      <c r="I864">
        <v>5.0125312999999998E-2</v>
      </c>
      <c r="J864">
        <v>0.21164021199999999</v>
      </c>
      <c r="K864">
        <v>0.311926606</v>
      </c>
      <c r="L864">
        <v>0.33734939800000002</v>
      </c>
      <c r="M864">
        <v>4.6104928000000003E-2</v>
      </c>
      <c r="N864" t="e">
        <v>#N/A</v>
      </c>
      <c r="O864" t="e">
        <v>#N/A</v>
      </c>
    </row>
    <row r="865" spans="1:15" x14ac:dyDescent="0.25">
      <c r="A865" t="s">
        <v>8</v>
      </c>
      <c r="B865" t="s">
        <v>24</v>
      </c>
      <c r="C865" s="3" t="str">
        <f>IF($B865="GW1",VLOOKUP($A865,Matches!$A:$AC,2,FALSE),IF($B865="GW2",VLOOKUP($A865,Matches!$A:$AC,9,FALSE),IF($B865="GW3",VLOOKUP($A865,Matches!$A:$AC,16,FALSE))))</f>
        <v>Everton</v>
      </c>
      <c r="D865" s="6">
        <v>0.39953653761636498</v>
      </c>
      <c r="E865" s="6">
        <v>0.32579657262005607</v>
      </c>
      <c r="F865" s="6">
        <v>7.3739964996308915E-2</v>
      </c>
      <c r="G865" s="3" t="s">
        <v>0</v>
      </c>
      <c r="H865" t="e">
        <v>#N/A</v>
      </c>
      <c r="I865" t="e">
        <v>#N/A</v>
      </c>
      <c r="J865" t="e">
        <v>#N/A</v>
      </c>
      <c r="K865">
        <v>0.311926606</v>
      </c>
      <c r="L865">
        <v>0.33734939800000002</v>
      </c>
      <c r="M865">
        <v>4.6104928000000003E-2</v>
      </c>
      <c r="N865" t="e">
        <v>#N/A</v>
      </c>
      <c r="O865" t="e">
        <v>#N/A</v>
      </c>
    </row>
    <row r="866" spans="1:15" x14ac:dyDescent="0.25">
      <c r="A866" t="s">
        <v>8</v>
      </c>
      <c r="B866" t="s">
        <v>24</v>
      </c>
      <c r="C866" s="3" t="str">
        <f>IF($B866="GW1",VLOOKUP($A866,Matches!$A:$AC,2,FALSE),IF($B866="GW2",VLOOKUP($A866,Matches!$A:$AC,9,FALSE),IF($B866="GW3",VLOOKUP($A866,Matches!$A:$AC,16,FALSE))))</f>
        <v>Everton</v>
      </c>
      <c r="D866" s="6">
        <v>0.39953653761636498</v>
      </c>
      <c r="E866" s="6">
        <v>0.32579657262005607</v>
      </c>
      <c r="F866" s="6">
        <v>7.3739964996308915E-2</v>
      </c>
      <c r="G866" s="3" t="s">
        <v>0</v>
      </c>
      <c r="H866" t="e">
        <v>#N/A</v>
      </c>
      <c r="I866" t="e">
        <v>#N/A</v>
      </c>
      <c r="J866" t="e">
        <v>#N/A</v>
      </c>
      <c r="K866">
        <v>0.311926606</v>
      </c>
      <c r="L866">
        <v>0.33734939800000002</v>
      </c>
      <c r="M866">
        <v>4.6104928000000003E-2</v>
      </c>
      <c r="N866" t="e">
        <v>#N/A</v>
      </c>
      <c r="O866" t="e">
        <v>#N/A</v>
      </c>
    </row>
    <row r="867" spans="1:15" x14ac:dyDescent="0.25">
      <c r="A867" t="s">
        <v>8</v>
      </c>
      <c r="B867" t="s">
        <v>24</v>
      </c>
      <c r="C867" s="3" t="str">
        <f>IF($B867="GW1",VLOOKUP($A867,Matches!$A:$AC,2,FALSE),IF($B867="GW2",VLOOKUP($A867,Matches!$A:$AC,9,FALSE),IF($B867="GW3",VLOOKUP($A867,Matches!$A:$AC,16,FALSE))))</f>
        <v>Everton</v>
      </c>
      <c r="D867" s="6">
        <v>0.39953653761636498</v>
      </c>
      <c r="E867" s="6">
        <v>0.32579657262005607</v>
      </c>
      <c r="F867" s="6">
        <v>7.3739964996308915E-2</v>
      </c>
      <c r="G867" s="3" t="s">
        <v>0</v>
      </c>
      <c r="H867" t="e">
        <v>#N/A</v>
      </c>
      <c r="I867" t="e">
        <v>#N/A</v>
      </c>
      <c r="J867" t="e">
        <v>#N/A</v>
      </c>
      <c r="K867">
        <v>0.311926606</v>
      </c>
      <c r="L867">
        <v>0.33734939800000002</v>
      </c>
      <c r="M867">
        <v>4.6104928000000003E-2</v>
      </c>
      <c r="N867" t="e">
        <v>#N/A</v>
      </c>
      <c r="O867" t="e">
        <v>#N/A</v>
      </c>
    </row>
    <row r="868" spans="1:15" x14ac:dyDescent="0.25">
      <c r="A868" t="s">
        <v>8</v>
      </c>
      <c r="B868" t="s">
        <v>24</v>
      </c>
      <c r="C868" s="3" t="str">
        <f>IF($B868="GW1",VLOOKUP($A868,Matches!$A:$AC,2,FALSE),IF($B868="GW2",VLOOKUP($A868,Matches!$A:$AC,9,FALSE),IF($B868="GW3",VLOOKUP($A868,Matches!$A:$AC,16,FALSE))))</f>
        <v>Everton</v>
      </c>
      <c r="D868" s="6">
        <v>0.39953653761636498</v>
      </c>
      <c r="E868" s="6">
        <v>0.32579657262005607</v>
      </c>
      <c r="F868" s="6">
        <v>7.3739964996308915E-2</v>
      </c>
      <c r="G868" s="3" t="s">
        <v>0</v>
      </c>
      <c r="H868" t="e">
        <v>#N/A</v>
      </c>
      <c r="I868" t="e">
        <v>#N/A</v>
      </c>
      <c r="J868" t="e">
        <v>#N/A</v>
      </c>
      <c r="K868">
        <v>0.311926606</v>
      </c>
      <c r="L868">
        <v>0.33734939800000002</v>
      </c>
      <c r="M868">
        <v>4.6104928000000003E-2</v>
      </c>
      <c r="N868" t="e">
        <v>#N/A</v>
      </c>
      <c r="O868" t="e">
        <v>#N/A</v>
      </c>
    </row>
    <row r="869" spans="1:15" x14ac:dyDescent="0.25">
      <c r="A869" t="s">
        <v>8</v>
      </c>
      <c r="B869" t="s">
        <v>24</v>
      </c>
      <c r="C869" s="3" t="str">
        <f>IF($B869="GW1",VLOOKUP($A869,Matches!$A:$AC,2,FALSE),IF($B869="GW2",VLOOKUP($A869,Matches!$A:$AC,9,FALSE),IF($B869="GW3",VLOOKUP($A869,Matches!$A:$AC,16,FALSE))))</f>
        <v>Everton</v>
      </c>
      <c r="D869" s="6">
        <v>0.39953653761636498</v>
      </c>
      <c r="E869" s="6">
        <v>0.32579657262005607</v>
      </c>
      <c r="F869" s="6">
        <v>7.3739964996308915E-2</v>
      </c>
      <c r="G869" s="3" t="s">
        <v>0</v>
      </c>
      <c r="H869" t="e">
        <v>#N/A</v>
      </c>
      <c r="I869" t="e">
        <v>#N/A</v>
      </c>
      <c r="J869" t="e">
        <v>#N/A</v>
      </c>
      <c r="K869">
        <v>0.311926606</v>
      </c>
      <c r="L869">
        <v>0.33734939800000002</v>
      </c>
      <c r="M869">
        <v>4.6104928000000003E-2</v>
      </c>
      <c r="N869" t="e">
        <v>#N/A</v>
      </c>
      <c r="O869" t="e">
        <v>#N/A</v>
      </c>
    </row>
    <row r="870" spans="1:15" x14ac:dyDescent="0.25">
      <c r="A870" t="s">
        <v>8</v>
      </c>
      <c r="B870" t="s">
        <v>24</v>
      </c>
      <c r="C870" s="3" t="str">
        <f>IF($B870="GW1",VLOOKUP($A870,Matches!$A:$AC,2,FALSE),IF($B870="GW2",VLOOKUP($A870,Matches!$A:$AC,9,FALSE),IF($B870="GW3",VLOOKUP($A870,Matches!$A:$AC,16,FALSE))))</f>
        <v>Everton</v>
      </c>
      <c r="D870" s="6">
        <v>0.39953653761636498</v>
      </c>
      <c r="E870" s="6">
        <v>0.32579657262005607</v>
      </c>
      <c r="F870" s="6">
        <v>7.3739964996308915E-2</v>
      </c>
      <c r="G870" s="3" t="s">
        <v>0</v>
      </c>
      <c r="H870">
        <v>0.26455026500000001</v>
      </c>
      <c r="I870">
        <v>0.15873015900000001</v>
      </c>
      <c r="J870">
        <v>0.173160173</v>
      </c>
      <c r="K870">
        <v>0.311926606</v>
      </c>
      <c r="L870">
        <v>0.33734939800000002</v>
      </c>
      <c r="M870">
        <v>4.6104928000000003E-2</v>
      </c>
      <c r="N870" t="e">
        <v>#N/A</v>
      </c>
      <c r="O870" t="e">
        <v>#N/A</v>
      </c>
    </row>
    <row r="871" spans="1:15" x14ac:dyDescent="0.25">
      <c r="A871" t="s">
        <v>8</v>
      </c>
      <c r="B871" t="s">
        <v>24</v>
      </c>
      <c r="C871" s="3" t="str">
        <f>IF($B871="GW1",VLOOKUP($A871,Matches!$A:$AC,2,FALSE),IF($B871="GW2",VLOOKUP($A871,Matches!$A:$AC,9,FALSE),IF($B871="GW3",VLOOKUP($A871,Matches!$A:$AC,16,FALSE))))</f>
        <v>Everton</v>
      </c>
      <c r="D871" s="6">
        <v>0.39953653761636498</v>
      </c>
      <c r="E871" s="6">
        <v>0.32579657262005607</v>
      </c>
      <c r="F871" s="6">
        <v>7.3739964996308915E-2</v>
      </c>
      <c r="G871" s="3" t="s">
        <v>0</v>
      </c>
      <c r="H871">
        <v>0.23809523799999999</v>
      </c>
      <c r="I871">
        <v>0.15873015900000001</v>
      </c>
      <c r="J871">
        <v>0.19047618999999999</v>
      </c>
      <c r="K871">
        <v>0.311926606</v>
      </c>
      <c r="L871">
        <v>0.33734939800000002</v>
      </c>
      <c r="M871">
        <v>4.6104928000000003E-2</v>
      </c>
      <c r="N871" t="e">
        <v>#N/A</v>
      </c>
      <c r="O871" t="e">
        <v>#N/A</v>
      </c>
    </row>
    <row r="872" spans="1:15" x14ac:dyDescent="0.25">
      <c r="A872" t="s">
        <v>8</v>
      </c>
      <c r="B872" t="s">
        <v>24</v>
      </c>
      <c r="C872" s="3" t="str">
        <f>IF($B872="GW1",VLOOKUP($A872,Matches!$A:$AC,2,FALSE),IF($B872="GW2",VLOOKUP($A872,Matches!$A:$AC,9,FALSE),IF($B872="GW3",VLOOKUP($A872,Matches!$A:$AC,16,FALSE))))</f>
        <v>Everton</v>
      </c>
      <c r="D872" s="6">
        <v>0.39953653761636498</v>
      </c>
      <c r="E872" s="6">
        <v>0.32579657262005607</v>
      </c>
      <c r="F872" s="6">
        <v>7.3739964996308915E-2</v>
      </c>
      <c r="G872" s="3" t="s">
        <v>0</v>
      </c>
      <c r="H872" t="e">
        <v>#N/A</v>
      </c>
      <c r="I872" t="e">
        <v>#N/A</v>
      </c>
      <c r="J872" t="e">
        <v>#N/A</v>
      </c>
      <c r="K872">
        <v>0.311926606</v>
      </c>
      <c r="L872">
        <v>0.33734939800000002</v>
      </c>
      <c r="M872">
        <v>4.6104928000000003E-2</v>
      </c>
      <c r="N872" t="e">
        <v>#N/A</v>
      </c>
      <c r="O872" t="e">
        <v>#N/A</v>
      </c>
    </row>
    <row r="873" spans="1:15" x14ac:dyDescent="0.25">
      <c r="A873" t="s">
        <v>8</v>
      </c>
      <c r="B873" t="s">
        <v>24</v>
      </c>
      <c r="C873" s="3" t="str">
        <f>IF($B873="GW1",VLOOKUP($A873,Matches!$A:$AC,2,FALSE),IF($B873="GW2",VLOOKUP($A873,Matches!$A:$AC,9,FALSE),IF($B873="GW3",VLOOKUP($A873,Matches!$A:$AC,16,FALSE))))</f>
        <v>Everton</v>
      </c>
      <c r="D873" s="6">
        <v>0.39953653761636498</v>
      </c>
      <c r="E873" s="6">
        <v>0.32579657262005607</v>
      </c>
      <c r="F873" s="6">
        <v>7.3739964996308915E-2</v>
      </c>
      <c r="G873" s="3" t="s">
        <v>0</v>
      </c>
      <c r="H873">
        <v>0.21994941200000001</v>
      </c>
      <c r="I873">
        <v>0.14652014699999999</v>
      </c>
      <c r="J873">
        <v>0.31746031699999999</v>
      </c>
      <c r="K873">
        <v>0.311926606</v>
      </c>
      <c r="L873">
        <v>0.33734939800000002</v>
      </c>
      <c r="M873">
        <v>4.6104928000000003E-2</v>
      </c>
      <c r="N873" t="e">
        <v>#N/A</v>
      </c>
      <c r="O873" t="e">
        <v>#N/A</v>
      </c>
    </row>
    <row r="874" spans="1:15" x14ac:dyDescent="0.25">
      <c r="A874" t="s">
        <v>8</v>
      </c>
      <c r="B874" t="s">
        <v>24</v>
      </c>
      <c r="C874" s="3" t="str">
        <f>IF($B874="GW1",VLOOKUP($A874,Matches!$A:$AC,2,FALSE),IF($B874="GW2",VLOOKUP($A874,Matches!$A:$AC,9,FALSE),IF($B874="GW3",VLOOKUP($A874,Matches!$A:$AC,16,FALSE))))</f>
        <v>Everton</v>
      </c>
      <c r="D874" s="6">
        <v>0.39953653761636498</v>
      </c>
      <c r="E874" s="6">
        <v>0.32579657262005607</v>
      </c>
      <c r="F874" s="6">
        <v>7.3739964996308915E-2</v>
      </c>
      <c r="G874" s="3" t="s">
        <v>0</v>
      </c>
      <c r="H874" t="e">
        <v>#N/A</v>
      </c>
      <c r="I874" t="e">
        <v>#N/A</v>
      </c>
      <c r="J874" t="e">
        <v>#N/A</v>
      </c>
      <c r="K874">
        <v>0.311926606</v>
      </c>
      <c r="L874">
        <v>0.33734939800000002</v>
      </c>
      <c r="M874">
        <v>4.6104928000000003E-2</v>
      </c>
      <c r="N874" t="e">
        <v>#N/A</v>
      </c>
      <c r="O874" t="e">
        <v>#N/A</v>
      </c>
    </row>
    <row r="875" spans="1:15" x14ac:dyDescent="0.25">
      <c r="A875" t="s">
        <v>8</v>
      </c>
      <c r="B875" t="s">
        <v>24</v>
      </c>
      <c r="C875" s="3" t="str">
        <f>IF($B875="GW1",VLOOKUP($A875,Matches!$A:$AC,2,FALSE),IF($B875="GW2",VLOOKUP($A875,Matches!$A:$AC,9,FALSE),IF($B875="GW3",VLOOKUP($A875,Matches!$A:$AC,16,FALSE))))</f>
        <v>Everton</v>
      </c>
      <c r="D875" s="6">
        <v>0.39953653761636498</v>
      </c>
      <c r="E875" s="6">
        <v>0.32579657262005607</v>
      </c>
      <c r="F875" s="6">
        <v>7.3739964996308915E-2</v>
      </c>
      <c r="G875" s="3" t="s">
        <v>0</v>
      </c>
      <c r="H875">
        <v>0.15873015900000001</v>
      </c>
      <c r="I875">
        <v>0.13605442200000001</v>
      </c>
      <c r="J875">
        <v>0.19047618999999999</v>
      </c>
      <c r="K875">
        <v>0.311926606</v>
      </c>
      <c r="L875">
        <v>0.33734939800000002</v>
      </c>
      <c r="M875">
        <v>4.6104928000000003E-2</v>
      </c>
      <c r="N875" t="e">
        <v>#N/A</v>
      </c>
      <c r="O875" t="e">
        <v>#N/A</v>
      </c>
    </row>
    <row r="876" spans="1:15" x14ac:dyDescent="0.25">
      <c r="A876" t="s">
        <v>8</v>
      </c>
      <c r="B876" t="s">
        <v>24</v>
      </c>
      <c r="C876" s="3" t="str">
        <f>IF($B876="GW1",VLOOKUP($A876,Matches!$A:$AC,2,FALSE),IF($B876="GW2",VLOOKUP($A876,Matches!$A:$AC,9,FALSE),IF($B876="GW3",VLOOKUP($A876,Matches!$A:$AC,16,FALSE))))</f>
        <v>Everton</v>
      </c>
      <c r="D876" s="6">
        <v>0.39953653761636498</v>
      </c>
      <c r="E876" s="6">
        <v>0.32579657262005607</v>
      </c>
      <c r="F876" s="6">
        <v>7.3739964996308915E-2</v>
      </c>
      <c r="G876" s="3" t="s">
        <v>0</v>
      </c>
      <c r="H876">
        <v>9.5238094999999995E-2</v>
      </c>
      <c r="I876">
        <v>7.3260072999999995E-2</v>
      </c>
      <c r="J876">
        <v>0.19047618999999999</v>
      </c>
      <c r="K876">
        <v>0.311926606</v>
      </c>
      <c r="L876">
        <v>0.33734939800000002</v>
      </c>
      <c r="M876">
        <v>4.6104928000000003E-2</v>
      </c>
      <c r="N876" t="e">
        <v>#N/A</v>
      </c>
      <c r="O876" t="e">
        <v>#N/A</v>
      </c>
    </row>
    <row r="877" spans="1:15" x14ac:dyDescent="0.25">
      <c r="A877" t="s">
        <v>8</v>
      </c>
      <c r="B877" t="s">
        <v>24</v>
      </c>
      <c r="C877" s="3" t="str">
        <f>IF($B877="GW1",VLOOKUP($A877,Matches!$A:$AC,2,FALSE),IF($B877="GW2",VLOOKUP($A877,Matches!$A:$AC,9,FALSE),IF($B877="GW3",VLOOKUP($A877,Matches!$A:$AC,16,FALSE))))</f>
        <v>Everton</v>
      </c>
      <c r="D877" s="6">
        <v>0.39953653761636498</v>
      </c>
      <c r="E877" s="6">
        <v>0.32579657262005607</v>
      </c>
      <c r="F877" s="6">
        <v>7.3739964996308915E-2</v>
      </c>
      <c r="G877" s="3" t="s">
        <v>0</v>
      </c>
      <c r="H877">
        <v>0.253968254</v>
      </c>
      <c r="I877">
        <v>0.15873015900000001</v>
      </c>
      <c r="J877">
        <v>0.10025062699999999</v>
      </c>
      <c r="K877">
        <v>0.311926606</v>
      </c>
      <c r="L877">
        <v>0.33734939800000002</v>
      </c>
      <c r="M877">
        <v>4.6104928000000003E-2</v>
      </c>
      <c r="N877" t="e">
        <v>#N/A</v>
      </c>
      <c r="O877" t="e">
        <v>#N/A</v>
      </c>
    </row>
    <row r="878" spans="1:15" x14ac:dyDescent="0.25">
      <c r="A878" t="s">
        <v>8</v>
      </c>
      <c r="B878" t="s">
        <v>24</v>
      </c>
      <c r="C878" s="3" t="str">
        <f>IF($B878="GW1",VLOOKUP($A878,Matches!$A:$AC,2,FALSE),IF($B878="GW2",VLOOKUP($A878,Matches!$A:$AC,9,FALSE),IF($B878="GW3",VLOOKUP($A878,Matches!$A:$AC,16,FALSE))))</f>
        <v>Everton</v>
      </c>
      <c r="D878" s="6">
        <v>0.39953653761636498</v>
      </c>
      <c r="E878" s="6">
        <v>0.32579657262005607</v>
      </c>
      <c r="F878" s="6">
        <v>7.3739964996308915E-2</v>
      </c>
      <c r="G878" s="3" t="s">
        <v>0</v>
      </c>
      <c r="H878" t="e">
        <v>#N/A</v>
      </c>
      <c r="I878" t="e">
        <v>#N/A</v>
      </c>
      <c r="J878" t="e">
        <v>#N/A</v>
      </c>
      <c r="K878">
        <v>0.311926606</v>
      </c>
      <c r="L878">
        <v>0.33734939800000002</v>
      </c>
      <c r="M878">
        <v>4.6104928000000003E-2</v>
      </c>
      <c r="N878" t="e">
        <v>#N/A</v>
      </c>
      <c r="O878" t="e">
        <v>#N/A</v>
      </c>
    </row>
    <row r="879" spans="1:15" x14ac:dyDescent="0.25">
      <c r="A879" t="s">
        <v>8</v>
      </c>
      <c r="B879" t="s">
        <v>24</v>
      </c>
      <c r="C879" s="3" t="str">
        <f>IF($B879="GW1",VLOOKUP($A879,Matches!$A:$AC,2,FALSE),IF($B879="GW2",VLOOKUP($A879,Matches!$A:$AC,9,FALSE),IF($B879="GW3",VLOOKUP($A879,Matches!$A:$AC,16,FALSE))))</f>
        <v>Everton</v>
      </c>
      <c r="D879" s="6">
        <v>0.39953653761636498</v>
      </c>
      <c r="E879" s="6">
        <v>0.32579657262005607</v>
      </c>
      <c r="F879" s="6">
        <v>7.3739964996308915E-2</v>
      </c>
      <c r="G879" s="3" t="s">
        <v>0</v>
      </c>
      <c r="H879">
        <v>0.112044818</v>
      </c>
      <c r="I879">
        <v>0.13605442200000001</v>
      </c>
      <c r="J879">
        <v>0.19047618999999999</v>
      </c>
      <c r="K879">
        <v>0.311926606</v>
      </c>
      <c r="L879">
        <v>0.33734939800000002</v>
      </c>
      <c r="M879">
        <v>4.6104928000000003E-2</v>
      </c>
      <c r="N879" t="e">
        <v>#N/A</v>
      </c>
      <c r="O879" t="e">
        <v>#N/A</v>
      </c>
    </row>
    <row r="880" spans="1:15" x14ac:dyDescent="0.25">
      <c r="A880" t="s">
        <v>8</v>
      </c>
      <c r="B880" t="s">
        <v>24</v>
      </c>
      <c r="C880" s="3" t="str">
        <f>IF($B880="GW1",VLOOKUP($A880,Matches!$A:$AC,2,FALSE),IF($B880="GW2",VLOOKUP($A880,Matches!$A:$AC,9,FALSE),IF($B880="GW3",VLOOKUP($A880,Matches!$A:$AC,16,FALSE))))</f>
        <v>Everton</v>
      </c>
      <c r="D880" s="6">
        <v>0.39953653761636498</v>
      </c>
      <c r="E880" s="6">
        <v>0.32579657262005607</v>
      </c>
      <c r="F880" s="6">
        <v>7.3739964996308915E-2</v>
      </c>
      <c r="G880" s="3" t="s">
        <v>0</v>
      </c>
      <c r="H880">
        <v>0.112044818</v>
      </c>
      <c r="I880">
        <v>7.3260072999999995E-2</v>
      </c>
      <c r="J880">
        <v>0.27210884400000002</v>
      </c>
      <c r="K880">
        <v>0.311926606</v>
      </c>
      <c r="L880">
        <v>0.33734939800000002</v>
      </c>
      <c r="M880">
        <v>4.6104928000000003E-2</v>
      </c>
      <c r="N880" t="e">
        <v>#N/A</v>
      </c>
      <c r="O880" t="e">
        <v>#N/A</v>
      </c>
    </row>
    <row r="881" spans="1:15" x14ac:dyDescent="0.25">
      <c r="A881" t="s">
        <v>8</v>
      </c>
      <c r="B881" t="s">
        <v>24</v>
      </c>
      <c r="C881" s="3" t="str">
        <f>IF($B881="GW1",VLOOKUP($A881,Matches!$A:$AC,2,FALSE),IF($B881="GW2",VLOOKUP($A881,Matches!$A:$AC,9,FALSE),IF($B881="GW3",VLOOKUP($A881,Matches!$A:$AC,16,FALSE))))</f>
        <v>Everton</v>
      </c>
      <c r="D881" s="6">
        <v>0.39953653761636498</v>
      </c>
      <c r="E881" s="6">
        <v>0.32579657262005607</v>
      </c>
      <c r="F881" s="6">
        <v>7.3739964996308915E-2</v>
      </c>
      <c r="G881" s="3" t="s">
        <v>0</v>
      </c>
      <c r="H881" t="e">
        <v>#N/A</v>
      </c>
      <c r="I881" t="e">
        <v>#N/A</v>
      </c>
      <c r="J881" t="e">
        <v>#N/A</v>
      </c>
      <c r="K881">
        <v>0.311926606</v>
      </c>
      <c r="L881">
        <v>0.33734939800000002</v>
      </c>
      <c r="M881">
        <v>4.6104928000000003E-2</v>
      </c>
      <c r="N881" t="e">
        <v>#N/A</v>
      </c>
      <c r="O881" t="e">
        <v>#N/A</v>
      </c>
    </row>
    <row r="882" spans="1:15" x14ac:dyDescent="0.25">
      <c r="A882" t="s">
        <v>8</v>
      </c>
      <c r="B882" t="s">
        <v>24</v>
      </c>
      <c r="C882" s="3" t="str">
        <f>IF($B882="GW1",VLOOKUP($A882,Matches!$A:$AC,2,FALSE),IF($B882="GW2",VLOOKUP($A882,Matches!$A:$AC,9,FALSE),IF($B882="GW3",VLOOKUP($A882,Matches!$A:$AC,16,FALSE))))</f>
        <v>Everton</v>
      </c>
      <c r="D882" s="6">
        <v>0.39953653761636498</v>
      </c>
      <c r="E882" s="6">
        <v>0.32579657262005607</v>
      </c>
      <c r="F882" s="6">
        <v>7.3739964996308915E-2</v>
      </c>
      <c r="G882" s="3" t="s">
        <v>0</v>
      </c>
      <c r="H882">
        <v>0.19047618999999999</v>
      </c>
      <c r="I882">
        <v>0.13605442200000001</v>
      </c>
      <c r="J882">
        <v>0.253968254</v>
      </c>
      <c r="K882">
        <v>0.311926606</v>
      </c>
      <c r="L882">
        <v>0.33734939800000002</v>
      </c>
      <c r="M882">
        <v>4.6104928000000003E-2</v>
      </c>
      <c r="N882" t="e">
        <v>#N/A</v>
      </c>
      <c r="O882" t="e">
        <v>#N/A</v>
      </c>
    </row>
    <row r="883" spans="1:15" x14ac:dyDescent="0.25">
      <c r="A883" t="s">
        <v>8</v>
      </c>
      <c r="B883" t="s">
        <v>24</v>
      </c>
      <c r="C883" s="3" t="str">
        <f>IF($B883="GW1",VLOOKUP($A883,Matches!$A:$AC,2,FALSE),IF($B883="GW2",VLOOKUP($A883,Matches!$A:$AC,9,FALSE),IF($B883="GW3",VLOOKUP($A883,Matches!$A:$AC,16,FALSE))))</f>
        <v>Everton</v>
      </c>
      <c r="D883" s="6">
        <v>0.39953653761636498</v>
      </c>
      <c r="E883" s="6">
        <v>0.32579657262005607</v>
      </c>
      <c r="F883" s="6">
        <v>7.3739964996308915E-2</v>
      </c>
      <c r="G883" s="3" t="s">
        <v>0</v>
      </c>
      <c r="H883">
        <v>0.105820106</v>
      </c>
      <c r="I883">
        <v>0.11904761899999999</v>
      </c>
      <c r="J883">
        <v>0.21164021199999999</v>
      </c>
      <c r="K883">
        <v>0.311926606</v>
      </c>
      <c r="L883">
        <v>0.33734939800000002</v>
      </c>
      <c r="M883">
        <v>4.6104928000000003E-2</v>
      </c>
      <c r="N883" t="e">
        <v>#N/A</v>
      </c>
      <c r="O883" t="e">
        <v>#N/A</v>
      </c>
    </row>
    <row r="884" spans="1:15" x14ac:dyDescent="0.25">
      <c r="A884" t="s">
        <v>8</v>
      </c>
      <c r="B884" t="s">
        <v>24</v>
      </c>
      <c r="C884" s="3" t="str">
        <f>IF($B884="GW1",VLOOKUP($A884,Matches!$A:$AC,2,FALSE),IF($B884="GW2",VLOOKUP($A884,Matches!$A:$AC,9,FALSE),IF($B884="GW3",VLOOKUP($A884,Matches!$A:$AC,16,FALSE))))</f>
        <v>Everton</v>
      </c>
      <c r="D884" s="6">
        <v>0.39953653761636498</v>
      </c>
      <c r="E884" s="6">
        <v>0.32579657262005607</v>
      </c>
      <c r="F884" s="6">
        <v>7.3739964996308915E-2</v>
      </c>
      <c r="G884" s="3" t="s">
        <v>0</v>
      </c>
      <c r="H884" t="e">
        <v>#N/A</v>
      </c>
      <c r="I884" t="e">
        <v>#N/A</v>
      </c>
      <c r="J884" t="e">
        <v>#N/A</v>
      </c>
      <c r="K884">
        <v>0.311926606</v>
      </c>
      <c r="L884">
        <v>0.33734939800000002</v>
      </c>
      <c r="M884">
        <v>4.6104928000000003E-2</v>
      </c>
      <c r="N884" t="e">
        <v>#N/A</v>
      </c>
      <c r="O884" t="e">
        <v>#N/A</v>
      </c>
    </row>
    <row r="885" spans="1:15" x14ac:dyDescent="0.25">
      <c r="A885" t="s">
        <v>8</v>
      </c>
      <c r="B885" t="s">
        <v>24</v>
      </c>
      <c r="C885" s="3" t="str">
        <f>IF($B885="GW1",VLOOKUP($A885,Matches!$A:$AC,2,FALSE),IF($B885="GW2",VLOOKUP($A885,Matches!$A:$AC,9,FALSE),IF($B885="GW3",VLOOKUP($A885,Matches!$A:$AC,16,FALSE))))</f>
        <v>Everton</v>
      </c>
      <c r="D885" s="6">
        <v>0.39953653761636498</v>
      </c>
      <c r="E885" s="6">
        <v>0.32579657262005607</v>
      </c>
      <c r="F885" s="6">
        <v>7.3739964996308915E-2</v>
      </c>
      <c r="G885" s="3" t="s">
        <v>0</v>
      </c>
      <c r="H885">
        <v>0.19047618999999999</v>
      </c>
      <c r="I885">
        <v>0.13605442200000001</v>
      </c>
      <c r="J885">
        <v>0.19047618999999999</v>
      </c>
      <c r="K885">
        <v>0.311926606</v>
      </c>
      <c r="L885">
        <v>0.33734939800000002</v>
      </c>
      <c r="M885">
        <v>4.6104928000000003E-2</v>
      </c>
      <c r="N885" t="e">
        <v>#N/A</v>
      </c>
      <c r="O885" t="e">
        <v>#N/A</v>
      </c>
    </row>
    <row r="886" spans="1:15" x14ac:dyDescent="0.25">
      <c r="A886" t="s">
        <v>8</v>
      </c>
      <c r="B886" t="s">
        <v>24</v>
      </c>
      <c r="C886" s="3" t="str">
        <f>IF($B886="GW1",VLOOKUP($A886,Matches!$A:$AC,2,FALSE),IF($B886="GW2",VLOOKUP($A886,Matches!$A:$AC,9,FALSE),IF($B886="GW3",VLOOKUP($A886,Matches!$A:$AC,16,FALSE))))</f>
        <v>Everton</v>
      </c>
      <c r="D886" s="6">
        <v>0.39953653761636498</v>
      </c>
      <c r="E886" s="6">
        <v>0.32579657262005607</v>
      </c>
      <c r="F886" s="6">
        <v>7.3739964996308915E-2</v>
      </c>
      <c r="G886" s="3" t="s">
        <v>0</v>
      </c>
      <c r="H886">
        <v>0.105820106</v>
      </c>
      <c r="I886">
        <v>0.11904761899999999</v>
      </c>
      <c r="J886">
        <v>0.23809523799999999</v>
      </c>
      <c r="K886">
        <v>0.311926606</v>
      </c>
      <c r="L886">
        <v>0.33734939800000002</v>
      </c>
      <c r="M886">
        <v>4.6104928000000003E-2</v>
      </c>
      <c r="N886" t="e">
        <v>#N/A</v>
      </c>
      <c r="O886" t="e">
        <v>#N/A</v>
      </c>
    </row>
    <row r="887" spans="1:15" x14ac:dyDescent="0.25">
      <c r="A887" t="s">
        <v>8</v>
      </c>
      <c r="B887" t="s">
        <v>24</v>
      </c>
      <c r="C887" s="3" t="str">
        <f>IF($B887="GW1",VLOOKUP($A887,Matches!$A:$AC,2,FALSE),IF($B887="GW2",VLOOKUP($A887,Matches!$A:$AC,9,FALSE),IF($B887="GW3",VLOOKUP($A887,Matches!$A:$AC,16,FALSE))))</f>
        <v>Everton</v>
      </c>
      <c r="D887" s="6">
        <v>0.39953653761636498</v>
      </c>
      <c r="E887" s="6">
        <v>0.32579657262005607</v>
      </c>
      <c r="F887" s="6">
        <v>7.3739964996308915E-2</v>
      </c>
      <c r="G887" s="3" t="s">
        <v>0</v>
      </c>
      <c r="H887" t="e">
        <v>#N/A</v>
      </c>
      <c r="I887" t="e">
        <v>#N/A</v>
      </c>
      <c r="J887" t="e">
        <v>#N/A</v>
      </c>
      <c r="K887">
        <v>0.311926606</v>
      </c>
      <c r="L887">
        <v>0.33734939800000002</v>
      </c>
      <c r="M887">
        <v>4.6104928000000003E-2</v>
      </c>
      <c r="N887" t="e">
        <v>#N/A</v>
      </c>
      <c r="O887" t="e">
        <v>#N/A</v>
      </c>
    </row>
    <row r="888" spans="1:15" x14ac:dyDescent="0.25">
      <c r="A888" t="s">
        <v>8</v>
      </c>
      <c r="B888" t="s">
        <v>24</v>
      </c>
      <c r="C888" s="3" t="str">
        <f>IF($B888="GW1",VLOOKUP($A888,Matches!$A:$AC,2,FALSE),IF($B888="GW2",VLOOKUP($A888,Matches!$A:$AC,9,FALSE),IF($B888="GW3",VLOOKUP($A888,Matches!$A:$AC,16,FALSE))))</f>
        <v>Everton</v>
      </c>
      <c r="D888" s="6">
        <v>0.39953653761636498</v>
      </c>
      <c r="E888" s="6">
        <v>0.32579657262005607</v>
      </c>
      <c r="F888" s="6">
        <v>7.3739964996308915E-2</v>
      </c>
      <c r="G888" s="3" t="s">
        <v>0</v>
      </c>
      <c r="H888" t="e">
        <v>#N/A</v>
      </c>
      <c r="I888" t="e">
        <v>#N/A</v>
      </c>
      <c r="J888" t="e">
        <v>#N/A</v>
      </c>
      <c r="K888">
        <v>0.311926606</v>
      </c>
      <c r="L888">
        <v>0.33734939800000002</v>
      </c>
      <c r="M888">
        <v>4.6104928000000003E-2</v>
      </c>
      <c r="N888" t="e">
        <v>#N/A</v>
      </c>
      <c r="O888" t="e">
        <v>#N/A</v>
      </c>
    </row>
    <row r="889" spans="1:15" x14ac:dyDescent="0.25">
      <c r="A889" t="s">
        <v>8</v>
      </c>
      <c r="B889" t="s">
        <v>24</v>
      </c>
      <c r="C889" s="3" t="str">
        <f>IF($B889="GW1",VLOOKUP($A889,Matches!$A:$AC,2,FALSE),IF($B889="GW2",VLOOKUP($A889,Matches!$A:$AC,9,FALSE),IF($B889="GW3",VLOOKUP($A889,Matches!$A:$AC,16,FALSE))))</f>
        <v>Everton</v>
      </c>
      <c r="D889" s="6">
        <v>0.39953653761636498</v>
      </c>
      <c r="E889" s="6">
        <v>0.32579657262005607</v>
      </c>
      <c r="F889" s="6">
        <v>7.3739964996308915E-2</v>
      </c>
      <c r="G889" s="3" t="s">
        <v>0</v>
      </c>
      <c r="H889" t="e">
        <v>#N/A</v>
      </c>
      <c r="I889" t="e">
        <v>#N/A</v>
      </c>
      <c r="J889" t="e">
        <v>#N/A</v>
      </c>
      <c r="K889">
        <v>0.311926606</v>
      </c>
      <c r="L889">
        <v>0.33734939800000002</v>
      </c>
      <c r="M889">
        <v>4.6104928000000003E-2</v>
      </c>
      <c r="N889" t="e">
        <v>#N/A</v>
      </c>
      <c r="O889" t="e">
        <v>#N/A</v>
      </c>
    </row>
    <row r="890" spans="1:15" x14ac:dyDescent="0.25">
      <c r="A890" t="s">
        <v>8</v>
      </c>
      <c r="B890" t="s">
        <v>24</v>
      </c>
      <c r="C890" s="3" t="str">
        <f>IF($B890="GW1",VLOOKUP($A890,Matches!$A:$AC,2,FALSE),IF($B890="GW2",VLOOKUP($A890,Matches!$A:$AC,9,FALSE),IF($B890="GW3",VLOOKUP($A890,Matches!$A:$AC,16,FALSE))))</f>
        <v>Everton</v>
      </c>
      <c r="D890" s="6">
        <v>0.39953653761636498</v>
      </c>
      <c r="E890" s="6">
        <v>0.32579657262005607</v>
      </c>
      <c r="F890" s="6">
        <v>7.3739964996308915E-2</v>
      </c>
      <c r="G890" s="3" t="s">
        <v>0</v>
      </c>
      <c r="H890" t="e">
        <v>#N/A</v>
      </c>
      <c r="I890" t="e">
        <v>#N/A</v>
      </c>
      <c r="J890" t="e">
        <v>#N/A</v>
      </c>
      <c r="K890">
        <v>0.311926606</v>
      </c>
      <c r="L890">
        <v>0.33734939800000002</v>
      </c>
      <c r="M890">
        <v>4.6104928000000003E-2</v>
      </c>
      <c r="N890" t="e">
        <v>#N/A</v>
      </c>
      <c r="O890" t="e">
        <v>#N/A</v>
      </c>
    </row>
    <row r="891" spans="1:15" x14ac:dyDescent="0.25">
      <c r="A891" t="s">
        <v>8</v>
      </c>
      <c r="B891" t="s">
        <v>24</v>
      </c>
      <c r="C891" s="3" t="str">
        <f>IF($B891="GW1",VLOOKUP($A891,Matches!$A:$AC,2,FALSE),IF($B891="GW2",VLOOKUP($A891,Matches!$A:$AC,9,FALSE),IF($B891="GW3",VLOOKUP($A891,Matches!$A:$AC,16,FALSE))))</f>
        <v>Everton</v>
      </c>
      <c r="D891" s="6">
        <v>0.39953653761636498</v>
      </c>
      <c r="E891" s="6">
        <v>0.32579657262005607</v>
      </c>
      <c r="F891" s="6">
        <v>7.3739964996308915E-2</v>
      </c>
      <c r="G891" s="3" t="s">
        <v>0</v>
      </c>
      <c r="H891">
        <v>0.33184005300000002</v>
      </c>
      <c r="I891">
        <v>7.3260072999999995E-2</v>
      </c>
      <c r="J891">
        <v>0.112044818</v>
      </c>
      <c r="K891">
        <v>0.311926606</v>
      </c>
      <c r="L891">
        <v>0.33734939800000002</v>
      </c>
      <c r="M891">
        <v>4.6104928000000003E-2</v>
      </c>
      <c r="N891" t="e">
        <v>#N/A</v>
      </c>
      <c r="O891" t="e">
        <v>#N/A</v>
      </c>
    </row>
    <row r="892" spans="1:15" x14ac:dyDescent="0.25">
      <c r="A892" t="s">
        <v>8</v>
      </c>
      <c r="B892" t="s">
        <v>24</v>
      </c>
      <c r="C892" s="3" t="str">
        <f>IF($B892="GW1",VLOOKUP($A892,Matches!$A:$AC,2,FALSE),IF($B892="GW2",VLOOKUP($A892,Matches!$A:$AC,9,FALSE),IF($B892="GW3",VLOOKUP($A892,Matches!$A:$AC,16,FALSE))))</f>
        <v>Everton</v>
      </c>
      <c r="D892" s="6">
        <v>0.39953653761636498</v>
      </c>
      <c r="E892" s="6">
        <v>0.32579657262005607</v>
      </c>
      <c r="F892" s="6">
        <v>7.3739964996308915E-2</v>
      </c>
      <c r="G892" s="3" t="s">
        <v>0</v>
      </c>
      <c r="H892" t="e">
        <v>#N/A</v>
      </c>
      <c r="I892" t="e">
        <v>#N/A</v>
      </c>
      <c r="J892" t="e">
        <v>#N/A</v>
      </c>
      <c r="K892">
        <v>0.311926606</v>
      </c>
      <c r="L892">
        <v>0.33734939800000002</v>
      </c>
      <c r="M892">
        <v>4.6104928000000003E-2</v>
      </c>
      <c r="N892" t="e">
        <v>#N/A</v>
      </c>
      <c r="O892" t="e">
        <v>#N/A</v>
      </c>
    </row>
    <row r="893" spans="1:15" x14ac:dyDescent="0.25">
      <c r="A893" t="s">
        <v>8</v>
      </c>
      <c r="B893" t="s">
        <v>24</v>
      </c>
      <c r="C893" s="3" t="str">
        <f>IF($B893="GW1",VLOOKUP($A893,Matches!$A:$AC,2,FALSE),IF($B893="GW2",VLOOKUP($A893,Matches!$A:$AC,9,FALSE),IF($B893="GW3",VLOOKUP($A893,Matches!$A:$AC,16,FALSE))))</f>
        <v>Everton</v>
      </c>
      <c r="D893" s="6">
        <v>0.39953653761636498</v>
      </c>
      <c r="E893" s="6">
        <v>0.32579657262005607</v>
      </c>
      <c r="F893" s="6">
        <v>7.3739964996308915E-2</v>
      </c>
      <c r="G893" s="3" t="s">
        <v>0</v>
      </c>
      <c r="H893" t="e">
        <v>#N/A</v>
      </c>
      <c r="I893" t="e">
        <v>#N/A</v>
      </c>
      <c r="J893" t="e">
        <v>#N/A</v>
      </c>
      <c r="K893">
        <v>0.311926606</v>
      </c>
      <c r="L893">
        <v>0.33734939800000002</v>
      </c>
      <c r="M893">
        <v>4.6104928000000003E-2</v>
      </c>
      <c r="N893" t="e">
        <v>#N/A</v>
      </c>
      <c r="O893" t="e">
        <v>#N/A</v>
      </c>
    </row>
    <row r="894" spans="1:15" x14ac:dyDescent="0.25">
      <c r="A894" t="s">
        <v>8</v>
      </c>
      <c r="B894" t="s">
        <v>24</v>
      </c>
      <c r="C894" s="3" t="str">
        <f>IF($B894="GW1",VLOOKUP($A894,Matches!$A:$AC,2,FALSE),IF($B894="GW2",VLOOKUP($A894,Matches!$A:$AC,9,FALSE),IF($B894="GW3",VLOOKUP($A894,Matches!$A:$AC,16,FALSE))))</f>
        <v>Everton</v>
      </c>
      <c r="D894" s="6">
        <v>0.39953653761636498</v>
      </c>
      <c r="E894" s="6">
        <v>0.32579657262005607</v>
      </c>
      <c r="F894" s="6">
        <v>7.3739964996308915E-2</v>
      </c>
      <c r="G894" s="3" t="s">
        <v>0</v>
      </c>
      <c r="H894" t="e">
        <v>#N/A</v>
      </c>
      <c r="I894" t="e">
        <v>#N/A</v>
      </c>
      <c r="J894" t="e">
        <v>#N/A</v>
      </c>
      <c r="K894">
        <v>0.311926606</v>
      </c>
      <c r="L894">
        <v>0.33734939800000002</v>
      </c>
      <c r="M894">
        <v>4.6104928000000003E-2</v>
      </c>
      <c r="N894" t="e">
        <v>#N/A</v>
      </c>
      <c r="O894" t="e">
        <v>#N/A</v>
      </c>
    </row>
    <row r="895" spans="1:15" x14ac:dyDescent="0.25">
      <c r="A895" t="s">
        <v>9</v>
      </c>
      <c r="B895" t="s">
        <v>24</v>
      </c>
      <c r="C895" s="3" t="str">
        <f>IF($B895="GW1",VLOOKUP($A895,Matches!$A:$AC,2,FALSE),IF($B895="GW2",VLOOKUP($A895,Matches!$A:$AC,9,FALSE),IF($B895="GW3",VLOOKUP($A895,Matches!$A:$AC,16,FALSE))))</f>
        <v>West Ham</v>
      </c>
      <c r="D895" s="6">
        <v>0.55797344046423381</v>
      </c>
      <c r="E895" s="6">
        <v>0.20569359881520488</v>
      </c>
      <c r="F895" s="6">
        <v>0.35227984164902892</v>
      </c>
      <c r="G895" s="3" t="s">
        <v>0</v>
      </c>
      <c r="H895" t="e">
        <v>#N/A</v>
      </c>
      <c r="I895" t="e">
        <v>#N/A</v>
      </c>
      <c r="J895">
        <v>0.15873015900000001</v>
      </c>
      <c r="K895">
        <v>0.375</v>
      </c>
      <c r="L895">
        <v>0.276595745</v>
      </c>
      <c r="M895">
        <v>3.3526628000000003E-2</v>
      </c>
      <c r="N895">
        <v>0.38095238100000001</v>
      </c>
      <c r="O895">
        <v>0</v>
      </c>
    </row>
    <row r="896" spans="1:15" x14ac:dyDescent="0.25">
      <c r="A896" t="s">
        <v>9</v>
      </c>
      <c r="B896" t="s">
        <v>24</v>
      </c>
      <c r="C896" s="3" t="str">
        <f>IF($B896="GW1",VLOOKUP($A896,Matches!$A:$AC,2,FALSE),IF($B896="GW2",VLOOKUP($A896,Matches!$A:$AC,9,FALSE),IF($B896="GW3",VLOOKUP($A896,Matches!$A:$AC,16,FALSE))))</f>
        <v>West Ham</v>
      </c>
      <c r="D896" s="6">
        <v>0.55797344046423381</v>
      </c>
      <c r="E896" s="6">
        <v>0.20569359881520488</v>
      </c>
      <c r="F896" s="6">
        <v>0.35227984164902892</v>
      </c>
      <c r="G896" s="3" t="s">
        <v>0</v>
      </c>
      <c r="H896" t="e">
        <v>#N/A</v>
      </c>
      <c r="I896" t="e">
        <v>#N/A</v>
      </c>
      <c r="J896" t="e">
        <v>#N/A</v>
      </c>
      <c r="K896">
        <v>0.375</v>
      </c>
      <c r="L896">
        <v>0.276595745</v>
      </c>
      <c r="M896">
        <v>3.3526628000000003E-2</v>
      </c>
      <c r="N896" t="e">
        <v>#N/A</v>
      </c>
      <c r="O896" t="e">
        <v>#N/A</v>
      </c>
    </row>
    <row r="897" spans="1:15" x14ac:dyDescent="0.25">
      <c r="A897" t="s">
        <v>9</v>
      </c>
      <c r="B897" t="s">
        <v>24</v>
      </c>
      <c r="C897" s="3" t="str">
        <f>IF($B897="GW1",VLOOKUP($A897,Matches!$A:$AC,2,FALSE),IF($B897="GW2",VLOOKUP($A897,Matches!$A:$AC,9,FALSE),IF($B897="GW3",VLOOKUP($A897,Matches!$A:$AC,16,FALSE))))</f>
        <v>West Ham</v>
      </c>
      <c r="D897" s="6">
        <v>0.55797344046423381</v>
      </c>
      <c r="E897" s="6">
        <v>0.20569359881520488</v>
      </c>
      <c r="F897" s="6">
        <v>0.35227984164902892</v>
      </c>
      <c r="G897" s="3" t="s">
        <v>0</v>
      </c>
      <c r="H897" t="e">
        <v>#N/A</v>
      </c>
      <c r="I897" t="e">
        <v>#N/A</v>
      </c>
      <c r="J897" t="e">
        <v>#N/A</v>
      </c>
      <c r="K897">
        <v>0.375</v>
      </c>
      <c r="L897">
        <v>0.276595745</v>
      </c>
      <c r="M897">
        <v>3.3526628000000003E-2</v>
      </c>
      <c r="N897" t="e">
        <v>#N/A</v>
      </c>
      <c r="O897" t="e">
        <v>#N/A</v>
      </c>
    </row>
    <row r="898" spans="1:15" x14ac:dyDescent="0.25">
      <c r="A898" t="s">
        <v>9</v>
      </c>
      <c r="B898" t="s">
        <v>24</v>
      </c>
      <c r="C898" s="3" t="str">
        <f>IF($B898="GW1",VLOOKUP($A898,Matches!$A:$AC,2,FALSE),IF($B898="GW2",VLOOKUP($A898,Matches!$A:$AC,9,FALSE),IF($B898="GW3",VLOOKUP($A898,Matches!$A:$AC,16,FALSE))))</f>
        <v>West Ham</v>
      </c>
      <c r="D898" s="6">
        <v>0.55797344046423381</v>
      </c>
      <c r="E898" s="6">
        <v>0.20569359881520488</v>
      </c>
      <c r="F898" s="6">
        <v>0.35227984164902892</v>
      </c>
      <c r="G898" s="3" t="s">
        <v>0</v>
      </c>
      <c r="H898" t="e">
        <v>#N/A</v>
      </c>
      <c r="I898" t="e">
        <v>#N/A</v>
      </c>
      <c r="J898" t="e">
        <v>#N/A</v>
      </c>
      <c r="K898">
        <v>0.375</v>
      </c>
      <c r="L898">
        <v>0.276595745</v>
      </c>
      <c r="M898">
        <v>3.3526628000000003E-2</v>
      </c>
      <c r="N898" t="e">
        <v>#N/A</v>
      </c>
      <c r="O898" t="e">
        <v>#N/A</v>
      </c>
    </row>
    <row r="899" spans="1:15" x14ac:dyDescent="0.25">
      <c r="A899" t="s">
        <v>9</v>
      </c>
      <c r="B899" t="s">
        <v>24</v>
      </c>
      <c r="C899" s="3" t="str">
        <f>IF($B899="GW1",VLOOKUP($A899,Matches!$A:$AC,2,FALSE),IF($B899="GW2",VLOOKUP($A899,Matches!$A:$AC,9,FALSE),IF($B899="GW3",VLOOKUP($A899,Matches!$A:$AC,16,FALSE))))</f>
        <v>West Ham</v>
      </c>
      <c r="D899" s="6">
        <v>0.55797344046423381</v>
      </c>
      <c r="E899" s="6">
        <v>0.20569359881520488</v>
      </c>
      <c r="F899" s="6">
        <v>0.35227984164902892</v>
      </c>
      <c r="G899" s="3" t="s">
        <v>0</v>
      </c>
      <c r="H899">
        <v>0.105820106</v>
      </c>
      <c r="I899">
        <v>8.6580087E-2</v>
      </c>
      <c r="J899">
        <v>0.29304029300000001</v>
      </c>
      <c r="K899">
        <v>0.375</v>
      </c>
      <c r="L899">
        <v>0.276595745</v>
      </c>
      <c r="M899">
        <v>3.3526628000000003E-2</v>
      </c>
      <c r="N899" t="e">
        <v>#N/A</v>
      </c>
      <c r="O899" t="e">
        <v>#N/A</v>
      </c>
    </row>
    <row r="900" spans="1:15" x14ac:dyDescent="0.25">
      <c r="A900" t="s">
        <v>9</v>
      </c>
      <c r="B900" t="s">
        <v>24</v>
      </c>
      <c r="C900" s="3" t="str">
        <f>IF($B900="GW1",VLOOKUP($A900,Matches!$A:$AC,2,FALSE),IF($B900="GW2",VLOOKUP($A900,Matches!$A:$AC,9,FALSE),IF($B900="GW3",VLOOKUP($A900,Matches!$A:$AC,16,FALSE))))</f>
        <v>West Ham</v>
      </c>
      <c r="D900" s="6">
        <v>0.55797344046423381</v>
      </c>
      <c r="E900" s="6">
        <v>0.20569359881520488</v>
      </c>
      <c r="F900" s="6">
        <v>0.35227984164902892</v>
      </c>
      <c r="G900" s="3" t="s">
        <v>0</v>
      </c>
      <c r="H900">
        <v>0.15873015900000001</v>
      </c>
      <c r="I900">
        <v>0.13605442200000001</v>
      </c>
      <c r="J900">
        <v>0.29304029300000001</v>
      </c>
      <c r="K900">
        <v>0.375</v>
      </c>
      <c r="L900">
        <v>0.276595745</v>
      </c>
      <c r="M900">
        <v>3.3526628000000003E-2</v>
      </c>
      <c r="N900" t="e">
        <v>#N/A</v>
      </c>
      <c r="O900" t="e">
        <v>#N/A</v>
      </c>
    </row>
    <row r="901" spans="1:15" x14ac:dyDescent="0.25">
      <c r="A901" t="s">
        <v>9</v>
      </c>
      <c r="B901" t="s">
        <v>24</v>
      </c>
      <c r="C901" s="3" t="str">
        <f>IF($B901="GW1",VLOOKUP($A901,Matches!$A:$AC,2,FALSE),IF($B901="GW2",VLOOKUP($A901,Matches!$A:$AC,9,FALSE),IF($B901="GW3",VLOOKUP($A901,Matches!$A:$AC,16,FALSE))))</f>
        <v>West Ham</v>
      </c>
      <c r="D901" s="6">
        <v>0.55797344046423381</v>
      </c>
      <c r="E901" s="6">
        <v>0.20569359881520488</v>
      </c>
      <c r="F901" s="6">
        <v>0.35227984164902892</v>
      </c>
      <c r="G901" s="3" t="s">
        <v>0</v>
      </c>
      <c r="H901">
        <v>7.9365079000000005E-2</v>
      </c>
      <c r="I901">
        <v>8.6580087E-2</v>
      </c>
      <c r="J901">
        <v>0.253968254</v>
      </c>
      <c r="K901">
        <v>0.375</v>
      </c>
      <c r="L901">
        <v>0.276595745</v>
      </c>
      <c r="M901">
        <v>3.3526628000000003E-2</v>
      </c>
      <c r="N901" t="e">
        <v>#N/A</v>
      </c>
      <c r="O901" t="e">
        <v>#N/A</v>
      </c>
    </row>
    <row r="902" spans="1:15" x14ac:dyDescent="0.25">
      <c r="A902" t="s">
        <v>9</v>
      </c>
      <c r="B902" t="s">
        <v>24</v>
      </c>
      <c r="C902" s="3" t="str">
        <f>IF($B902="GW1",VLOOKUP($A902,Matches!$A:$AC,2,FALSE),IF($B902="GW2",VLOOKUP($A902,Matches!$A:$AC,9,FALSE),IF($B902="GW3",VLOOKUP($A902,Matches!$A:$AC,16,FALSE))))</f>
        <v>West Ham</v>
      </c>
      <c r="D902" s="6">
        <v>0.55797344046423381</v>
      </c>
      <c r="E902" s="6">
        <v>0.20569359881520488</v>
      </c>
      <c r="F902" s="6">
        <v>0.35227984164902892</v>
      </c>
      <c r="G902" s="3" t="s">
        <v>0</v>
      </c>
      <c r="H902" t="e">
        <v>#N/A</v>
      </c>
      <c r="I902" t="e">
        <v>#N/A</v>
      </c>
      <c r="J902" t="e">
        <v>#N/A</v>
      </c>
      <c r="K902">
        <v>0.375</v>
      </c>
      <c r="L902">
        <v>0.276595745</v>
      </c>
      <c r="M902">
        <v>3.3526628000000003E-2</v>
      </c>
      <c r="N902" t="e">
        <v>#N/A</v>
      </c>
      <c r="O902" t="e">
        <v>#N/A</v>
      </c>
    </row>
    <row r="903" spans="1:15" x14ac:dyDescent="0.25">
      <c r="A903" t="s">
        <v>9</v>
      </c>
      <c r="B903" t="s">
        <v>24</v>
      </c>
      <c r="C903" s="3" t="str">
        <f>IF($B903="GW1",VLOOKUP($A903,Matches!$A:$AC,2,FALSE),IF($B903="GW2",VLOOKUP($A903,Matches!$A:$AC,9,FALSE),IF($B903="GW3",VLOOKUP($A903,Matches!$A:$AC,16,FALSE))))</f>
        <v>West Ham</v>
      </c>
      <c r="D903" s="6">
        <v>0.55797344046423381</v>
      </c>
      <c r="E903" s="6">
        <v>0.20569359881520488</v>
      </c>
      <c r="F903" s="6">
        <v>0.35227984164902892</v>
      </c>
      <c r="G903" s="3" t="s">
        <v>0</v>
      </c>
      <c r="H903">
        <v>9.5238094999999995E-2</v>
      </c>
      <c r="I903">
        <v>0.13605442200000001</v>
      </c>
      <c r="J903">
        <v>0.29304029300000001</v>
      </c>
      <c r="K903">
        <v>0.375</v>
      </c>
      <c r="L903">
        <v>0.276595745</v>
      </c>
      <c r="M903">
        <v>3.3526628000000003E-2</v>
      </c>
      <c r="N903" t="e">
        <v>#N/A</v>
      </c>
      <c r="O903" t="e">
        <v>#N/A</v>
      </c>
    </row>
    <row r="904" spans="1:15" x14ac:dyDescent="0.25">
      <c r="A904" t="s">
        <v>9</v>
      </c>
      <c r="B904" t="s">
        <v>24</v>
      </c>
      <c r="C904" s="3" t="str">
        <f>IF($B904="GW1",VLOOKUP($A904,Matches!$A:$AC,2,FALSE),IF($B904="GW2",VLOOKUP($A904,Matches!$A:$AC,9,FALSE),IF($B904="GW3",VLOOKUP($A904,Matches!$A:$AC,16,FALSE))))</f>
        <v>West Ham</v>
      </c>
      <c r="D904" s="6">
        <v>0.55797344046423381</v>
      </c>
      <c r="E904" s="6">
        <v>0.20569359881520488</v>
      </c>
      <c r="F904" s="6">
        <v>0.35227984164902892</v>
      </c>
      <c r="G904" s="3" t="s">
        <v>0</v>
      </c>
      <c r="H904">
        <v>9.5238094999999995E-2</v>
      </c>
      <c r="I904">
        <v>6.3492063000000001E-2</v>
      </c>
      <c r="J904">
        <v>0.19047618999999999</v>
      </c>
      <c r="K904">
        <v>0.375</v>
      </c>
      <c r="L904">
        <v>0.276595745</v>
      </c>
      <c r="M904">
        <v>3.3526628000000003E-2</v>
      </c>
      <c r="N904" t="e">
        <v>#N/A</v>
      </c>
      <c r="O904" t="e">
        <v>#N/A</v>
      </c>
    </row>
    <row r="905" spans="1:15" x14ac:dyDescent="0.25">
      <c r="A905" t="s">
        <v>9</v>
      </c>
      <c r="B905" t="s">
        <v>24</v>
      </c>
      <c r="C905" s="3" t="str">
        <f>IF($B905="GW1",VLOOKUP($A905,Matches!$A:$AC,2,FALSE),IF($B905="GW2",VLOOKUP($A905,Matches!$A:$AC,9,FALSE),IF($B905="GW3",VLOOKUP($A905,Matches!$A:$AC,16,FALSE))))</f>
        <v>West Ham</v>
      </c>
      <c r="D905" s="6">
        <v>0.55797344046423381</v>
      </c>
      <c r="E905" s="6">
        <v>0.20569359881520488</v>
      </c>
      <c r="F905" s="6">
        <v>0.35227984164902892</v>
      </c>
      <c r="G905" s="3" t="s">
        <v>0</v>
      </c>
      <c r="H905">
        <v>9.5238094999999995E-2</v>
      </c>
      <c r="I905">
        <v>6.3492063000000001E-2</v>
      </c>
      <c r="J905">
        <v>0.307219662</v>
      </c>
      <c r="K905">
        <v>0.375</v>
      </c>
      <c r="L905">
        <v>0.276595745</v>
      </c>
      <c r="M905">
        <v>3.3526628000000003E-2</v>
      </c>
      <c r="N905" t="e">
        <v>#N/A</v>
      </c>
      <c r="O905" t="e">
        <v>#N/A</v>
      </c>
    </row>
    <row r="906" spans="1:15" x14ac:dyDescent="0.25">
      <c r="A906" t="s">
        <v>9</v>
      </c>
      <c r="B906" t="s">
        <v>24</v>
      </c>
      <c r="C906" s="3" t="str">
        <f>IF($B906="GW1",VLOOKUP($A906,Matches!$A:$AC,2,FALSE),IF($B906="GW2",VLOOKUP($A906,Matches!$A:$AC,9,FALSE),IF($B906="GW3",VLOOKUP($A906,Matches!$A:$AC,16,FALSE))))</f>
        <v>West Ham</v>
      </c>
      <c r="D906" s="6">
        <v>0.55797344046423381</v>
      </c>
      <c r="E906" s="6">
        <v>0.20569359881520488</v>
      </c>
      <c r="F906" s="6">
        <v>0.35227984164902892</v>
      </c>
      <c r="G906" s="3" t="s">
        <v>0</v>
      </c>
      <c r="H906" t="e">
        <v>#N/A</v>
      </c>
      <c r="I906" t="e">
        <v>#N/A</v>
      </c>
      <c r="J906" t="e">
        <v>#N/A</v>
      </c>
      <c r="K906">
        <v>0.375</v>
      </c>
      <c r="L906">
        <v>0.276595745</v>
      </c>
      <c r="M906">
        <v>3.3526628000000003E-2</v>
      </c>
      <c r="N906" t="e">
        <v>#N/A</v>
      </c>
      <c r="O906" t="e">
        <v>#N/A</v>
      </c>
    </row>
    <row r="907" spans="1:15" x14ac:dyDescent="0.25">
      <c r="A907" t="s">
        <v>9</v>
      </c>
      <c r="B907" t="s">
        <v>24</v>
      </c>
      <c r="C907" s="3" t="str">
        <f>IF($B907="GW1",VLOOKUP($A907,Matches!$A:$AC,2,FALSE),IF($B907="GW2",VLOOKUP($A907,Matches!$A:$AC,9,FALSE),IF($B907="GW3",VLOOKUP($A907,Matches!$A:$AC,16,FALSE))))</f>
        <v>West Ham</v>
      </c>
      <c r="D907" s="6">
        <v>0.55797344046423381</v>
      </c>
      <c r="E907" s="6">
        <v>0.20569359881520488</v>
      </c>
      <c r="F907" s="6">
        <v>0.35227984164902892</v>
      </c>
      <c r="G907" s="3" t="s">
        <v>0</v>
      </c>
      <c r="H907">
        <v>9.5238094999999995E-2</v>
      </c>
      <c r="I907">
        <v>4.5351474000000003E-2</v>
      </c>
      <c r="J907">
        <v>0.173160173</v>
      </c>
      <c r="K907">
        <v>0.375</v>
      </c>
      <c r="L907">
        <v>0.276595745</v>
      </c>
      <c r="M907">
        <v>3.3526628000000003E-2</v>
      </c>
      <c r="N907" t="e">
        <v>#N/A</v>
      </c>
      <c r="O907" t="e">
        <v>#N/A</v>
      </c>
    </row>
    <row r="908" spans="1:15" x14ac:dyDescent="0.25">
      <c r="A908" t="s">
        <v>9</v>
      </c>
      <c r="B908" t="s">
        <v>24</v>
      </c>
      <c r="C908" s="3" t="str">
        <f>IF($B908="GW1",VLOOKUP($A908,Matches!$A:$AC,2,FALSE),IF($B908="GW2",VLOOKUP($A908,Matches!$A:$AC,9,FALSE),IF($B908="GW3",VLOOKUP($A908,Matches!$A:$AC,16,FALSE))))</f>
        <v>West Ham</v>
      </c>
      <c r="D908" s="6">
        <v>0.55797344046423381</v>
      </c>
      <c r="E908" s="6">
        <v>0.20569359881520488</v>
      </c>
      <c r="F908" s="6">
        <v>0.35227984164902892</v>
      </c>
      <c r="G908" s="3" t="s">
        <v>0</v>
      </c>
      <c r="H908">
        <v>0.105820106</v>
      </c>
      <c r="I908">
        <v>0.13605442200000001</v>
      </c>
      <c r="J908">
        <v>0.253968254</v>
      </c>
      <c r="K908">
        <v>0.375</v>
      </c>
      <c r="L908">
        <v>0.276595745</v>
      </c>
      <c r="M908">
        <v>3.3526628000000003E-2</v>
      </c>
      <c r="N908" t="e">
        <v>#N/A</v>
      </c>
      <c r="O908" t="e">
        <v>#N/A</v>
      </c>
    </row>
    <row r="909" spans="1:15" x14ac:dyDescent="0.25">
      <c r="A909" t="s">
        <v>9</v>
      </c>
      <c r="B909" t="s">
        <v>24</v>
      </c>
      <c r="C909" s="3" t="str">
        <f>IF($B909="GW1",VLOOKUP($A909,Matches!$A:$AC,2,FALSE),IF($B909="GW2",VLOOKUP($A909,Matches!$A:$AC,9,FALSE),IF($B909="GW3",VLOOKUP($A909,Matches!$A:$AC,16,FALSE))))</f>
        <v>West Ham</v>
      </c>
      <c r="D909" s="6">
        <v>0.55797344046423381</v>
      </c>
      <c r="E909" s="6">
        <v>0.20569359881520488</v>
      </c>
      <c r="F909" s="6">
        <v>0.35227984164902892</v>
      </c>
      <c r="G909" s="3" t="s">
        <v>0</v>
      </c>
      <c r="H909" t="e">
        <v>#N/A</v>
      </c>
      <c r="I909" t="e">
        <v>#N/A</v>
      </c>
      <c r="J909" t="e">
        <v>#N/A</v>
      </c>
      <c r="K909">
        <v>0.375</v>
      </c>
      <c r="L909">
        <v>0.276595745</v>
      </c>
      <c r="M909">
        <v>3.3526628000000003E-2</v>
      </c>
      <c r="N909" t="e">
        <v>#N/A</v>
      </c>
      <c r="O909" t="e">
        <v>#N/A</v>
      </c>
    </row>
    <row r="910" spans="1:15" x14ac:dyDescent="0.25">
      <c r="A910" t="s">
        <v>9</v>
      </c>
      <c r="B910" t="s">
        <v>24</v>
      </c>
      <c r="C910" s="3" t="str">
        <f>IF($B910="GW1",VLOOKUP($A910,Matches!$A:$AC,2,FALSE),IF($B910="GW2",VLOOKUP($A910,Matches!$A:$AC,9,FALSE),IF($B910="GW3",VLOOKUP($A910,Matches!$A:$AC,16,FALSE))))</f>
        <v>West Ham</v>
      </c>
      <c r="D910" s="6">
        <v>0.55797344046423381</v>
      </c>
      <c r="E910" s="6">
        <v>0.20569359881520488</v>
      </c>
      <c r="F910" s="6">
        <v>0.35227984164902892</v>
      </c>
      <c r="G910" s="3" t="s">
        <v>0</v>
      </c>
      <c r="H910">
        <v>0.453514739</v>
      </c>
      <c r="I910">
        <v>0.253968254</v>
      </c>
      <c r="J910">
        <v>0.21164021199999999</v>
      </c>
      <c r="K910">
        <v>0.375</v>
      </c>
      <c r="L910">
        <v>0.276595745</v>
      </c>
      <c r="M910">
        <v>3.3526628000000003E-2</v>
      </c>
      <c r="N910" t="e">
        <v>#N/A</v>
      </c>
      <c r="O910" t="e">
        <v>#N/A</v>
      </c>
    </row>
    <row r="911" spans="1:15" x14ac:dyDescent="0.25">
      <c r="A911" t="s">
        <v>9</v>
      </c>
      <c r="B911" t="s">
        <v>24</v>
      </c>
      <c r="C911" s="3" t="str">
        <f>IF($B911="GW1",VLOOKUP($A911,Matches!$A:$AC,2,FALSE),IF($B911="GW2",VLOOKUP($A911,Matches!$A:$AC,9,FALSE),IF($B911="GW3",VLOOKUP($A911,Matches!$A:$AC,16,FALSE))))</f>
        <v>West Ham</v>
      </c>
      <c r="D911" s="6">
        <v>0.55797344046423381</v>
      </c>
      <c r="E911" s="6">
        <v>0.20569359881520488</v>
      </c>
      <c r="F911" s="6">
        <v>0.35227984164902892</v>
      </c>
      <c r="G911" s="3" t="s">
        <v>0</v>
      </c>
      <c r="H911">
        <v>0.31746031699999999</v>
      </c>
      <c r="I911">
        <v>0.21994941200000001</v>
      </c>
      <c r="J911">
        <v>0.29304029300000001</v>
      </c>
      <c r="K911">
        <v>0.375</v>
      </c>
      <c r="L911">
        <v>0.276595745</v>
      </c>
      <c r="M911">
        <v>3.3526628000000003E-2</v>
      </c>
      <c r="N911" t="e">
        <v>#N/A</v>
      </c>
      <c r="O911" t="e">
        <v>#N/A</v>
      </c>
    </row>
    <row r="912" spans="1:15" x14ac:dyDescent="0.25">
      <c r="A912" t="s">
        <v>9</v>
      </c>
      <c r="B912" t="s">
        <v>24</v>
      </c>
      <c r="C912" s="3" t="str">
        <f>IF($B912="GW1",VLOOKUP($A912,Matches!$A:$AC,2,FALSE),IF($B912="GW2",VLOOKUP($A912,Matches!$A:$AC,9,FALSE),IF($B912="GW3",VLOOKUP($A912,Matches!$A:$AC,16,FALSE))))</f>
        <v>West Ham</v>
      </c>
      <c r="D912" s="6">
        <v>0.55797344046423381</v>
      </c>
      <c r="E912" s="6">
        <v>0.20569359881520488</v>
      </c>
      <c r="F912" s="6">
        <v>0.35227984164902892</v>
      </c>
      <c r="G912" s="3" t="s">
        <v>0</v>
      </c>
      <c r="H912">
        <v>0.20050125299999999</v>
      </c>
      <c r="I912">
        <v>0.19047618999999999</v>
      </c>
      <c r="J912">
        <v>0.23809523799999999</v>
      </c>
      <c r="K912">
        <v>0.375</v>
      </c>
      <c r="L912">
        <v>0.276595745</v>
      </c>
      <c r="M912">
        <v>3.3526628000000003E-2</v>
      </c>
      <c r="N912" t="e">
        <v>#N/A</v>
      </c>
      <c r="O912" t="e">
        <v>#N/A</v>
      </c>
    </row>
    <row r="913" spans="1:15" x14ac:dyDescent="0.25">
      <c r="A913" t="s">
        <v>9</v>
      </c>
      <c r="B913" t="s">
        <v>24</v>
      </c>
      <c r="C913" s="3" t="str">
        <f>IF($B913="GW1",VLOOKUP($A913,Matches!$A:$AC,2,FALSE),IF($B913="GW2",VLOOKUP($A913,Matches!$A:$AC,9,FALSE),IF($B913="GW3",VLOOKUP($A913,Matches!$A:$AC,16,FALSE))))</f>
        <v>West Ham</v>
      </c>
      <c r="D913" s="6">
        <v>0.55797344046423381</v>
      </c>
      <c r="E913" s="6">
        <v>0.20569359881520488</v>
      </c>
      <c r="F913" s="6">
        <v>0.35227984164902892</v>
      </c>
      <c r="G913" s="3" t="s">
        <v>0</v>
      </c>
      <c r="H913" t="e">
        <v>#N/A</v>
      </c>
      <c r="I913" t="e">
        <v>#N/A</v>
      </c>
      <c r="J913" t="e">
        <v>#N/A</v>
      </c>
      <c r="K913">
        <v>0.375</v>
      </c>
      <c r="L913">
        <v>0.276595745</v>
      </c>
      <c r="M913">
        <v>3.3526628000000003E-2</v>
      </c>
      <c r="N913" t="e">
        <v>#N/A</v>
      </c>
      <c r="O913" t="e">
        <v>#N/A</v>
      </c>
    </row>
    <row r="914" spans="1:15" x14ac:dyDescent="0.25">
      <c r="A914" t="s">
        <v>9</v>
      </c>
      <c r="B914" t="s">
        <v>24</v>
      </c>
      <c r="C914" s="3" t="str">
        <f>IF($B914="GW1",VLOOKUP($A914,Matches!$A:$AC,2,FALSE),IF($B914="GW2",VLOOKUP($A914,Matches!$A:$AC,9,FALSE),IF($B914="GW3",VLOOKUP($A914,Matches!$A:$AC,16,FALSE))))</f>
        <v>West Ham</v>
      </c>
      <c r="D914" s="6">
        <v>0.55797344046423381</v>
      </c>
      <c r="E914" s="6">
        <v>0.20569359881520488</v>
      </c>
      <c r="F914" s="6">
        <v>0.35227984164902892</v>
      </c>
      <c r="G914" s="3" t="s">
        <v>0</v>
      </c>
      <c r="H914">
        <v>0.29304029300000001</v>
      </c>
      <c r="I914">
        <v>0.173160173</v>
      </c>
      <c r="J914">
        <v>0.19047618999999999</v>
      </c>
      <c r="K914">
        <v>0.375</v>
      </c>
      <c r="L914">
        <v>0.276595745</v>
      </c>
      <c r="M914">
        <v>3.3526628000000003E-2</v>
      </c>
      <c r="N914" t="e">
        <v>#N/A</v>
      </c>
      <c r="O914" t="e">
        <v>#N/A</v>
      </c>
    </row>
    <row r="915" spans="1:15" x14ac:dyDescent="0.25">
      <c r="A915" t="s">
        <v>9</v>
      </c>
      <c r="B915" t="s">
        <v>24</v>
      </c>
      <c r="C915" s="3" t="str">
        <f>IF($B915="GW1",VLOOKUP($A915,Matches!$A:$AC,2,FALSE),IF($B915="GW2",VLOOKUP($A915,Matches!$A:$AC,9,FALSE),IF($B915="GW3",VLOOKUP($A915,Matches!$A:$AC,16,FALSE))))</f>
        <v>West Ham</v>
      </c>
      <c r="D915" s="6">
        <v>0.55797344046423381</v>
      </c>
      <c r="E915" s="6">
        <v>0.20569359881520488</v>
      </c>
      <c r="F915" s="6">
        <v>0.35227984164902892</v>
      </c>
      <c r="G915" s="3" t="s">
        <v>0</v>
      </c>
      <c r="H915">
        <v>0.39682539700000002</v>
      </c>
      <c r="I915">
        <v>0.19047618999999999</v>
      </c>
      <c r="J915">
        <v>0.15873015900000001</v>
      </c>
      <c r="K915">
        <v>0.375</v>
      </c>
      <c r="L915">
        <v>0.276595745</v>
      </c>
      <c r="M915">
        <v>3.3526628000000003E-2</v>
      </c>
      <c r="N915" t="e">
        <v>#N/A</v>
      </c>
      <c r="O915" t="e">
        <v>#N/A</v>
      </c>
    </row>
    <row r="916" spans="1:15" x14ac:dyDescent="0.25">
      <c r="A916" t="s">
        <v>9</v>
      </c>
      <c r="B916" t="s">
        <v>24</v>
      </c>
      <c r="C916" s="3" t="str">
        <f>IF($B916="GW1",VLOOKUP($A916,Matches!$A:$AC,2,FALSE),IF($B916="GW2",VLOOKUP($A916,Matches!$A:$AC,9,FALSE),IF($B916="GW3",VLOOKUP($A916,Matches!$A:$AC,16,FALSE))))</f>
        <v>West Ham</v>
      </c>
      <c r="D916" s="6">
        <v>0.55797344046423381</v>
      </c>
      <c r="E916" s="6">
        <v>0.20569359881520488</v>
      </c>
      <c r="F916" s="6">
        <v>0.35227984164902892</v>
      </c>
      <c r="G916" s="3" t="s">
        <v>0</v>
      </c>
      <c r="H916">
        <v>0.105820106</v>
      </c>
      <c r="I916">
        <v>9.5238094999999995E-2</v>
      </c>
      <c r="J916">
        <v>0.29304029300000001</v>
      </c>
      <c r="K916">
        <v>0.375</v>
      </c>
      <c r="L916">
        <v>0.276595745</v>
      </c>
      <c r="M916">
        <v>3.3526628000000003E-2</v>
      </c>
      <c r="N916" t="e">
        <v>#N/A</v>
      </c>
      <c r="O916" t="e">
        <v>#N/A</v>
      </c>
    </row>
    <row r="917" spans="1:15" x14ac:dyDescent="0.25">
      <c r="A917" t="s">
        <v>9</v>
      </c>
      <c r="B917" t="s">
        <v>24</v>
      </c>
      <c r="C917" s="3" t="str">
        <f>IF($B917="GW1",VLOOKUP($A917,Matches!$A:$AC,2,FALSE),IF($B917="GW2",VLOOKUP($A917,Matches!$A:$AC,9,FALSE),IF($B917="GW3",VLOOKUP($A917,Matches!$A:$AC,16,FALSE))))</f>
        <v>West Ham</v>
      </c>
      <c r="D917" s="6">
        <v>0.55797344046423381</v>
      </c>
      <c r="E917" s="6">
        <v>0.20569359881520488</v>
      </c>
      <c r="F917" s="6">
        <v>0.35227984164902892</v>
      </c>
      <c r="G917" s="3" t="s">
        <v>0</v>
      </c>
      <c r="H917">
        <v>0.15873015900000001</v>
      </c>
      <c r="I917">
        <v>0.14652014699999999</v>
      </c>
      <c r="J917">
        <v>0.21164021199999999</v>
      </c>
      <c r="K917">
        <v>0.375</v>
      </c>
      <c r="L917">
        <v>0.276595745</v>
      </c>
      <c r="M917">
        <v>3.3526628000000003E-2</v>
      </c>
      <c r="N917" t="e">
        <v>#N/A</v>
      </c>
      <c r="O917" t="e">
        <v>#N/A</v>
      </c>
    </row>
    <row r="918" spans="1:15" x14ac:dyDescent="0.25">
      <c r="A918" t="s">
        <v>9</v>
      </c>
      <c r="B918" t="s">
        <v>24</v>
      </c>
      <c r="C918" s="3" t="str">
        <f>IF($B918="GW1",VLOOKUP($A918,Matches!$A:$AC,2,FALSE),IF($B918="GW2",VLOOKUP($A918,Matches!$A:$AC,9,FALSE),IF($B918="GW3",VLOOKUP($A918,Matches!$A:$AC,16,FALSE))))</f>
        <v>West Ham</v>
      </c>
      <c r="D918" s="6">
        <v>0.55797344046423381</v>
      </c>
      <c r="E918" s="6">
        <v>0.20569359881520488</v>
      </c>
      <c r="F918" s="6">
        <v>0.35227984164902892</v>
      </c>
      <c r="G918" s="3" t="s">
        <v>0</v>
      </c>
      <c r="H918">
        <v>0.29304029300000001</v>
      </c>
      <c r="I918">
        <v>0.173160173</v>
      </c>
      <c r="J918">
        <v>0.19047618999999999</v>
      </c>
      <c r="K918">
        <v>0.375</v>
      </c>
      <c r="L918">
        <v>0.276595745</v>
      </c>
      <c r="M918">
        <v>3.3526628000000003E-2</v>
      </c>
      <c r="N918" t="e">
        <v>#N/A</v>
      </c>
      <c r="O918" t="e">
        <v>#N/A</v>
      </c>
    </row>
    <row r="919" spans="1:15" x14ac:dyDescent="0.25">
      <c r="A919" t="s">
        <v>9</v>
      </c>
      <c r="B919" t="s">
        <v>24</v>
      </c>
      <c r="C919" s="3" t="str">
        <f>IF($B919="GW1",VLOOKUP($A919,Matches!$A:$AC,2,FALSE),IF($B919="GW2",VLOOKUP($A919,Matches!$A:$AC,9,FALSE),IF($B919="GW3",VLOOKUP($A919,Matches!$A:$AC,16,FALSE))))</f>
        <v>West Ham</v>
      </c>
      <c r="D919" s="6">
        <v>0.55797344046423381</v>
      </c>
      <c r="E919" s="6">
        <v>0.20569359881520488</v>
      </c>
      <c r="F919" s="6">
        <v>0.35227984164902892</v>
      </c>
      <c r="G919" s="3" t="s">
        <v>0</v>
      </c>
      <c r="H919" t="e">
        <v>#N/A</v>
      </c>
      <c r="I919" t="e">
        <v>#N/A</v>
      </c>
      <c r="J919" t="e">
        <v>#N/A</v>
      </c>
      <c r="K919">
        <v>0.375</v>
      </c>
      <c r="L919">
        <v>0.276595745</v>
      </c>
      <c r="M919">
        <v>3.3526628000000003E-2</v>
      </c>
      <c r="N919" t="e">
        <v>#N/A</v>
      </c>
      <c r="O919" t="e">
        <v>#N/A</v>
      </c>
    </row>
    <row r="920" spans="1:15" x14ac:dyDescent="0.25">
      <c r="A920" t="s">
        <v>9</v>
      </c>
      <c r="B920" t="s">
        <v>24</v>
      </c>
      <c r="C920" s="3" t="str">
        <f>IF($B920="GW1",VLOOKUP($A920,Matches!$A:$AC,2,FALSE),IF($B920="GW2",VLOOKUP($A920,Matches!$A:$AC,9,FALSE),IF($B920="GW3",VLOOKUP($A920,Matches!$A:$AC,16,FALSE))))</f>
        <v>West Ham</v>
      </c>
      <c r="D920" s="6">
        <v>0.55797344046423381</v>
      </c>
      <c r="E920" s="6">
        <v>0.20569359881520488</v>
      </c>
      <c r="F920" s="6">
        <v>0.35227984164902892</v>
      </c>
      <c r="G920" s="3" t="s">
        <v>0</v>
      </c>
      <c r="H920" t="e">
        <v>#N/A</v>
      </c>
      <c r="I920" t="e">
        <v>#N/A</v>
      </c>
      <c r="J920" t="e">
        <v>#N/A</v>
      </c>
      <c r="K920">
        <v>0.375</v>
      </c>
      <c r="L920">
        <v>0.276595745</v>
      </c>
      <c r="M920">
        <v>3.3526628000000003E-2</v>
      </c>
      <c r="N920" t="e">
        <v>#N/A</v>
      </c>
      <c r="O920" t="e">
        <v>#N/A</v>
      </c>
    </row>
    <row r="921" spans="1:15" x14ac:dyDescent="0.25">
      <c r="A921" t="s">
        <v>9</v>
      </c>
      <c r="B921" t="s">
        <v>24</v>
      </c>
      <c r="C921" s="3" t="str">
        <f>IF($B921="GW1",VLOOKUP($A921,Matches!$A:$AC,2,FALSE),IF($B921="GW2",VLOOKUP($A921,Matches!$A:$AC,9,FALSE),IF($B921="GW3",VLOOKUP($A921,Matches!$A:$AC,16,FALSE))))</f>
        <v>West Ham</v>
      </c>
      <c r="D921" s="6">
        <v>0.55797344046423381</v>
      </c>
      <c r="E921" s="6">
        <v>0.20569359881520488</v>
      </c>
      <c r="F921" s="6">
        <v>0.35227984164902892</v>
      </c>
      <c r="G921" s="3" t="s">
        <v>0</v>
      </c>
      <c r="H921" t="e">
        <v>#N/A</v>
      </c>
      <c r="I921" t="e">
        <v>#N/A</v>
      </c>
      <c r="J921" t="e">
        <v>#N/A</v>
      </c>
      <c r="K921">
        <v>0.375</v>
      </c>
      <c r="L921">
        <v>0.276595745</v>
      </c>
      <c r="M921">
        <v>3.3526628000000003E-2</v>
      </c>
      <c r="N921" t="e">
        <v>#N/A</v>
      </c>
      <c r="O921" t="e">
        <v>#N/A</v>
      </c>
    </row>
    <row r="922" spans="1:15" x14ac:dyDescent="0.25">
      <c r="A922" t="s">
        <v>9</v>
      </c>
      <c r="B922" t="s">
        <v>24</v>
      </c>
      <c r="C922" s="3" t="str">
        <f>IF($B922="GW1",VLOOKUP($A922,Matches!$A:$AC,2,FALSE),IF($B922="GW2",VLOOKUP($A922,Matches!$A:$AC,9,FALSE),IF($B922="GW3",VLOOKUP($A922,Matches!$A:$AC,16,FALSE))))</f>
        <v>West Ham</v>
      </c>
      <c r="D922" s="6">
        <v>0.55797344046423381</v>
      </c>
      <c r="E922" s="6">
        <v>0.20569359881520488</v>
      </c>
      <c r="F922" s="6">
        <v>0.35227984164902892</v>
      </c>
      <c r="G922" s="3" t="s">
        <v>0</v>
      </c>
      <c r="H922" t="e">
        <v>#N/A</v>
      </c>
      <c r="I922" t="e">
        <v>#N/A</v>
      </c>
      <c r="J922" t="e">
        <v>#N/A</v>
      </c>
      <c r="K922">
        <v>0.375</v>
      </c>
      <c r="L922">
        <v>0.276595745</v>
      </c>
      <c r="M922">
        <v>3.3526628000000003E-2</v>
      </c>
      <c r="N922" t="e">
        <v>#N/A</v>
      </c>
      <c r="O922" t="e">
        <v>#N/A</v>
      </c>
    </row>
    <row r="923" spans="1:15" x14ac:dyDescent="0.25">
      <c r="A923" t="s">
        <v>9</v>
      </c>
      <c r="B923" t="s">
        <v>24</v>
      </c>
      <c r="C923" s="3" t="str">
        <f>IF($B923="GW1",VLOOKUP($A923,Matches!$A:$AC,2,FALSE),IF($B923="GW2",VLOOKUP($A923,Matches!$A:$AC,9,FALSE),IF($B923="GW3",VLOOKUP($A923,Matches!$A:$AC,16,FALSE))))</f>
        <v>West Ham</v>
      </c>
      <c r="D923" s="6">
        <v>0.55797344046423381</v>
      </c>
      <c r="E923" s="6">
        <v>0.20569359881520488</v>
      </c>
      <c r="F923" s="6">
        <v>0.35227984164902892</v>
      </c>
      <c r="G923" s="3" t="s">
        <v>0</v>
      </c>
      <c r="H923" t="e">
        <v>#N/A</v>
      </c>
      <c r="I923" t="e">
        <v>#N/A</v>
      </c>
      <c r="J923" t="e">
        <v>#N/A</v>
      </c>
      <c r="K923">
        <v>0.375</v>
      </c>
      <c r="L923">
        <v>0.276595745</v>
      </c>
      <c r="M923">
        <v>3.3526628000000003E-2</v>
      </c>
      <c r="N923" t="e">
        <v>#N/A</v>
      </c>
      <c r="O923" t="e">
        <v>#N/A</v>
      </c>
    </row>
    <row r="924" spans="1:15" x14ac:dyDescent="0.25">
      <c r="A924" t="s">
        <v>9</v>
      </c>
      <c r="B924" t="s">
        <v>24</v>
      </c>
      <c r="C924" s="3" t="str">
        <f>IF($B924="GW1",VLOOKUP($A924,Matches!$A:$AC,2,FALSE),IF($B924="GW2",VLOOKUP($A924,Matches!$A:$AC,9,FALSE),IF($B924="GW3",VLOOKUP($A924,Matches!$A:$AC,16,FALSE))))</f>
        <v>West Ham</v>
      </c>
      <c r="D924" s="6">
        <v>0.55797344046423381</v>
      </c>
      <c r="E924" s="6">
        <v>0.20569359881520488</v>
      </c>
      <c r="F924" s="6">
        <v>0.35227984164902892</v>
      </c>
      <c r="G924" s="3" t="s">
        <v>0</v>
      </c>
      <c r="H924">
        <v>0.39682539700000002</v>
      </c>
      <c r="I924">
        <v>0.19047618999999999</v>
      </c>
      <c r="J924">
        <v>0.19047618999999999</v>
      </c>
      <c r="K924">
        <v>0.375</v>
      </c>
      <c r="L924">
        <v>0.276595745</v>
      </c>
      <c r="M924">
        <v>3.3526628000000003E-2</v>
      </c>
      <c r="N924" t="e">
        <v>#N/A</v>
      </c>
      <c r="O924" t="e">
        <v>#N/A</v>
      </c>
    </row>
    <row r="925" spans="1:15" x14ac:dyDescent="0.25">
      <c r="A925" t="s">
        <v>9</v>
      </c>
      <c r="B925" t="s">
        <v>24</v>
      </c>
      <c r="C925" s="3" t="str">
        <f>IF($B925="GW1",VLOOKUP($A925,Matches!$A:$AC,2,FALSE),IF($B925="GW2",VLOOKUP($A925,Matches!$A:$AC,9,FALSE),IF($B925="GW3",VLOOKUP($A925,Matches!$A:$AC,16,FALSE))))</f>
        <v>West Ham</v>
      </c>
      <c r="D925" s="6">
        <v>0.55797344046423381</v>
      </c>
      <c r="E925" s="6">
        <v>0.20569359881520488</v>
      </c>
      <c r="F925" s="6">
        <v>0.35227984164902892</v>
      </c>
      <c r="G925" s="3" t="s">
        <v>0</v>
      </c>
      <c r="H925">
        <v>0.39682539700000002</v>
      </c>
      <c r="I925">
        <v>0.11904761899999999</v>
      </c>
      <c r="J925">
        <v>0.23809523799999999</v>
      </c>
      <c r="K925">
        <v>0.375</v>
      </c>
      <c r="L925">
        <v>0.276595745</v>
      </c>
      <c r="M925">
        <v>3.3526628000000003E-2</v>
      </c>
      <c r="N925" t="e">
        <v>#N/A</v>
      </c>
      <c r="O925" t="e">
        <v>#N/A</v>
      </c>
    </row>
    <row r="926" spans="1:15" x14ac:dyDescent="0.25">
      <c r="A926" t="s">
        <v>9</v>
      </c>
      <c r="B926" t="s">
        <v>24</v>
      </c>
      <c r="C926" s="3" t="str">
        <f>IF($B926="GW1",VLOOKUP($A926,Matches!$A:$AC,2,FALSE),IF($B926="GW2",VLOOKUP($A926,Matches!$A:$AC,9,FALSE),IF($B926="GW3",VLOOKUP($A926,Matches!$A:$AC,16,FALSE))))</f>
        <v>West Ham</v>
      </c>
      <c r="D926" s="6">
        <v>0.55797344046423381</v>
      </c>
      <c r="E926" s="6">
        <v>0.20569359881520488</v>
      </c>
      <c r="F926" s="6">
        <v>0.35227984164902892</v>
      </c>
      <c r="G926" s="3" t="s">
        <v>0</v>
      </c>
      <c r="H926">
        <v>0.39682539700000002</v>
      </c>
      <c r="I926">
        <v>0.13605442200000001</v>
      </c>
      <c r="J926">
        <v>0.253968254</v>
      </c>
      <c r="K926">
        <v>0.375</v>
      </c>
      <c r="L926">
        <v>0.276595745</v>
      </c>
      <c r="M926">
        <v>3.3526628000000003E-2</v>
      </c>
      <c r="N926" t="e">
        <v>#N/A</v>
      </c>
      <c r="O926" t="e">
        <v>#N/A</v>
      </c>
    </row>
    <row r="927" spans="1:15" x14ac:dyDescent="0.25">
      <c r="A927" t="s">
        <v>9</v>
      </c>
      <c r="B927" t="s">
        <v>24</v>
      </c>
      <c r="C927" s="3" t="str">
        <f>IF($B927="GW1",VLOOKUP($A927,Matches!$A:$AC,2,FALSE),IF($B927="GW2",VLOOKUP($A927,Matches!$A:$AC,9,FALSE),IF($B927="GW3",VLOOKUP($A927,Matches!$A:$AC,16,FALSE))))</f>
        <v>West Ham</v>
      </c>
      <c r="D927" s="6">
        <v>0.55797344046423381</v>
      </c>
      <c r="E927" s="6">
        <v>0.20569359881520488</v>
      </c>
      <c r="F927" s="6">
        <v>0.35227984164902892</v>
      </c>
      <c r="G927" s="3" t="s">
        <v>0</v>
      </c>
      <c r="H927" t="e">
        <v>#N/A</v>
      </c>
      <c r="I927" t="e">
        <v>#N/A</v>
      </c>
      <c r="J927" t="e">
        <v>#N/A</v>
      </c>
      <c r="K927">
        <v>0.375</v>
      </c>
      <c r="L927">
        <v>0.276595745</v>
      </c>
      <c r="M927">
        <v>3.3526628000000003E-2</v>
      </c>
      <c r="N927" t="e">
        <v>#N/A</v>
      </c>
      <c r="O927" t="e">
        <v>#N/A</v>
      </c>
    </row>
    <row r="928" spans="1:15" x14ac:dyDescent="0.25">
      <c r="A928" t="s">
        <v>10</v>
      </c>
      <c r="B928" t="s">
        <v>24</v>
      </c>
      <c r="C928" s="3" t="str">
        <f>IF($B928="GW1",VLOOKUP($A928,Matches!$A:$AC,2,FALSE),IF($B928="GW2",VLOOKUP($A928,Matches!$A:$AC,9,FALSE),IF($B928="GW3",VLOOKUP($A928,Matches!$A:$AC,16,FALSE))))</f>
        <v>Nott'm Forest</v>
      </c>
      <c r="D928" s="6">
        <v>0.40622334159320794</v>
      </c>
      <c r="E928" s="6">
        <v>0.31117749564351505</v>
      </c>
      <c r="F928" s="6">
        <v>9.5045845949692898E-2</v>
      </c>
      <c r="G928" s="3" t="s">
        <v>1</v>
      </c>
      <c r="H928" t="e">
        <v>#N/A</v>
      </c>
      <c r="I928" t="e">
        <v>#N/A</v>
      </c>
      <c r="J928">
        <v>0.126984127</v>
      </c>
      <c r="K928">
        <v>0.33734939800000002</v>
      </c>
      <c r="L928">
        <v>0.311926606</v>
      </c>
      <c r="M928">
        <v>4.2145594000000001E-2</v>
      </c>
      <c r="N928">
        <v>0.57372346500000004</v>
      </c>
      <c r="O928">
        <v>9.5238094999999995E-2</v>
      </c>
    </row>
    <row r="929" spans="1:15" x14ac:dyDescent="0.25">
      <c r="A929" t="s">
        <v>10</v>
      </c>
      <c r="B929" t="s">
        <v>24</v>
      </c>
      <c r="C929" s="3" t="str">
        <f>IF($B929="GW1",VLOOKUP($A929,Matches!$A:$AC,2,FALSE),IF($B929="GW2",VLOOKUP($A929,Matches!$A:$AC,9,FALSE),IF($B929="GW3",VLOOKUP($A929,Matches!$A:$AC,16,FALSE))))</f>
        <v>Nott'm Forest</v>
      </c>
      <c r="D929" s="6">
        <v>0.40622334159320794</v>
      </c>
      <c r="E929" s="6">
        <v>0.31117749564351505</v>
      </c>
      <c r="F929" s="6">
        <v>9.5045845949692898E-2</v>
      </c>
      <c r="G929" s="3" t="s">
        <v>1</v>
      </c>
      <c r="H929" t="e">
        <v>#N/A</v>
      </c>
      <c r="I929" t="e">
        <v>#N/A</v>
      </c>
      <c r="J929" t="e">
        <v>#N/A</v>
      </c>
      <c r="K929">
        <v>0.33734939800000002</v>
      </c>
      <c r="L929">
        <v>0.311926606</v>
      </c>
      <c r="M929">
        <v>4.2145594000000001E-2</v>
      </c>
      <c r="N929" t="e">
        <v>#N/A</v>
      </c>
      <c r="O929" t="e">
        <v>#N/A</v>
      </c>
    </row>
    <row r="930" spans="1:15" x14ac:dyDescent="0.25">
      <c r="A930" t="s">
        <v>10</v>
      </c>
      <c r="B930" t="s">
        <v>24</v>
      </c>
      <c r="C930" s="3" t="str">
        <f>IF($B930="GW1",VLOOKUP($A930,Matches!$A:$AC,2,FALSE),IF($B930="GW2",VLOOKUP($A930,Matches!$A:$AC,9,FALSE),IF($B930="GW3",VLOOKUP($A930,Matches!$A:$AC,16,FALSE))))</f>
        <v>Nott'm Forest</v>
      </c>
      <c r="D930" s="6">
        <v>0.40622334159320794</v>
      </c>
      <c r="E930" s="6">
        <v>0.31117749564351505</v>
      </c>
      <c r="F930" s="6">
        <v>9.5045845949692898E-2</v>
      </c>
      <c r="G930" s="3" t="s">
        <v>1</v>
      </c>
      <c r="H930" t="e">
        <v>#N/A</v>
      </c>
      <c r="I930" t="e">
        <v>#N/A</v>
      </c>
      <c r="J930">
        <v>0.19047618999999999</v>
      </c>
      <c r="K930">
        <v>0.33734939800000002</v>
      </c>
      <c r="L930">
        <v>0.311926606</v>
      </c>
      <c r="M930">
        <v>4.2145594000000001E-2</v>
      </c>
      <c r="N930" t="e">
        <v>#N/A</v>
      </c>
      <c r="O930" t="e">
        <v>#N/A</v>
      </c>
    </row>
    <row r="931" spans="1:15" x14ac:dyDescent="0.25">
      <c r="A931" t="s">
        <v>10</v>
      </c>
      <c r="B931" t="s">
        <v>24</v>
      </c>
      <c r="C931" s="3" t="str">
        <f>IF($B931="GW1",VLOOKUP($A931,Matches!$A:$AC,2,FALSE),IF($B931="GW2",VLOOKUP($A931,Matches!$A:$AC,9,FALSE),IF($B931="GW3",VLOOKUP($A931,Matches!$A:$AC,16,FALSE))))</f>
        <v>Nott'm Forest</v>
      </c>
      <c r="D931" s="6">
        <v>0.40622334159320794</v>
      </c>
      <c r="E931" s="6">
        <v>0.31117749564351505</v>
      </c>
      <c r="F931" s="6">
        <v>9.5045845949692898E-2</v>
      </c>
      <c r="G931" s="3" t="s">
        <v>1</v>
      </c>
      <c r="H931">
        <v>0.126984127</v>
      </c>
      <c r="I931">
        <v>0.13605442200000001</v>
      </c>
      <c r="J931">
        <v>0.23809523799999999</v>
      </c>
      <c r="K931">
        <v>0.33734939800000002</v>
      </c>
      <c r="L931">
        <v>0.311926606</v>
      </c>
      <c r="M931">
        <v>4.2145594000000001E-2</v>
      </c>
      <c r="N931" t="e">
        <v>#N/A</v>
      </c>
      <c r="O931" t="e">
        <v>#N/A</v>
      </c>
    </row>
    <row r="932" spans="1:15" x14ac:dyDescent="0.25">
      <c r="A932" t="s">
        <v>10</v>
      </c>
      <c r="B932" t="s">
        <v>24</v>
      </c>
      <c r="C932" s="3" t="str">
        <f>IF($B932="GW1",VLOOKUP($A932,Matches!$A:$AC,2,FALSE),IF($B932="GW2",VLOOKUP($A932,Matches!$A:$AC,9,FALSE),IF($B932="GW3",VLOOKUP($A932,Matches!$A:$AC,16,FALSE))))</f>
        <v>Nott'm Forest</v>
      </c>
      <c r="D932" s="6">
        <v>0.40622334159320794</v>
      </c>
      <c r="E932" s="6">
        <v>0.31117749564351505</v>
      </c>
      <c r="F932" s="6">
        <v>9.5045845949692898E-2</v>
      </c>
      <c r="G932" s="3" t="s">
        <v>1</v>
      </c>
      <c r="H932">
        <v>7.3260072999999995E-2</v>
      </c>
      <c r="I932">
        <v>5.0125312999999998E-2</v>
      </c>
      <c r="J932">
        <v>0.14652014699999999</v>
      </c>
      <c r="K932">
        <v>0.33734939800000002</v>
      </c>
      <c r="L932">
        <v>0.311926606</v>
      </c>
      <c r="M932">
        <v>4.2145594000000001E-2</v>
      </c>
      <c r="N932" t="e">
        <v>#N/A</v>
      </c>
      <c r="O932" t="e">
        <v>#N/A</v>
      </c>
    </row>
    <row r="933" spans="1:15" x14ac:dyDescent="0.25">
      <c r="A933" t="s">
        <v>10</v>
      </c>
      <c r="B933" t="s">
        <v>24</v>
      </c>
      <c r="C933" s="3" t="str">
        <f>IF($B933="GW1",VLOOKUP($A933,Matches!$A:$AC,2,FALSE),IF($B933="GW2",VLOOKUP($A933,Matches!$A:$AC,9,FALSE),IF($B933="GW3",VLOOKUP($A933,Matches!$A:$AC,16,FALSE))))</f>
        <v>Nott'm Forest</v>
      </c>
      <c r="D933" s="6">
        <v>0.40622334159320794</v>
      </c>
      <c r="E933" s="6">
        <v>0.31117749564351505</v>
      </c>
      <c r="F933" s="6">
        <v>9.5045845949692898E-2</v>
      </c>
      <c r="G933" s="3" t="s">
        <v>1</v>
      </c>
      <c r="H933">
        <v>5.6022409000000002E-2</v>
      </c>
      <c r="I933">
        <v>0.11904761899999999</v>
      </c>
      <c r="J933">
        <v>0.13605442200000001</v>
      </c>
      <c r="K933">
        <v>0.33734939800000002</v>
      </c>
      <c r="L933">
        <v>0.311926606</v>
      </c>
      <c r="M933">
        <v>4.2145594000000001E-2</v>
      </c>
      <c r="N933" t="e">
        <v>#N/A</v>
      </c>
      <c r="O933" t="e">
        <v>#N/A</v>
      </c>
    </row>
    <row r="934" spans="1:15" x14ac:dyDescent="0.25">
      <c r="A934" t="s">
        <v>10</v>
      </c>
      <c r="B934" t="s">
        <v>24</v>
      </c>
      <c r="C934" s="3" t="str">
        <f>IF($B934="GW1",VLOOKUP($A934,Matches!$A:$AC,2,FALSE),IF($B934="GW2",VLOOKUP($A934,Matches!$A:$AC,9,FALSE),IF($B934="GW3",VLOOKUP($A934,Matches!$A:$AC,16,FALSE))))</f>
        <v>Nott'm Forest</v>
      </c>
      <c r="D934" s="6">
        <v>0.40622334159320794</v>
      </c>
      <c r="E934" s="6">
        <v>0.31117749564351505</v>
      </c>
      <c r="F934" s="6">
        <v>9.5045845949692898E-2</v>
      </c>
      <c r="G934" s="3" t="s">
        <v>1</v>
      </c>
      <c r="H934">
        <v>7.3260072999999995E-2</v>
      </c>
      <c r="I934">
        <v>0.14652014699999999</v>
      </c>
      <c r="J934">
        <v>0.23809523799999999</v>
      </c>
      <c r="K934">
        <v>0.33734939800000002</v>
      </c>
      <c r="L934">
        <v>0.311926606</v>
      </c>
      <c r="M934">
        <v>4.2145594000000001E-2</v>
      </c>
      <c r="N934" t="e">
        <v>#N/A</v>
      </c>
      <c r="O934" t="e">
        <v>#N/A</v>
      </c>
    </row>
    <row r="935" spans="1:15" x14ac:dyDescent="0.25">
      <c r="A935" t="s">
        <v>10</v>
      </c>
      <c r="B935" t="s">
        <v>24</v>
      </c>
      <c r="C935" s="3" t="str">
        <f>IF($B935="GW1",VLOOKUP($A935,Matches!$A:$AC,2,FALSE),IF($B935="GW2",VLOOKUP($A935,Matches!$A:$AC,9,FALSE),IF($B935="GW3",VLOOKUP($A935,Matches!$A:$AC,16,FALSE))))</f>
        <v>Nott'm Forest</v>
      </c>
      <c r="D935" s="6">
        <v>0.40622334159320794</v>
      </c>
      <c r="E935" s="6">
        <v>0.31117749564351505</v>
      </c>
      <c r="F935" s="6">
        <v>9.5045845949692898E-2</v>
      </c>
      <c r="G935" s="3" t="s">
        <v>1</v>
      </c>
      <c r="H935">
        <v>7.9365079000000005E-2</v>
      </c>
      <c r="I935">
        <v>3.2840722000000003E-2</v>
      </c>
      <c r="J935">
        <v>0.14652014699999999</v>
      </c>
      <c r="K935">
        <v>0.33734939800000002</v>
      </c>
      <c r="L935">
        <v>0.311926606</v>
      </c>
      <c r="M935">
        <v>4.2145594000000001E-2</v>
      </c>
      <c r="N935" t="e">
        <v>#N/A</v>
      </c>
      <c r="O935" t="e">
        <v>#N/A</v>
      </c>
    </row>
    <row r="936" spans="1:15" x14ac:dyDescent="0.25">
      <c r="A936" t="s">
        <v>10</v>
      </c>
      <c r="B936" t="s">
        <v>24</v>
      </c>
      <c r="C936" s="3" t="str">
        <f>IF($B936="GW1",VLOOKUP($A936,Matches!$A:$AC,2,FALSE),IF($B936="GW2",VLOOKUP($A936,Matches!$A:$AC,9,FALSE),IF($B936="GW3",VLOOKUP($A936,Matches!$A:$AC,16,FALSE))))</f>
        <v>Nott'm Forest</v>
      </c>
      <c r="D936" s="6">
        <v>0.40622334159320794</v>
      </c>
      <c r="E936" s="6">
        <v>0.31117749564351505</v>
      </c>
      <c r="F936" s="6">
        <v>9.5045845949692898E-2</v>
      </c>
      <c r="G936" s="3" t="s">
        <v>1</v>
      </c>
      <c r="H936">
        <v>7.9365079000000005E-2</v>
      </c>
      <c r="I936">
        <v>3.2840722000000003E-2</v>
      </c>
      <c r="J936">
        <v>0.14652014699999999</v>
      </c>
      <c r="K936">
        <v>0.33734939800000002</v>
      </c>
      <c r="L936">
        <v>0.311926606</v>
      </c>
      <c r="M936">
        <v>4.2145594000000001E-2</v>
      </c>
      <c r="N936" t="e">
        <v>#N/A</v>
      </c>
      <c r="O936" t="e">
        <v>#N/A</v>
      </c>
    </row>
    <row r="937" spans="1:15" x14ac:dyDescent="0.25">
      <c r="A937" t="s">
        <v>10</v>
      </c>
      <c r="B937" t="s">
        <v>24</v>
      </c>
      <c r="C937" s="3" t="str">
        <f>IF($B937="GW1",VLOOKUP($A937,Matches!$A:$AC,2,FALSE),IF($B937="GW2",VLOOKUP($A937,Matches!$A:$AC,9,FALSE),IF($B937="GW3",VLOOKUP($A937,Matches!$A:$AC,16,FALSE))))</f>
        <v>Nott'm Forest</v>
      </c>
      <c r="D937" s="6">
        <v>0.40622334159320794</v>
      </c>
      <c r="E937" s="6">
        <v>0.31117749564351505</v>
      </c>
      <c r="F937" s="6">
        <v>9.5045845949692898E-2</v>
      </c>
      <c r="G937" s="3" t="s">
        <v>1</v>
      </c>
      <c r="H937" t="e">
        <v>#N/A</v>
      </c>
      <c r="I937" t="e">
        <v>#N/A</v>
      </c>
      <c r="J937" t="e">
        <v>#N/A</v>
      </c>
      <c r="K937">
        <v>0.33734939800000002</v>
      </c>
      <c r="L937">
        <v>0.311926606</v>
      </c>
      <c r="M937">
        <v>4.2145594000000001E-2</v>
      </c>
      <c r="N937" t="e">
        <v>#N/A</v>
      </c>
      <c r="O937" t="e">
        <v>#N/A</v>
      </c>
    </row>
    <row r="938" spans="1:15" x14ac:dyDescent="0.25">
      <c r="A938" t="s">
        <v>10</v>
      </c>
      <c r="B938" t="s">
        <v>24</v>
      </c>
      <c r="C938" s="3" t="str">
        <f>IF($B938="GW1",VLOOKUP($A938,Matches!$A:$AC,2,FALSE),IF($B938="GW2",VLOOKUP($A938,Matches!$A:$AC,9,FALSE),IF($B938="GW3",VLOOKUP($A938,Matches!$A:$AC,16,FALSE))))</f>
        <v>Nott'm Forest</v>
      </c>
      <c r="D938" s="6">
        <v>0.40622334159320794</v>
      </c>
      <c r="E938" s="6">
        <v>0.31117749564351505</v>
      </c>
      <c r="F938" s="6">
        <v>9.5045845949692898E-2</v>
      </c>
      <c r="G938" s="3" t="s">
        <v>1</v>
      </c>
      <c r="H938">
        <v>4.5351474000000003E-2</v>
      </c>
      <c r="I938">
        <v>5.6022409000000002E-2</v>
      </c>
      <c r="J938">
        <v>0.14652014699999999</v>
      </c>
      <c r="K938">
        <v>0.33734939800000002</v>
      </c>
      <c r="L938">
        <v>0.311926606</v>
      </c>
      <c r="M938">
        <v>4.2145594000000001E-2</v>
      </c>
      <c r="N938" t="e">
        <v>#N/A</v>
      </c>
      <c r="O938" t="e">
        <v>#N/A</v>
      </c>
    </row>
    <row r="939" spans="1:15" x14ac:dyDescent="0.25">
      <c r="A939" t="s">
        <v>10</v>
      </c>
      <c r="B939" t="s">
        <v>24</v>
      </c>
      <c r="C939" s="3" t="str">
        <f>IF($B939="GW1",VLOOKUP($A939,Matches!$A:$AC,2,FALSE),IF($B939="GW2",VLOOKUP($A939,Matches!$A:$AC,9,FALSE),IF($B939="GW3",VLOOKUP($A939,Matches!$A:$AC,16,FALSE))))</f>
        <v>Nott'm Forest</v>
      </c>
      <c r="D939" s="6">
        <v>0.40622334159320794</v>
      </c>
      <c r="E939" s="6">
        <v>0.31117749564351505</v>
      </c>
      <c r="F939" s="6">
        <v>9.5045845949692898E-2</v>
      </c>
      <c r="G939" s="3" t="s">
        <v>1</v>
      </c>
      <c r="H939" t="e">
        <v>#N/A</v>
      </c>
      <c r="I939" t="e">
        <v>#N/A</v>
      </c>
      <c r="J939" t="e">
        <v>#N/A</v>
      </c>
      <c r="K939">
        <v>0.33734939800000002</v>
      </c>
      <c r="L939">
        <v>0.311926606</v>
      </c>
      <c r="M939">
        <v>4.2145594000000001E-2</v>
      </c>
      <c r="N939" t="e">
        <v>#N/A</v>
      </c>
      <c r="O939" t="e">
        <v>#N/A</v>
      </c>
    </row>
    <row r="940" spans="1:15" x14ac:dyDescent="0.25">
      <c r="A940" t="s">
        <v>10</v>
      </c>
      <c r="B940" t="s">
        <v>24</v>
      </c>
      <c r="C940" s="3" t="str">
        <f>IF($B940="GW1",VLOOKUP($A940,Matches!$A:$AC,2,FALSE),IF($B940="GW2",VLOOKUP($A940,Matches!$A:$AC,9,FALSE),IF($B940="GW3",VLOOKUP($A940,Matches!$A:$AC,16,FALSE))))</f>
        <v>Nott'm Forest</v>
      </c>
      <c r="D940" s="6">
        <v>0.40622334159320794</v>
      </c>
      <c r="E940" s="6">
        <v>0.31117749564351505</v>
      </c>
      <c r="F940" s="6">
        <v>9.5045845949692898E-2</v>
      </c>
      <c r="G940" s="3" t="s">
        <v>1</v>
      </c>
      <c r="H940" t="e">
        <v>#N/A</v>
      </c>
      <c r="I940" t="e">
        <v>#N/A</v>
      </c>
      <c r="J940" t="e">
        <v>#N/A</v>
      </c>
      <c r="K940">
        <v>0.33734939800000002</v>
      </c>
      <c r="L940">
        <v>0.311926606</v>
      </c>
      <c r="M940">
        <v>4.2145594000000001E-2</v>
      </c>
      <c r="N940" t="e">
        <v>#N/A</v>
      </c>
      <c r="O940" t="e">
        <v>#N/A</v>
      </c>
    </row>
    <row r="941" spans="1:15" x14ac:dyDescent="0.25">
      <c r="A941" t="s">
        <v>10</v>
      </c>
      <c r="B941" t="s">
        <v>24</v>
      </c>
      <c r="C941" s="3" t="str">
        <f>IF($B941="GW1",VLOOKUP($A941,Matches!$A:$AC,2,FALSE),IF($B941="GW2",VLOOKUP($A941,Matches!$A:$AC,9,FALSE),IF($B941="GW3",VLOOKUP($A941,Matches!$A:$AC,16,FALSE))))</f>
        <v>Nott'm Forest</v>
      </c>
      <c r="D941" s="6">
        <v>0.40622334159320794</v>
      </c>
      <c r="E941" s="6">
        <v>0.31117749564351505</v>
      </c>
      <c r="F941" s="6">
        <v>9.5045845949692898E-2</v>
      </c>
      <c r="G941" s="3" t="s">
        <v>1</v>
      </c>
      <c r="H941">
        <v>0.26455026500000001</v>
      </c>
      <c r="I941">
        <v>0.173160173</v>
      </c>
      <c r="J941">
        <v>9.5238094999999995E-2</v>
      </c>
      <c r="K941">
        <v>0.33734939800000002</v>
      </c>
      <c r="L941">
        <v>0.311926606</v>
      </c>
      <c r="M941">
        <v>4.2145594000000001E-2</v>
      </c>
      <c r="N941" t="e">
        <v>#N/A</v>
      </c>
      <c r="O941" t="e">
        <v>#N/A</v>
      </c>
    </row>
    <row r="942" spans="1:15" x14ac:dyDescent="0.25">
      <c r="A942" t="s">
        <v>10</v>
      </c>
      <c r="B942" t="s">
        <v>24</v>
      </c>
      <c r="C942" s="3" t="str">
        <f>IF($B942="GW1",VLOOKUP($A942,Matches!$A:$AC,2,FALSE),IF($B942="GW2",VLOOKUP($A942,Matches!$A:$AC,9,FALSE),IF($B942="GW3",VLOOKUP($A942,Matches!$A:$AC,16,FALSE))))</f>
        <v>Nott'm Forest</v>
      </c>
      <c r="D942" s="6">
        <v>0.40622334159320794</v>
      </c>
      <c r="E942" s="6">
        <v>0.31117749564351505</v>
      </c>
      <c r="F942" s="6">
        <v>9.5045845949692898E-2</v>
      </c>
      <c r="G942" s="3" t="s">
        <v>1</v>
      </c>
      <c r="H942">
        <v>0.253968254</v>
      </c>
      <c r="I942">
        <v>0.15873015900000001</v>
      </c>
      <c r="J942">
        <v>0.112044818</v>
      </c>
      <c r="K942">
        <v>0.33734939800000002</v>
      </c>
      <c r="L942">
        <v>0.311926606</v>
      </c>
      <c r="M942">
        <v>4.2145594000000001E-2</v>
      </c>
      <c r="N942" t="e">
        <v>#N/A</v>
      </c>
      <c r="O942" t="e">
        <v>#N/A</v>
      </c>
    </row>
    <row r="943" spans="1:15" x14ac:dyDescent="0.25">
      <c r="A943" t="s">
        <v>10</v>
      </c>
      <c r="B943" t="s">
        <v>24</v>
      </c>
      <c r="C943" s="3" t="str">
        <f>IF($B943="GW1",VLOOKUP($A943,Matches!$A:$AC,2,FALSE),IF($B943="GW2",VLOOKUP($A943,Matches!$A:$AC,9,FALSE),IF($B943="GW3",VLOOKUP($A943,Matches!$A:$AC,16,FALSE))))</f>
        <v>Nott'm Forest</v>
      </c>
      <c r="D943" s="6">
        <v>0.40622334159320794</v>
      </c>
      <c r="E943" s="6">
        <v>0.31117749564351505</v>
      </c>
      <c r="F943" s="6">
        <v>9.5045845949692898E-2</v>
      </c>
      <c r="G943" s="3" t="s">
        <v>1</v>
      </c>
      <c r="H943" t="e">
        <v>#N/A</v>
      </c>
      <c r="I943" t="e">
        <v>#N/A</v>
      </c>
      <c r="J943" t="e">
        <v>#N/A</v>
      </c>
      <c r="K943">
        <v>0.33734939800000002</v>
      </c>
      <c r="L943">
        <v>0.311926606</v>
      </c>
      <c r="M943">
        <v>4.2145594000000001E-2</v>
      </c>
      <c r="N943" t="e">
        <v>#N/A</v>
      </c>
      <c r="O943" t="e">
        <v>#N/A</v>
      </c>
    </row>
    <row r="944" spans="1:15" x14ac:dyDescent="0.25">
      <c r="A944" t="s">
        <v>10</v>
      </c>
      <c r="B944" t="s">
        <v>24</v>
      </c>
      <c r="C944" s="3" t="str">
        <f>IF($B944="GW1",VLOOKUP($A944,Matches!$A:$AC,2,FALSE),IF($B944="GW2",VLOOKUP($A944,Matches!$A:$AC,9,FALSE),IF($B944="GW3",VLOOKUP($A944,Matches!$A:$AC,16,FALSE))))</f>
        <v>Nott'm Forest</v>
      </c>
      <c r="D944" s="6">
        <v>0.40622334159320794</v>
      </c>
      <c r="E944" s="6">
        <v>0.31117749564351505</v>
      </c>
      <c r="F944" s="6">
        <v>9.5045845949692898E-2</v>
      </c>
      <c r="G944" s="3" t="s">
        <v>1</v>
      </c>
      <c r="H944">
        <v>0.19047618999999999</v>
      </c>
      <c r="I944">
        <v>0.13605442200000001</v>
      </c>
      <c r="J944">
        <v>0.19047618999999999</v>
      </c>
      <c r="K944">
        <v>0.33734939800000002</v>
      </c>
      <c r="L944">
        <v>0.311926606</v>
      </c>
      <c r="M944">
        <v>4.2145594000000001E-2</v>
      </c>
      <c r="N944" t="e">
        <v>#N/A</v>
      </c>
      <c r="O944" t="e">
        <v>#N/A</v>
      </c>
    </row>
    <row r="945" spans="1:15" x14ac:dyDescent="0.25">
      <c r="A945" t="s">
        <v>10</v>
      </c>
      <c r="B945" t="s">
        <v>24</v>
      </c>
      <c r="C945" s="3" t="str">
        <f>IF($B945="GW1",VLOOKUP($A945,Matches!$A:$AC,2,FALSE),IF($B945="GW2",VLOOKUP($A945,Matches!$A:$AC,9,FALSE),IF($B945="GW3",VLOOKUP($A945,Matches!$A:$AC,16,FALSE))))</f>
        <v>Nott'm Forest</v>
      </c>
      <c r="D945" s="6">
        <v>0.40622334159320794</v>
      </c>
      <c r="E945" s="6">
        <v>0.31117749564351505</v>
      </c>
      <c r="F945" s="6">
        <v>9.5045845949692898E-2</v>
      </c>
      <c r="G945" s="3" t="s">
        <v>1</v>
      </c>
      <c r="H945">
        <v>0.105820106</v>
      </c>
      <c r="I945">
        <v>9.5238094999999995E-2</v>
      </c>
      <c r="J945">
        <v>0.20050125299999999</v>
      </c>
      <c r="K945">
        <v>0.33734939800000002</v>
      </c>
      <c r="L945">
        <v>0.311926606</v>
      </c>
      <c r="M945">
        <v>4.2145594000000001E-2</v>
      </c>
      <c r="N945" t="e">
        <v>#N/A</v>
      </c>
      <c r="O945" t="e">
        <v>#N/A</v>
      </c>
    </row>
    <row r="946" spans="1:15" x14ac:dyDescent="0.25">
      <c r="A946" t="s">
        <v>10</v>
      </c>
      <c r="B946" t="s">
        <v>24</v>
      </c>
      <c r="C946" s="3" t="str">
        <f>IF($B946="GW1",VLOOKUP($A946,Matches!$A:$AC,2,FALSE),IF($B946="GW2",VLOOKUP($A946,Matches!$A:$AC,9,FALSE),IF($B946="GW3",VLOOKUP($A946,Matches!$A:$AC,16,FALSE))))</f>
        <v>Nott'm Forest</v>
      </c>
      <c r="D946" s="6">
        <v>0.40622334159320794</v>
      </c>
      <c r="E946" s="6">
        <v>0.31117749564351505</v>
      </c>
      <c r="F946" s="6">
        <v>9.5045845949692898E-2</v>
      </c>
      <c r="G946" s="3" t="s">
        <v>1</v>
      </c>
      <c r="H946">
        <v>0.19047618999999999</v>
      </c>
      <c r="I946">
        <v>0.14652014699999999</v>
      </c>
      <c r="J946">
        <v>0.14652014699999999</v>
      </c>
      <c r="K946">
        <v>0.33734939800000002</v>
      </c>
      <c r="L946">
        <v>0.311926606</v>
      </c>
      <c r="M946">
        <v>4.2145594000000001E-2</v>
      </c>
      <c r="N946" t="e">
        <v>#N/A</v>
      </c>
      <c r="O946" t="e">
        <v>#N/A</v>
      </c>
    </row>
    <row r="947" spans="1:15" x14ac:dyDescent="0.25">
      <c r="A947" t="s">
        <v>10</v>
      </c>
      <c r="B947" t="s">
        <v>24</v>
      </c>
      <c r="C947" s="3" t="str">
        <f>IF($B947="GW1",VLOOKUP($A947,Matches!$A:$AC,2,FALSE),IF($B947="GW2",VLOOKUP($A947,Matches!$A:$AC,9,FALSE),IF($B947="GW3",VLOOKUP($A947,Matches!$A:$AC,16,FALSE))))</f>
        <v>Nott'm Forest</v>
      </c>
      <c r="D947" s="6">
        <v>0.40622334159320794</v>
      </c>
      <c r="E947" s="6">
        <v>0.31117749564351505</v>
      </c>
      <c r="F947" s="6">
        <v>9.5045845949692898E-2</v>
      </c>
      <c r="G947" s="3" t="s">
        <v>1</v>
      </c>
      <c r="H947">
        <v>0.105820106</v>
      </c>
      <c r="I947">
        <v>9.5238094999999995E-2</v>
      </c>
      <c r="J947">
        <v>0.31746031699999999</v>
      </c>
      <c r="K947">
        <v>0.33734939800000002</v>
      </c>
      <c r="L947">
        <v>0.311926606</v>
      </c>
      <c r="M947">
        <v>4.2145594000000001E-2</v>
      </c>
      <c r="N947" t="e">
        <v>#N/A</v>
      </c>
      <c r="O947" t="e">
        <v>#N/A</v>
      </c>
    </row>
    <row r="948" spans="1:15" x14ac:dyDescent="0.25">
      <c r="A948" t="s">
        <v>10</v>
      </c>
      <c r="B948" t="s">
        <v>24</v>
      </c>
      <c r="C948" s="3" t="str">
        <f>IF($B948="GW1",VLOOKUP($A948,Matches!$A:$AC,2,FALSE),IF($B948="GW2",VLOOKUP($A948,Matches!$A:$AC,9,FALSE),IF($B948="GW3",VLOOKUP($A948,Matches!$A:$AC,16,FALSE))))</f>
        <v>Nott'm Forest</v>
      </c>
      <c r="D948" s="6">
        <v>0.40622334159320794</v>
      </c>
      <c r="E948" s="6">
        <v>0.31117749564351505</v>
      </c>
      <c r="F948" s="6">
        <v>9.5045845949692898E-2</v>
      </c>
      <c r="G948" s="3" t="s">
        <v>1</v>
      </c>
      <c r="H948">
        <v>0.105820106</v>
      </c>
      <c r="I948">
        <v>9.5238094999999995E-2</v>
      </c>
      <c r="J948">
        <v>0.19047618999999999</v>
      </c>
      <c r="K948">
        <v>0.33734939800000002</v>
      </c>
      <c r="L948">
        <v>0.311926606</v>
      </c>
      <c r="M948">
        <v>4.2145594000000001E-2</v>
      </c>
      <c r="N948" t="e">
        <v>#N/A</v>
      </c>
      <c r="O948" t="e">
        <v>#N/A</v>
      </c>
    </row>
    <row r="949" spans="1:15" x14ac:dyDescent="0.25">
      <c r="A949" t="s">
        <v>10</v>
      </c>
      <c r="B949" t="s">
        <v>24</v>
      </c>
      <c r="C949" s="3" t="str">
        <f>IF($B949="GW1",VLOOKUP($A949,Matches!$A:$AC,2,FALSE),IF($B949="GW2",VLOOKUP($A949,Matches!$A:$AC,9,FALSE),IF($B949="GW3",VLOOKUP($A949,Matches!$A:$AC,16,FALSE))))</f>
        <v>Nott'm Forest</v>
      </c>
      <c r="D949" s="6">
        <v>0.40622334159320794</v>
      </c>
      <c r="E949" s="6">
        <v>0.31117749564351505</v>
      </c>
      <c r="F949" s="6">
        <v>9.5045845949692898E-2</v>
      </c>
      <c r="G949" s="3" t="s">
        <v>1</v>
      </c>
      <c r="H949" t="e">
        <v>#N/A</v>
      </c>
      <c r="I949" t="e">
        <v>#N/A</v>
      </c>
      <c r="J949" t="e">
        <v>#N/A</v>
      </c>
      <c r="K949">
        <v>0.33734939800000002</v>
      </c>
      <c r="L949">
        <v>0.311926606</v>
      </c>
      <c r="M949">
        <v>4.2145594000000001E-2</v>
      </c>
      <c r="N949" t="e">
        <v>#N/A</v>
      </c>
      <c r="O949" t="e">
        <v>#N/A</v>
      </c>
    </row>
    <row r="950" spans="1:15" x14ac:dyDescent="0.25">
      <c r="A950" t="s">
        <v>10</v>
      </c>
      <c r="B950" t="s">
        <v>24</v>
      </c>
      <c r="C950" s="3" t="str">
        <f>IF($B950="GW1",VLOOKUP($A950,Matches!$A:$AC,2,FALSE),IF($B950="GW2",VLOOKUP($A950,Matches!$A:$AC,9,FALSE),IF($B950="GW3",VLOOKUP($A950,Matches!$A:$AC,16,FALSE))))</f>
        <v>Nott'm Forest</v>
      </c>
      <c r="D950" s="6">
        <v>0.40622334159320794</v>
      </c>
      <c r="E950" s="6">
        <v>0.31117749564351505</v>
      </c>
      <c r="F950" s="6">
        <v>9.5045845949692898E-2</v>
      </c>
      <c r="G950" s="3" t="s">
        <v>1</v>
      </c>
      <c r="H950" t="e">
        <v>#N/A</v>
      </c>
      <c r="I950" t="e">
        <v>#N/A</v>
      </c>
      <c r="J950" t="e">
        <v>#N/A</v>
      </c>
      <c r="K950">
        <v>0.33734939800000002</v>
      </c>
      <c r="L950">
        <v>0.311926606</v>
      </c>
      <c r="M950">
        <v>4.2145594000000001E-2</v>
      </c>
      <c r="N950" t="e">
        <v>#N/A</v>
      </c>
      <c r="O950" t="e">
        <v>#N/A</v>
      </c>
    </row>
    <row r="951" spans="1:15" x14ac:dyDescent="0.25">
      <c r="A951" t="s">
        <v>10</v>
      </c>
      <c r="B951" t="s">
        <v>24</v>
      </c>
      <c r="C951" s="3" t="str">
        <f>IF($B951="GW1",VLOOKUP($A951,Matches!$A:$AC,2,FALSE),IF($B951="GW2",VLOOKUP($A951,Matches!$A:$AC,9,FALSE),IF($B951="GW3",VLOOKUP($A951,Matches!$A:$AC,16,FALSE))))</f>
        <v>Nott'm Forest</v>
      </c>
      <c r="D951" s="6">
        <v>0.40622334159320794</v>
      </c>
      <c r="E951" s="6">
        <v>0.31117749564351505</v>
      </c>
      <c r="F951" s="6">
        <v>9.5045845949692898E-2</v>
      </c>
      <c r="G951" s="3" t="s">
        <v>1</v>
      </c>
      <c r="H951">
        <v>0.126984127</v>
      </c>
      <c r="I951">
        <v>0.14652014699999999</v>
      </c>
      <c r="J951">
        <v>0.20050125299999999</v>
      </c>
      <c r="K951">
        <v>0.33734939800000002</v>
      </c>
      <c r="L951">
        <v>0.311926606</v>
      </c>
      <c r="M951">
        <v>4.2145594000000001E-2</v>
      </c>
      <c r="N951" t="e">
        <v>#N/A</v>
      </c>
      <c r="O951" t="e">
        <v>#N/A</v>
      </c>
    </row>
    <row r="952" spans="1:15" x14ac:dyDescent="0.25">
      <c r="A952" t="s">
        <v>10</v>
      </c>
      <c r="B952" t="s">
        <v>24</v>
      </c>
      <c r="C952" s="3" t="str">
        <f>IF($B952="GW1",VLOOKUP($A952,Matches!$A:$AC,2,FALSE),IF($B952="GW2",VLOOKUP($A952,Matches!$A:$AC,9,FALSE),IF($B952="GW3",VLOOKUP($A952,Matches!$A:$AC,16,FALSE))))</f>
        <v>Nott'm Forest</v>
      </c>
      <c r="D952" s="6">
        <v>0.40622334159320794</v>
      </c>
      <c r="E952" s="6">
        <v>0.31117749564351505</v>
      </c>
      <c r="F952" s="6">
        <v>9.5045845949692898E-2</v>
      </c>
      <c r="G952" s="3" t="s">
        <v>1</v>
      </c>
      <c r="H952" t="e">
        <v>#N/A</v>
      </c>
      <c r="I952" t="e">
        <v>#N/A</v>
      </c>
      <c r="J952" t="e">
        <v>#N/A</v>
      </c>
      <c r="K952">
        <v>0.33734939800000002</v>
      </c>
      <c r="L952">
        <v>0.311926606</v>
      </c>
      <c r="M952">
        <v>4.2145594000000001E-2</v>
      </c>
      <c r="N952" t="e">
        <v>#N/A</v>
      </c>
      <c r="O952" t="e">
        <v>#N/A</v>
      </c>
    </row>
    <row r="953" spans="1:15" x14ac:dyDescent="0.25">
      <c r="A953" t="s">
        <v>10</v>
      </c>
      <c r="B953" t="s">
        <v>24</v>
      </c>
      <c r="C953" s="3" t="str">
        <f>IF($B953="GW1",VLOOKUP($A953,Matches!$A:$AC,2,FALSE),IF($B953="GW2",VLOOKUP($A953,Matches!$A:$AC,9,FALSE),IF($B953="GW3",VLOOKUP($A953,Matches!$A:$AC,16,FALSE))))</f>
        <v>Nott'm Forest</v>
      </c>
      <c r="D953" s="6">
        <v>0.40622334159320794</v>
      </c>
      <c r="E953" s="6">
        <v>0.31117749564351505</v>
      </c>
      <c r="F953" s="6">
        <v>9.5045845949692898E-2</v>
      </c>
      <c r="G953" s="3" t="s">
        <v>1</v>
      </c>
      <c r="H953">
        <v>0.21994941200000001</v>
      </c>
      <c r="I953">
        <v>0.14652014699999999</v>
      </c>
      <c r="J953">
        <v>0.14652014699999999</v>
      </c>
      <c r="K953">
        <v>0.33734939800000002</v>
      </c>
      <c r="L953">
        <v>0.311926606</v>
      </c>
      <c r="M953">
        <v>4.2145594000000001E-2</v>
      </c>
      <c r="N953" t="e">
        <v>#N/A</v>
      </c>
      <c r="O953" t="e">
        <v>#N/A</v>
      </c>
    </row>
    <row r="954" spans="1:15" x14ac:dyDescent="0.25">
      <c r="A954" t="s">
        <v>10</v>
      </c>
      <c r="B954" t="s">
        <v>24</v>
      </c>
      <c r="C954" s="3" t="str">
        <f>IF($B954="GW1",VLOOKUP($A954,Matches!$A:$AC,2,FALSE),IF($B954="GW2",VLOOKUP($A954,Matches!$A:$AC,9,FALSE),IF($B954="GW3",VLOOKUP($A954,Matches!$A:$AC,16,FALSE))))</f>
        <v>Nott'm Forest</v>
      </c>
      <c r="D954" s="6">
        <v>0.40622334159320794</v>
      </c>
      <c r="E954" s="6">
        <v>0.31117749564351505</v>
      </c>
      <c r="F954" s="6">
        <v>9.5045845949692898E-2</v>
      </c>
      <c r="G954" s="3" t="s">
        <v>1</v>
      </c>
      <c r="H954" t="e">
        <v>#N/A</v>
      </c>
      <c r="I954" t="e">
        <v>#N/A</v>
      </c>
      <c r="J954" t="e">
        <v>#N/A</v>
      </c>
      <c r="K954">
        <v>0.33734939800000002</v>
      </c>
      <c r="L954">
        <v>0.311926606</v>
      </c>
      <c r="M954">
        <v>4.2145594000000001E-2</v>
      </c>
      <c r="N954" t="e">
        <v>#N/A</v>
      </c>
      <c r="O954" t="e">
        <v>#N/A</v>
      </c>
    </row>
    <row r="955" spans="1:15" x14ac:dyDescent="0.25">
      <c r="A955" t="s">
        <v>10</v>
      </c>
      <c r="B955" t="s">
        <v>24</v>
      </c>
      <c r="C955" s="3" t="str">
        <f>IF($B955="GW1",VLOOKUP($A955,Matches!$A:$AC,2,FALSE),IF($B955="GW2",VLOOKUP($A955,Matches!$A:$AC,9,FALSE),IF($B955="GW3",VLOOKUP($A955,Matches!$A:$AC,16,FALSE))))</f>
        <v>Nott'm Forest</v>
      </c>
      <c r="D955" s="6">
        <v>0.40622334159320794</v>
      </c>
      <c r="E955" s="6">
        <v>0.31117749564351505</v>
      </c>
      <c r="F955" s="6">
        <v>9.5045845949692898E-2</v>
      </c>
      <c r="G955" s="3" t="s">
        <v>1</v>
      </c>
      <c r="H955" t="e">
        <v>#N/A</v>
      </c>
      <c r="I955" t="e">
        <v>#N/A</v>
      </c>
      <c r="J955" t="e">
        <v>#N/A</v>
      </c>
      <c r="K955">
        <v>0.33734939800000002</v>
      </c>
      <c r="L955">
        <v>0.311926606</v>
      </c>
      <c r="M955">
        <v>4.2145594000000001E-2</v>
      </c>
      <c r="N955" t="e">
        <v>#N/A</v>
      </c>
      <c r="O955" t="e">
        <v>#N/A</v>
      </c>
    </row>
    <row r="956" spans="1:15" x14ac:dyDescent="0.25">
      <c r="A956" t="s">
        <v>10</v>
      </c>
      <c r="B956" t="s">
        <v>24</v>
      </c>
      <c r="C956" s="3" t="str">
        <f>IF($B956="GW1",VLOOKUP($A956,Matches!$A:$AC,2,FALSE),IF($B956="GW2",VLOOKUP($A956,Matches!$A:$AC,9,FALSE),IF($B956="GW3",VLOOKUP($A956,Matches!$A:$AC,16,FALSE))))</f>
        <v>Nott'm Forest</v>
      </c>
      <c r="D956" s="6">
        <v>0.40622334159320794</v>
      </c>
      <c r="E956" s="6">
        <v>0.31117749564351505</v>
      </c>
      <c r="F956" s="6">
        <v>9.5045845949692898E-2</v>
      </c>
      <c r="G956" s="3" t="s">
        <v>1</v>
      </c>
      <c r="H956" t="e">
        <v>#N/A</v>
      </c>
      <c r="I956" t="e">
        <v>#N/A</v>
      </c>
      <c r="J956" t="e">
        <v>#N/A</v>
      </c>
      <c r="K956">
        <v>0.33734939800000002</v>
      </c>
      <c r="L956">
        <v>0.311926606</v>
      </c>
      <c r="M956">
        <v>4.2145594000000001E-2</v>
      </c>
      <c r="N956" t="e">
        <v>#N/A</v>
      </c>
      <c r="O956" t="e">
        <v>#N/A</v>
      </c>
    </row>
    <row r="957" spans="1:15" x14ac:dyDescent="0.25">
      <c r="A957" t="s">
        <v>10</v>
      </c>
      <c r="B957" t="s">
        <v>24</v>
      </c>
      <c r="C957" s="3" t="str">
        <f>IF($B957="GW1",VLOOKUP($A957,Matches!$A:$AC,2,FALSE),IF($B957="GW2",VLOOKUP($A957,Matches!$A:$AC,9,FALSE),IF($B957="GW3",VLOOKUP($A957,Matches!$A:$AC,16,FALSE))))</f>
        <v>Nott'm Forest</v>
      </c>
      <c r="D957" s="6">
        <v>0.40622334159320794</v>
      </c>
      <c r="E957" s="6">
        <v>0.31117749564351505</v>
      </c>
      <c r="F957" s="6">
        <v>9.5045845949692898E-2</v>
      </c>
      <c r="G957" s="3" t="s">
        <v>1</v>
      </c>
      <c r="H957" t="e">
        <v>#N/A</v>
      </c>
      <c r="I957" t="e">
        <v>#N/A</v>
      </c>
      <c r="J957" t="e">
        <v>#N/A</v>
      </c>
      <c r="K957">
        <v>0.33734939800000002</v>
      </c>
      <c r="L957">
        <v>0.311926606</v>
      </c>
      <c r="M957">
        <v>4.2145594000000001E-2</v>
      </c>
      <c r="N957" t="e">
        <v>#N/A</v>
      </c>
      <c r="O957" t="e">
        <v>#N/A</v>
      </c>
    </row>
    <row r="958" spans="1:15" x14ac:dyDescent="0.25">
      <c r="A958" t="s">
        <v>10</v>
      </c>
      <c r="B958" t="s">
        <v>24</v>
      </c>
      <c r="C958" s="3" t="str">
        <f>IF($B958="GW1",VLOOKUP($A958,Matches!$A:$AC,2,FALSE),IF($B958="GW2",VLOOKUP($A958,Matches!$A:$AC,9,FALSE),IF($B958="GW3",VLOOKUP($A958,Matches!$A:$AC,16,FALSE))))</f>
        <v>Nott'm Forest</v>
      </c>
      <c r="D958" s="6">
        <v>0.40622334159320794</v>
      </c>
      <c r="E958" s="6">
        <v>0.31117749564351505</v>
      </c>
      <c r="F958" s="6">
        <v>9.5045845949692898E-2</v>
      </c>
      <c r="G958" s="3" t="s">
        <v>1</v>
      </c>
      <c r="H958">
        <v>0.33184005300000002</v>
      </c>
      <c r="I958">
        <v>0.13605442200000001</v>
      </c>
      <c r="J958">
        <v>9.5238094999999995E-2</v>
      </c>
      <c r="K958">
        <v>0.33734939800000002</v>
      </c>
      <c r="L958">
        <v>0.311926606</v>
      </c>
      <c r="M958">
        <v>4.2145594000000001E-2</v>
      </c>
      <c r="N958" t="e">
        <v>#N/A</v>
      </c>
      <c r="O958" t="e">
        <v>#N/A</v>
      </c>
    </row>
    <row r="959" spans="1:15" x14ac:dyDescent="0.25">
      <c r="A959" t="s">
        <v>10</v>
      </c>
      <c r="B959" t="s">
        <v>24</v>
      </c>
      <c r="C959" s="3" t="str">
        <f>IF($B959="GW1",VLOOKUP($A959,Matches!$A:$AC,2,FALSE),IF($B959="GW2",VLOOKUP($A959,Matches!$A:$AC,9,FALSE),IF($B959="GW3",VLOOKUP($A959,Matches!$A:$AC,16,FALSE))))</f>
        <v>Nott'm Forest</v>
      </c>
      <c r="D959" s="6">
        <v>0.40622334159320794</v>
      </c>
      <c r="E959" s="6">
        <v>0.31117749564351505</v>
      </c>
      <c r="F959" s="6">
        <v>9.5045845949692898E-2</v>
      </c>
      <c r="G959" s="3" t="s">
        <v>1</v>
      </c>
      <c r="H959">
        <v>0.29304029300000001</v>
      </c>
      <c r="I959">
        <v>0.11904761899999999</v>
      </c>
      <c r="J959">
        <v>0.19047618999999999</v>
      </c>
      <c r="K959">
        <v>0.33734939800000002</v>
      </c>
      <c r="L959">
        <v>0.311926606</v>
      </c>
      <c r="M959">
        <v>4.2145594000000001E-2</v>
      </c>
      <c r="N959" t="e">
        <v>#N/A</v>
      </c>
      <c r="O959" t="e">
        <v>#N/A</v>
      </c>
    </row>
    <row r="960" spans="1:15" x14ac:dyDescent="0.25">
      <c r="A960" t="s">
        <v>10</v>
      </c>
      <c r="B960" t="s">
        <v>24</v>
      </c>
      <c r="C960" s="3" t="str">
        <f>IF($B960="GW1",VLOOKUP($A960,Matches!$A:$AC,2,FALSE),IF($B960="GW2",VLOOKUP($A960,Matches!$A:$AC,9,FALSE),IF($B960="GW3",VLOOKUP($A960,Matches!$A:$AC,16,FALSE))))</f>
        <v>Nott'm Forest</v>
      </c>
      <c r="D960" s="6">
        <v>0.40622334159320794</v>
      </c>
      <c r="E960" s="6">
        <v>0.31117749564351505</v>
      </c>
      <c r="F960" s="6">
        <v>9.5045845949692898E-2</v>
      </c>
      <c r="G960" s="3" t="s">
        <v>1</v>
      </c>
      <c r="H960" t="e">
        <v>#N/A</v>
      </c>
      <c r="I960" t="e">
        <v>#N/A</v>
      </c>
      <c r="J960" t="e">
        <v>#N/A</v>
      </c>
      <c r="K960">
        <v>0.33734939800000002</v>
      </c>
      <c r="L960">
        <v>0.311926606</v>
      </c>
      <c r="M960">
        <v>4.2145594000000001E-2</v>
      </c>
      <c r="N960" t="e">
        <v>#N/A</v>
      </c>
      <c r="O960" t="e">
        <v>#N/A</v>
      </c>
    </row>
    <row r="961" spans="1:15" x14ac:dyDescent="0.25">
      <c r="A961" t="s">
        <v>10</v>
      </c>
      <c r="B961" t="s">
        <v>24</v>
      </c>
      <c r="C961" s="3" t="str">
        <f>IF($B961="GW1",VLOOKUP($A961,Matches!$A:$AC,2,FALSE),IF($B961="GW2",VLOOKUP($A961,Matches!$A:$AC,9,FALSE),IF($B961="GW3",VLOOKUP($A961,Matches!$A:$AC,16,FALSE))))</f>
        <v>Nott'm Forest</v>
      </c>
      <c r="D961" s="6">
        <v>0.40622334159320794</v>
      </c>
      <c r="E961" s="6">
        <v>0.31117749564351505</v>
      </c>
      <c r="F961" s="6">
        <v>9.5045845949692898E-2</v>
      </c>
      <c r="G961" s="3" t="s">
        <v>1</v>
      </c>
      <c r="H961" t="e">
        <v>#N/A</v>
      </c>
      <c r="I961" t="e">
        <v>#N/A</v>
      </c>
      <c r="J961" t="e">
        <v>#N/A</v>
      </c>
      <c r="K961">
        <v>0.33734939800000002</v>
      </c>
      <c r="L961">
        <v>0.311926606</v>
      </c>
      <c r="M961">
        <v>4.2145594000000001E-2</v>
      </c>
      <c r="N961" t="e">
        <v>#N/A</v>
      </c>
      <c r="O961" t="e">
        <v>#N/A</v>
      </c>
    </row>
    <row r="962" spans="1:15" x14ac:dyDescent="0.25">
      <c r="A962" t="s">
        <v>11</v>
      </c>
      <c r="B962" t="s">
        <v>24</v>
      </c>
      <c r="C962" s="3" t="str">
        <f>IF($B962="GW1",VLOOKUP($A962,Matches!$A:$AC,2,FALSE),IF($B962="GW2",VLOOKUP($A962,Matches!$A:$AC,9,FALSE),IF($B962="GW3",VLOOKUP($A962,Matches!$A:$AC,16,FALSE))))</f>
        <v>Brighton</v>
      </c>
      <c r="D962" s="6">
        <v>0.32579657262005607</v>
      </c>
      <c r="E962" s="6">
        <v>0.39953653761636498</v>
      </c>
      <c r="F962" s="6">
        <v>-7.3739964996308915E-2</v>
      </c>
      <c r="G962" s="3" t="s">
        <v>1</v>
      </c>
      <c r="H962" t="e">
        <v>#N/A</v>
      </c>
      <c r="I962" t="e">
        <v>#N/A</v>
      </c>
      <c r="J962">
        <v>0.21164021199999999</v>
      </c>
      <c r="K962">
        <v>0.26778242699999999</v>
      </c>
      <c r="L962">
        <v>0.39230769199999999</v>
      </c>
      <c r="M962">
        <v>6.4254522999999994E-2</v>
      </c>
      <c r="N962">
        <v>0.63492063499999996</v>
      </c>
      <c r="O962">
        <v>0.11904761899999999</v>
      </c>
    </row>
    <row r="963" spans="1:15" x14ac:dyDescent="0.25">
      <c r="A963" t="s">
        <v>11</v>
      </c>
      <c r="B963" t="s">
        <v>24</v>
      </c>
      <c r="C963" s="3" t="str">
        <f>IF($B963="GW1",VLOOKUP($A963,Matches!$A:$AC,2,FALSE),IF($B963="GW2",VLOOKUP($A963,Matches!$A:$AC,9,FALSE),IF($B963="GW3",VLOOKUP($A963,Matches!$A:$AC,16,FALSE))))</f>
        <v>Brighton</v>
      </c>
      <c r="D963" s="6">
        <v>0.32579657262005607</v>
      </c>
      <c r="E963" s="6">
        <v>0.39953653761636498</v>
      </c>
      <c r="F963" s="6">
        <v>-7.3739964996308915E-2</v>
      </c>
      <c r="G963" s="3" t="s">
        <v>1</v>
      </c>
      <c r="H963" t="e">
        <v>#N/A</v>
      </c>
      <c r="I963" t="e">
        <v>#N/A</v>
      </c>
      <c r="J963">
        <v>0.112044818</v>
      </c>
      <c r="K963">
        <v>0.26778242699999999</v>
      </c>
      <c r="L963">
        <v>0.39230769199999999</v>
      </c>
      <c r="M963">
        <v>6.4254522999999994E-2</v>
      </c>
      <c r="N963" t="e">
        <v>#N/A</v>
      </c>
      <c r="O963" t="e">
        <v>#N/A</v>
      </c>
    </row>
    <row r="964" spans="1:15" x14ac:dyDescent="0.25">
      <c r="A964" t="s">
        <v>11</v>
      </c>
      <c r="B964" t="s">
        <v>24</v>
      </c>
      <c r="C964" s="3" t="str">
        <f>IF($B964="GW1",VLOOKUP($A964,Matches!$A:$AC,2,FALSE),IF($B964="GW2",VLOOKUP($A964,Matches!$A:$AC,9,FALSE),IF($B964="GW3",VLOOKUP($A964,Matches!$A:$AC,16,FALSE))))</f>
        <v>Brighton</v>
      </c>
      <c r="D964" s="6">
        <v>0.32579657262005607</v>
      </c>
      <c r="E964" s="6">
        <v>0.39953653761636498</v>
      </c>
      <c r="F964" s="6">
        <v>-7.3739964996308915E-2</v>
      </c>
      <c r="G964" s="3" t="s">
        <v>1</v>
      </c>
      <c r="H964" t="e">
        <v>#N/A</v>
      </c>
      <c r="I964" t="e">
        <v>#N/A</v>
      </c>
      <c r="J964">
        <v>7.3260072999999995E-2</v>
      </c>
      <c r="K964">
        <v>0.26778242699999999</v>
      </c>
      <c r="L964">
        <v>0.39230769199999999</v>
      </c>
      <c r="M964">
        <v>6.4254522999999994E-2</v>
      </c>
      <c r="N964" t="e">
        <v>#N/A</v>
      </c>
      <c r="O964" t="e">
        <v>#N/A</v>
      </c>
    </row>
    <row r="965" spans="1:15" x14ac:dyDescent="0.25">
      <c r="A965" t="s">
        <v>11</v>
      </c>
      <c r="B965" t="s">
        <v>24</v>
      </c>
      <c r="C965" s="3" t="str">
        <f>IF($B965="GW1",VLOOKUP($A965,Matches!$A:$AC,2,FALSE),IF($B965="GW2",VLOOKUP($A965,Matches!$A:$AC,9,FALSE),IF($B965="GW3",VLOOKUP($A965,Matches!$A:$AC,16,FALSE))))</f>
        <v>Brighton</v>
      </c>
      <c r="D965" s="6">
        <v>0.32579657262005607</v>
      </c>
      <c r="E965" s="6">
        <v>0.39953653761636498</v>
      </c>
      <c r="F965" s="6">
        <v>-7.3739964996308915E-2</v>
      </c>
      <c r="G965" s="3" t="s">
        <v>1</v>
      </c>
      <c r="H965">
        <v>5.6022409000000002E-2</v>
      </c>
      <c r="I965">
        <v>4.1407867000000001E-2</v>
      </c>
      <c r="J965">
        <v>0.23809523799999999</v>
      </c>
      <c r="K965">
        <v>0.26778242699999999</v>
      </c>
      <c r="L965">
        <v>0.39230769199999999</v>
      </c>
      <c r="M965">
        <v>6.4254522999999994E-2</v>
      </c>
      <c r="N965" t="e">
        <v>#N/A</v>
      </c>
      <c r="O965" t="e">
        <v>#N/A</v>
      </c>
    </row>
    <row r="966" spans="1:15" x14ac:dyDescent="0.25">
      <c r="A966" t="s">
        <v>11</v>
      </c>
      <c r="B966" t="s">
        <v>24</v>
      </c>
      <c r="C966" s="3" t="str">
        <f>IF($B966="GW1",VLOOKUP($A966,Matches!$A:$AC,2,FALSE),IF($B966="GW2",VLOOKUP($A966,Matches!$A:$AC,9,FALSE),IF($B966="GW3",VLOOKUP($A966,Matches!$A:$AC,16,FALSE))))</f>
        <v>Brighton</v>
      </c>
      <c r="D966" s="6">
        <v>0.32579657262005607</v>
      </c>
      <c r="E966" s="6">
        <v>0.39953653761636498</v>
      </c>
      <c r="F966" s="6">
        <v>-7.3739964996308915E-2</v>
      </c>
      <c r="G966" s="3" t="s">
        <v>1</v>
      </c>
      <c r="H966">
        <v>9.5238094999999995E-2</v>
      </c>
      <c r="I966">
        <v>7.3260072999999995E-2</v>
      </c>
      <c r="J966">
        <v>0.26455026500000001</v>
      </c>
      <c r="K966">
        <v>0.26778242699999999</v>
      </c>
      <c r="L966">
        <v>0.39230769199999999</v>
      </c>
      <c r="M966">
        <v>6.4254522999999994E-2</v>
      </c>
      <c r="N966" t="e">
        <v>#N/A</v>
      </c>
      <c r="O966" t="e">
        <v>#N/A</v>
      </c>
    </row>
    <row r="967" spans="1:15" x14ac:dyDescent="0.25">
      <c r="A967" t="s">
        <v>11</v>
      </c>
      <c r="B967" t="s">
        <v>24</v>
      </c>
      <c r="C967" s="3" t="str">
        <f>IF($B967="GW1",VLOOKUP($A967,Matches!$A:$AC,2,FALSE),IF($B967="GW2",VLOOKUP($A967,Matches!$A:$AC,9,FALSE),IF($B967="GW3",VLOOKUP($A967,Matches!$A:$AC,16,FALSE))))</f>
        <v>Brighton</v>
      </c>
      <c r="D967" s="6">
        <v>0.32579657262005607</v>
      </c>
      <c r="E967" s="6">
        <v>0.39953653761636498</v>
      </c>
      <c r="F967" s="6">
        <v>-7.3739964996308915E-2</v>
      </c>
      <c r="G967" s="3" t="s">
        <v>1</v>
      </c>
      <c r="H967" t="e">
        <v>#N/A</v>
      </c>
      <c r="I967" t="e">
        <v>#N/A</v>
      </c>
      <c r="J967" t="e">
        <v>#N/A</v>
      </c>
      <c r="K967">
        <v>0.26778242699999999</v>
      </c>
      <c r="L967">
        <v>0.39230769199999999</v>
      </c>
      <c r="M967">
        <v>6.4254522999999994E-2</v>
      </c>
      <c r="N967" t="e">
        <v>#N/A</v>
      </c>
      <c r="O967" t="e">
        <v>#N/A</v>
      </c>
    </row>
    <row r="968" spans="1:15" x14ac:dyDescent="0.25">
      <c r="A968" t="s">
        <v>11</v>
      </c>
      <c r="B968" t="s">
        <v>24</v>
      </c>
      <c r="C968" s="3" t="str">
        <f>IF($B968="GW1",VLOOKUP($A968,Matches!$A:$AC,2,FALSE),IF($B968="GW2",VLOOKUP($A968,Matches!$A:$AC,9,FALSE),IF($B968="GW3",VLOOKUP($A968,Matches!$A:$AC,16,FALSE))))</f>
        <v>Brighton</v>
      </c>
      <c r="D968" s="6">
        <v>0.32579657262005607</v>
      </c>
      <c r="E968" s="6">
        <v>0.39953653761636498</v>
      </c>
      <c r="F968" s="6">
        <v>-7.3739964996308915E-2</v>
      </c>
      <c r="G968" s="3" t="s">
        <v>1</v>
      </c>
      <c r="H968">
        <v>7.3260072999999995E-2</v>
      </c>
      <c r="I968">
        <v>6.3492063000000001E-2</v>
      </c>
      <c r="J968">
        <v>0.19047618999999999</v>
      </c>
      <c r="K968">
        <v>0.26778242699999999</v>
      </c>
      <c r="L968">
        <v>0.39230769199999999</v>
      </c>
      <c r="M968">
        <v>6.4254522999999994E-2</v>
      </c>
      <c r="N968" t="e">
        <v>#N/A</v>
      </c>
      <c r="O968" t="e">
        <v>#N/A</v>
      </c>
    </row>
    <row r="969" spans="1:15" x14ac:dyDescent="0.25">
      <c r="A969" t="s">
        <v>11</v>
      </c>
      <c r="B969" t="s">
        <v>24</v>
      </c>
      <c r="C969" s="3" t="str">
        <f>IF($B969="GW1",VLOOKUP($A969,Matches!$A:$AC,2,FALSE),IF($B969="GW2",VLOOKUP($A969,Matches!$A:$AC,9,FALSE),IF($B969="GW3",VLOOKUP($A969,Matches!$A:$AC,16,FALSE))))</f>
        <v>Brighton</v>
      </c>
      <c r="D969" s="6">
        <v>0.32579657262005607</v>
      </c>
      <c r="E969" s="6">
        <v>0.39953653761636498</v>
      </c>
      <c r="F969" s="6">
        <v>-7.3739964996308915E-2</v>
      </c>
      <c r="G969" s="3" t="s">
        <v>1</v>
      </c>
      <c r="H969" t="e">
        <v>#N/A</v>
      </c>
      <c r="I969" t="e">
        <v>#N/A</v>
      </c>
      <c r="J969" t="e">
        <v>#N/A</v>
      </c>
      <c r="K969">
        <v>0.26778242699999999</v>
      </c>
      <c r="L969">
        <v>0.39230769199999999</v>
      </c>
      <c r="M969">
        <v>6.4254522999999994E-2</v>
      </c>
      <c r="N969" t="e">
        <v>#N/A</v>
      </c>
      <c r="O969" t="e">
        <v>#N/A</v>
      </c>
    </row>
    <row r="970" spans="1:15" x14ac:dyDescent="0.25">
      <c r="A970" t="s">
        <v>11</v>
      </c>
      <c r="B970" t="s">
        <v>24</v>
      </c>
      <c r="C970" s="3" t="str">
        <f>IF($B970="GW1",VLOOKUP($A970,Matches!$A:$AC,2,FALSE),IF($B970="GW2",VLOOKUP($A970,Matches!$A:$AC,9,FALSE),IF($B970="GW3",VLOOKUP($A970,Matches!$A:$AC,16,FALSE))))</f>
        <v>Brighton</v>
      </c>
      <c r="D970" s="6">
        <v>0.32579657262005607</v>
      </c>
      <c r="E970" s="6">
        <v>0.39953653761636498</v>
      </c>
      <c r="F970" s="6">
        <v>-7.3739964996308915E-2</v>
      </c>
      <c r="G970" s="3" t="s">
        <v>1</v>
      </c>
      <c r="H970">
        <v>8.6580087E-2</v>
      </c>
      <c r="I970">
        <v>4.5351474000000003E-2</v>
      </c>
      <c r="J970">
        <v>0.21164021199999999</v>
      </c>
      <c r="K970">
        <v>0.26778242699999999</v>
      </c>
      <c r="L970">
        <v>0.39230769199999999</v>
      </c>
      <c r="M970">
        <v>6.4254522999999994E-2</v>
      </c>
      <c r="N970" t="e">
        <v>#N/A</v>
      </c>
      <c r="O970" t="e">
        <v>#N/A</v>
      </c>
    </row>
    <row r="971" spans="1:15" x14ac:dyDescent="0.25">
      <c r="A971" t="s">
        <v>11</v>
      </c>
      <c r="B971" t="s">
        <v>24</v>
      </c>
      <c r="C971" s="3" t="str">
        <f>IF($B971="GW1",VLOOKUP($A971,Matches!$A:$AC,2,FALSE),IF($B971="GW2",VLOOKUP($A971,Matches!$A:$AC,9,FALSE),IF($B971="GW3",VLOOKUP($A971,Matches!$A:$AC,16,FALSE))))</f>
        <v>Brighton</v>
      </c>
      <c r="D971" s="6">
        <v>0.32579657262005607</v>
      </c>
      <c r="E971" s="6">
        <v>0.39953653761636498</v>
      </c>
      <c r="F971" s="6">
        <v>-7.3739964996308915E-2</v>
      </c>
      <c r="G971" s="3" t="s">
        <v>1</v>
      </c>
      <c r="H971">
        <v>5.6022409000000002E-2</v>
      </c>
      <c r="I971">
        <v>8.6580087E-2</v>
      </c>
      <c r="J971">
        <v>0.23809523799999999</v>
      </c>
      <c r="K971">
        <v>0.26778242699999999</v>
      </c>
      <c r="L971">
        <v>0.39230769199999999</v>
      </c>
      <c r="M971">
        <v>6.4254522999999994E-2</v>
      </c>
      <c r="N971" t="e">
        <v>#N/A</v>
      </c>
      <c r="O971" t="e">
        <v>#N/A</v>
      </c>
    </row>
    <row r="972" spans="1:15" x14ac:dyDescent="0.25">
      <c r="A972" t="s">
        <v>11</v>
      </c>
      <c r="B972" t="s">
        <v>24</v>
      </c>
      <c r="C972" s="3" t="str">
        <f>IF($B972="GW1",VLOOKUP($A972,Matches!$A:$AC,2,FALSE),IF($B972="GW2",VLOOKUP($A972,Matches!$A:$AC,9,FALSE),IF($B972="GW3",VLOOKUP($A972,Matches!$A:$AC,16,FALSE))))</f>
        <v>Brighton</v>
      </c>
      <c r="D972" s="6">
        <v>0.32579657262005607</v>
      </c>
      <c r="E972" s="6">
        <v>0.39953653761636498</v>
      </c>
      <c r="F972" s="6">
        <v>-7.3739964996308915E-2</v>
      </c>
      <c r="G972" s="3" t="s">
        <v>1</v>
      </c>
      <c r="H972" t="e">
        <v>#N/A</v>
      </c>
      <c r="I972" t="e">
        <v>#N/A</v>
      </c>
      <c r="J972" t="e">
        <v>#N/A</v>
      </c>
      <c r="K972">
        <v>0.26778242699999999</v>
      </c>
      <c r="L972">
        <v>0.39230769199999999</v>
      </c>
      <c r="M972">
        <v>6.4254522999999994E-2</v>
      </c>
      <c r="N972" t="e">
        <v>#N/A</v>
      </c>
      <c r="O972" t="e">
        <v>#N/A</v>
      </c>
    </row>
    <row r="973" spans="1:15" x14ac:dyDescent="0.25">
      <c r="A973" t="s">
        <v>11</v>
      </c>
      <c r="B973" t="s">
        <v>24</v>
      </c>
      <c r="C973" s="3" t="str">
        <f>IF($B973="GW1",VLOOKUP($A973,Matches!$A:$AC,2,FALSE),IF($B973="GW2",VLOOKUP($A973,Matches!$A:$AC,9,FALSE),IF($B973="GW3",VLOOKUP($A973,Matches!$A:$AC,16,FALSE))))</f>
        <v>Brighton</v>
      </c>
      <c r="D973" s="6">
        <v>0.32579657262005607</v>
      </c>
      <c r="E973" s="6">
        <v>0.39953653761636498</v>
      </c>
      <c r="F973" s="6">
        <v>-7.3739964996308915E-2</v>
      </c>
      <c r="G973" s="3" t="s">
        <v>1</v>
      </c>
      <c r="H973" t="e">
        <v>#N/A</v>
      </c>
      <c r="I973" t="e">
        <v>#N/A</v>
      </c>
      <c r="J973" t="e">
        <v>#N/A</v>
      </c>
      <c r="K973">
        <v>0.26778242699999999</v>
      </c>
      <c r="L973">
        <v>0.39230769199999999</v>
      </c>
      <c r="M973">
        <v>6.4254522999999994E-2</v>
      </c>
      <c r="N973" t="e">
        <v>#N/A</v>
      </c>
      <c r="O973" t="e">
        <v>#N/A</v>
      </c>
    </row>
    <row r="974" spans="1:15" x14ac:dyDescent="0.25">
      <c r="A974" t="s">
        <v>11</v>
      </c>
      <c r="B974" t="s">
        <v>24</v>
      </c>
      <c r="C974" s="3" t="str">
        <f>IF($B974="GW1",VLOOKUP($A974,Matches!$A:$AC,2,FALSE),IF($B974="GW2",VLOOKUP($A974,Matches!$A:$AC,9,FALSE),IF($B974="GW3",VLOOKUP($A974,Matches!$A:$AC,16,FALSE))))</f>
        <v>Brighton</v>
      </c>
      <c r="D974" s="6">
        <v>0.32579657262005607</v>
      </c>
      <c r="E974" s="6">
        <v>0.39953653761636498</v>
      </c>
      <c r="F974" s="6">
        <v>-7.3739964996308915E-2</v>
      </c>
      <c r="G974" s="3" t="s">
        <v>1</v>
      </c>
      <c r="H974" t="e">
        <v>#N/A</v>
      </c>
      <c r="I974" t="e">
        <v>#N/A</v>
      </c>
      <c r="J974" t="e">
        <v>#N/A</v>
      </c>
      <c r="K974">
        <v>0.26778242699999999</v>
      </c>
      <c r="L974">
        <v>0.39230769199999999</v>
      </c>
      <c r="M974">
        <v>6.4254522999999994E-2</v>
      </c>
      <c r="N974" t="e">
        <v>#N/A</v>
      </c>
      <c r="O974" t="e">
        <v>#N/A</v>
      </c>
    </row>
    <row r="975" spans="1:15" x14ac:dyDescent="0.25">
      <c r="A975" t="s">
        <v>11</v>
      </c>
      <c r="B975" t="s">
        <v>24</v>
      </c>
      <c r="C975" s="3" t="str">
        <f>IF($B975="GW1",VLOOKUP($A975,Matches!$A:$AC,2,FALSE),IF($B975="GW2",VLOOKUP($A975,Matches!$A:$AC,9,FALSE),IF($B975="GW3",VLOOKUP($A975,Matches!$A:$AC,16,FALSE))))</f>
        <v>Brighton</v>
      </c>
      <c r="D975" s="6">
        <v>0.32579657262005607</v>
      </c>
      <c r="E975" s="6">
        <v>0.39953653761636498</v>
      </c>
      <c r="F975" s="6">
        <v>-7.3739964996308915E-2</v>
      </c>
      <c r="G975" s="3" t="s">
        <v>1</v>
      </c>
      <c r="H975">
        <v>0.19047618999999999</v>
      </c>
      <c r="I975">
        <v>0.14652014699999999</v>
      </c>
      <c r="J975">
        <v>0.112044818</v>
      </c>
      <c r="K975">
        <v>0.26778242699999999</v>
      </c>
      <c r="L975">
        <v>0.39230769199999999</v>
      </c>
      <c r="M975">
        <v>6.4254522999999994E-2</v>
      </c>
      <c r="N975" t="e">
        <v>#N/A</v>
      </c>
      <c r="O975" t="e">
        <v>#N/A</v>
      </c>
    </row>
    <row r="976" spans="1:15" x14ac:dyDescent="0.25">
      <c r="A976" t="s">
        <v>11</v>
      </c>
      <c r="B976" t="s">
        <v>24</v>
      </c>
      <c r="C976" s="3" t="str">
        <f>IF($B976="GW1",VLOOKUP($A976,Matches!$A:$AC,2,FALSE),IF($B976="GW2",VLOOKUP($A976,Matches!$A:$AC,9,FALSE),IF($B976="GW3",VLOOKUP($A976,Matches!$A:$AC,16,FALSE))))</f>
        <v>Brighton</v>
      </c>
      <c r="D976" s="6">
        <v>0.32579657262005607</v>
      </c>
      <c r="E976" s="6">
        <v>0.39953653761636498</v>
      </c>
      <c r="F976" s="6">
        <v>-7.3739964996308915E-2</v>
      </c>
      <c r="G976" s="3" t="s">
        <v>1</v>
      </c>
      <c r="H976">
        <v>0.19047618999999999</v>
      </c>
      <c r="I976">
        <v>0.14652014699999999</v>
      </c>
      <c r="J976">
        <v>0.28011204499999998</v>
      </c>
      <c r="K976">
        <v>0.26778242699999999</v>
      </c>
      <c r="L976">
        <v>0.39230769199999999</v>
      </c>
      <c r="M976">
        <v>6.4254522999999994E-2</v>
      </c>
      <c r="N976" t="e">
        <v>#N/A</v>
      </c>
      <c r="O976" t="e">
        <v>#N/A</v>
      </c>
    </row>
    <row r="977" spans="1:15" x14ac:dyDescent="0.25">
      <c r="A977" t="s">
        <v>11</v>
      </c>
      <c r="B977" t="s">
        <v>24</v>
      </c>
      <c r="C977" s="3" t="str">
        <f>IF($B977="GW1",VLOOKUP($A977,Matches!$A:$AC,2,FALSE),IF($B977="GW2",VLOOKUP($A977,Matches!$A:$AC,9,FALSE),IF($B977="GW3",VLOOKUP($A977,Matches!$A:$AC,16,FALSE))))</f>
        <v>Brighton</v>
      </c>
      <c r="D977" s="6">
        <v>0.32579657262005607</v>
      </c>
      <c r="E977" s="6">
        <v>0.39953653761636498</v>
      </c>
      <c r="F977" s="6">
        <v>-7.3739964996308915E-2</v>
      </c>
      <c r="G977" s="3" t="s">
        <v>1</v>
      </c>
      <c r="H977">
        <v>9.5238094999999995E-2</v>
      </c>
      <c r="I977">
        <v>5.6022409000000002E-2</v>
      </c>
      <c r="J977">
        <v>0.23809523799999999</v>
      </c>
      <c r="K977">
        <v>0.26778242699999999</v>
      </c>
      <c r="L977">
        <v>0.39230769199999999</v>
      </c>
      <c r="M977">
        <v>6.4254522999999994E-2</v>
      </c>
      <c r="N977" t="e">
        <v>#N/A</v>
      </c>
      <c r="O977" t="e">
        <v>#N/A</v>
      </c>
    </row>
    <row r="978" spans="1:15" x14ac:dyDescent="0.25">
      <c r="A978" t="s">
        <v>11</v>
      </c>
      <c r="B978" t="s">
        <v>24</v>
      </c>
      <c r="C978" s="3" t="str">
        <f>IF($B978="GW1",VLOOKUP($A978,Matches!$A:$AC,2,FALSE),IF($B978="GW2",VLOOKUP($A978,Matches!$A:$AC,9,FALSE),IF($B978="GW3",VLOOKUP($A978,Matches!$A:$AC,16,FALSE))))</f>
        <v>Brighton</v>
      </c>
      <c r="D978" s="6">
        <v>0.32579657262005607</v>
      </c>
      <c r="E978" s="6">
        <v>0.39953653761636498</v>
      </c>
      <c r="F978" s="6">
        <v>-7.3739964996308915E-2</v>
      </c>
      <c r="G978" s="3" t="s">
        <v>1</v>
      </c>
      <c r="H978">
        <v>0.112044818</v>
      </c>
      <c r="I978">
        <v>0.105820106</v>
      </c>
      <c r="J978">
        <v>0.23809523799999999</v>
      </c>
      <c r="K978">
        <v>0.26778242699999999</v>
      </c>
      <c r="L978">
        <v>0.39230769199999999</v>
      </c>
      <c r="M978">
        <v>6.4254522999999994E-2</v>
      </c>
      <c r="N978" t="e">
        <v>#N/A</v>
      </c>
      <c r="O978" t="e">
        <v>#N/A</v>
      </c>
    </row>
    <row r="979" spans="1:15" x14ac:dyDescent="0.25">
      <c r="A979" t="s">
        <v>11</v>
      </c>
      <c r="B979" t="s">
        <v>24</v>
      </c>
      <c r="C979" s="3" t="str">
        <f>IF($B979="GW1",VLOOKUP($A979,Matches!$A:$AC,2,FALSE),IF($B979="GW2",VLOOKUP($A979,Matches!$A:$AC,9,FALSE),IF($B979="GW3",VLOOKUP($A979,Matches!$A:$AC,16,FALSE))))</f>
        <v>Brighton</v>
      </c>
      <c r="D979" s="6">
        <v>0.32579657262005607</v>
      </c>
      <c r="E979" s="6">
        <v>0.39953653761636498</v>
      </c>
      <c r="F979" s="6">
        <v>-7.3739964996308915E-2</v>
      </c>
      <c r="G979" s="3" t="s">
        <v>1</v>
      </c>
      <c r="H979" t="e">
        <v>#N/A</v>
      </c>
      <c r="I979" t="e">
        <v>#N/A</v>
      </c>
      <c r="J979" t="e">
        <v>#N/A</v>
      </c>
      <c r="K979">
        <v>0.26778242699999999</v>
      </c>
      <c r="L979">
        <v>0.39230769199999999</v>
      </c>
      <c r="M979">
        <v>6.4254522999999994E-2</v>
      </c>
      <c r="N979" t="e">
        <v>#N/A</v>
      </c>
      <c r="O979" t="e">
        <v>#N/A</v>
      </c>
    </row>
    <row r="980" spans="1:15" x14ac:dyDescent="0.25">
      <c r="A980" t="s">
        <v>11</v>
      </c>
      <c r="B980" t="s">
        <v>24</v>
      </c>
      <c r="C980" s="3" t="str">
        <f>IF($B980="GW1",VLOOKUP($A980,Matches!$A:$AC,2,FALSE),IF($B980="GW2",VLOOKUP($A980,Matches!$A:$AC,9,FALSE),IF($B980="GW3",VLOOKUP($A980,Matches!$A:$AC,16,FALSE))))</f>
        <v>Brighton</v>
      </c>
      <c r="D980" s="6">
        <v>0.32579657262005607</v>
      </c>
      <c r="E980" s="6">
        <v>0.39953653761636498</v>
      </c>
      <c r="F980" s="6">
        <v>-7.3739964996308915E-2</v>
      </c>
      <c r="G980" s="3" t="s">
        <v>1</v>
      </c>
      <c r="H980">
        <v>0.112044818</v>
      </c>
      <c r="I980">
        <v>7.3260072999999995E-2</v>
      </c>
      <c r="J980">
        <v>0.23809523799999999</v>
      </c>
      <c r="K980">
        <v>0.26778242699999999</v>
      </c>
      <c r="L980">
        <v>0.39230769199999999</v>
      </c>
      <c r="M980">
        <v>6.4254522999999994E-2</v>
      </c>
      <c r="N980" t="e">
        <v>#N/A</v>
      </c>
      <c r="O980" t="e">
        <v>#N/A</v>
      </c>
    </row>
    <row r="981" spans="1:15" x14ac:dyDescent="0.25">
      <c r="A981" t="s">
        <v>11</v>
      </c>
      <c r="B981" t="s">
        <v>24</v>
      </c>
      <c r="C981" s="3" t="str">
        <f>IF($B981="GW1",VLOOKUP($A981,Matches!$A:$AC,2,FALSE),IF($B981="GW2",VLOOKUP($A981,Matches!$A:$AC,9,FALSE),IF($B981="GW3",VLOOKUP($A981,Matches!$A:$AC,16,FALSE))))</f>
        <v>Brighton</v>
      </c>
      <c r="D981" s="6">
        <v>0.32579657262005607</v>
      </c>
      <c r="E981" s="6">
        <v>0.39953653761636498</v>
      </c>
      <c r="F981" s="6">
        <v>-7.3739964996308915E-2</v>
      </c>
      <c r="G981" s="3" t="s">
        <v>1</v>
      </c>
      <c r="H981" t="e">
        <v>#N/A</v>
      </c>
      <c r="I981" t="e">
        <v>#N/A</v>
      </c>
      <c r="J981" t="e">
        <v>#N/A</v>
      </c>
      <c r="K981">
        <v>0.26778242699999999</v>
      </c>
      <c r="L981">
        <v>0.39230769199999999</v>
      </c>
      <c r="M981">
        <v>6.4254522999999994E-2</v>
      </c>
      <c r="N981" t="e">
        <v>#N/A</v>
      </c>
      <c r="O981" t="e">
        <v>#N/A</v>
      </c>
    </row>
    <row r="982" spans="1:15" x14ac:dyDescent="0.25">
      <c r="A982" t="s">
        <v>11</v>
      </c>
      <c r="B982" t="s">
        <v>24</v>
      </c>
      <c r="C982" s="3" t="str">
        <f>IF($B982="GW1",VLOOKUP($A982,Matches!$A:$AC,2,FALSE),IF($B982="GW2",VLOOKUP($A982,Matches!$A:$AC,9,FALSE),IF($B982="GW3",VLOOKUP($A982,Matches!$A:$AC,16,FALSE))))</f>
        <v>Brighton</v>
      </c>
      <c r="D982" s="6">
        <v>0.32579657262005607</v>
      </c>
      <c r="E982" s="6">
        <v>0.39953653761636498</v>
      </c>
      <c r="F982" s="6">
        <v>-7.3739964996308915E-2</v>
      </c>
      <c r="G982" s="3" t="s">
        <v>1</v>
      </c>
      <c r="H982" t="e">
        <v>#N/A</v>
      </c>
      <c r="I982" t="e">
        <v>#N/A</v>
      </c>
      <c r="J982" t="e">
        <v>#N/A</v>
      </c>
      <c r="K982">
        <v>0.26778242699999999</v>
      </c>
      <c r="L982">
        <v>0.39230769199999999</v>
      </c>
      <c r="M982">
        <v>6.4254522999999994E-2</v>
      </c>
      <c r="N982" t="e">
        <v>#N/A</v>
      </c>
      <c r="O982" t="e">
        <v>#N/A</v>
      </c>
    </row>
    <row r="983" spans="1:15" x14ac:dyDescent="0.25">
      <c r="A983" t="s">
        <v>11</v>
      </c>
      <c r="B983" t="s">
        <v>24</v>
      </c>
      <c r="C983" s="3" t="str">
        <f>IF($B983="GW1",VLOOKUP($A983,Matches!$A:$AC,2,FALSE),IF($B983="GW2",VLOOKUP($A983,Matches!$A:$AC,9,FALSE),IF($B983="GW3",VLOOKUP($A983,Matches!$A:$AC,16,FALSE))))</f>
        <v>Brighton</v>
      </c>
      <c r="D983" s="6">
        <v>0.32579657262005607</v>
      </c>
      <c r="E983" s="6">
        <v>0.39953653761636498</v>
      </c>
      <c r="F983" s="6">
        <v>-7.3739964996308915E-2</v>
      </c>
      <c r="G983" s="3" t="s">
        <v>1</v>
      </c>
      <c r="H983">
        <v>0.173160173</v>
      </c>
      <c r="I983">
        <v>6.3492063000000001E-2</v>
      </c>
      <c r="J983">
        <v>0.21164021199999999</v>
      </c>
      <c r="K983">
        <v>0.26778242699999999</v>
      </c>
      <c r="L983">
        <v>0.39230769199999999</v>
      </c>
      <c r="M983">
        <v>6.4254522999999994E-2</v>
      </c>
      <c r="N983" t="e">
        <v>#N/A</v>
      </c>
      <c r="O983" t="e">
        <v>#N/A</v>
      </c>
    </row>
    <row r="984" spans="1:15" x14ac:dyDescent="0.25">
      <c r="A984" t="s">
        <v>11</v>
      </c>
      <c r="B984" t="s">
        <v>24</v>
      </c>
      <c r="C984" s="3" t="str">
        <f>IF($B984="GW1",VLOOKUP($A984,Matches!$A:$AC,2,FALSE),IF($B984="GW2",VLOOKUP($A984,Matches!$A:$AC,9,FALSE),IF($B984="GW3",VLOOKUP($A984,Matches!$A:$AC,16,FALSE))))</f>
        <v>Brighton</v>
      </c>
      <c r="D984" s="6">
        <v>0.32579657262005607</v>
      </c>
      <c r="E984" s="6">
        <v>0.39953653761636498</v>
      </c>
      <c r="F984" s="6">
        <v>-7.3739964996308915E-2</v>
      </c>
      <c r="G984" s="3" t="s">
        <v>1</v>
      </c>
      <c r="H984" t="e">
        <v>#N/A</v>
      </c>
      <c r="I984" t="e">
        <v>#N/A</v>
      </c>
      <c r="J984" t="e">
        <v>#N/A</v>
      </c>
      <c r="K984">
        <v>0.26778242699999999</v>
      </c>
      <c r="L984">
        <v>0.39230769199999999</v>
      </c>
      <c r="M984">
        <v>6.4254522999999994E-2</v>
      </c>
      <c r="N984" t="e">
        <v>#N/A</v>
      </c>
      <c r="O984" t="e">
        <v>#N/A</v>
      </c>
    </row>
    <row r="985" spans="1:15" x14ac:dyDescent="0.25">
      <c r="A985" t="s">
        <v>11</v>
      </c>
      <c r="B985" t="s">
        <v>24</v>
      </c>
      <c r="C985" s="3" t="str">
        <f>IF($B985="GW1",VLOOKUP($A985,Matches!$A:$AC,2,FALSE),IF($B985="GW2",VLOOKUP($A985,Matches!$A:$AC,9,FALSE),IF($B985="GW3",VLOOKUP($A985,Matches!$A:$AC,16,FALSE))))</f>
        <v>Brighton</v>
      </c>
      <c r="D985" s="6">
        <v>0.32579657262005607</v>
      </c>
      <c r="E985" s="6">
        <v>0.39953653761636498</v>
      </c>
      <c r="F985" s="6">
        <v>-7.3739964996308915E-2</v>
      </c>
      <c r="G985" s="3" t="s">
        <v>1</v>
      </c>
      <c r="H985">
        <v>0.297619048</v>
      </c>
      <c r="I985">
        <v>0.105820106</v>
      </c>
      <c r="J985">
        <v>0.23809523799999999</v>
      </c>
      <c r="K985">
        <v>0.26778242699999999</v>
      </c>
      <c r="L985">
        <v>0.39230769199999999</v>
      </c>
      <c r="M985">
        <v>6.4254522999999994E-2</v>
      </c>
      <c r="N985" t="e">
        <v>#N/A</v>
      </c>
      <c r="O985" t="e">
        <v>#N/A</v>
      </c>
    </row>
    <row r="986" spans="1:15" x14ac:dyDescent="0.25">
      <c r="A986" t="s">
        <v>11</v>
      </c>
      <c r="B986" t="s">
        <v>24</v>
      </c>
      <c r="C986" s="3" t="str">
        <f>IF($B986="GW1",VLOOKUP($A986,Matches!$A:$AC,2,FALSE),IF($B986="GW2",VLOOKUP($A986,Matches!$A:$AC,9,FALSE),IF($B986="GW3",VLOOKUP($A986,Matches!$A:$AC,16,FALSE))))</f>
        <v>Brighton</v>
      </c>
      <c r="D986" s="6">
        <v>0.32579657262005607</v>
      </c>
      <c r="E986" s="6">
        <v>0.39953653761636498</v>
      </c>
      <c r="F986" s="6">
        <v>-7.3739964996308915E-2</v>
      </c>
      <c r="G986" s="3" t="s">
        <v>1</v>
      </c>
      <c r="H986">
        <v>0.28011204499999998</v>
      </c>
      <c r="I986">
        <v>7.3260072999999995E-2</v>
      </c>
      <c r="J986">
        <v>0.15873015900000001</v>
      </c>
      <c r="K986">
        <v>0.26778242699999999</v>
      </c>
      <c r="L986">
        <v>0.39230769199999999</v>
      </c>
      <c r="M986">
        <v>6.4254522999999994E-2</v>
      </c>
      <c r="N986" t="e">
        <v>#N/A</v>
      </c>
      <c r="O986" t="e">
        <v>#N/A</v>
      </c>
    </row>
    <row r="987" spans="1:15" x14ac:dyDescent="0.25">
      <c r="A987" t="s">
        <v>11</v>
      </c>
      <c r="B987" t="s">
        <v>24</v>
      </c>
      <c r="C987" s="3" t="str">
        <f>IF($B987="GW1",VLOOKUP($A987,Matches!$A:$AC,2,FALSE),IF($B987="GW2",VLOOKUP($A987,Matches!$A:$AC,9,FALSE),IF($B987="GW3",VLOOKUP($A987,Matches!$A:$AC,16,FALSE))))</f>
        <v>Brighton</v>
      </c>
      <c r="D987" s="6">
        <v>0.32579657262005607</v>
      </c>
      <c r="E987" s="6">
        <v>0.39953653761636498</v>
      </c>
      <c r="F987" s="6">
        <v>-7.3739964996308915E-2</v>
      </c>
      <c r="G987" s="3" t="s">
        <v>1</v>
      </c>
      <c r="H987" t="e">
        <v>#N/A</v>
      </c>
      <c r="I987" t="e">
        <v>#N/A</v>
      </c>
      <c r="J987" t="e">
        <v>#N/A</v>
      </c>
      <c r="K987">
        <v>0.26778242699999999</v>
      </c>
      <c r="L987">
        <v>0.39230769199999999</v>
      </c>
      <c r="M987">
        <v>6.4254522999999994E-2</v>
      </c>
      <c r="N987" t="e">
        <v>#N/A</v>
      </c>
      <c r="O987" t="e">
        <v>#N/A</v>
      </c>
    </row>
    <row r="988" spans="1:15" x14ac:dyDescent="0.25">
      <c r="A988" t="s">
        <v>11</v>
      </c>
      <c r="B988" t="s">
        <v>24</v>
      </c>
      <c r="C988" s="3" t="str">
        <f>IF($B988="GW1",VLOOKUP($A988,Matches!$A:$AC,2,FALSE),IF($B988="GW2",VLOOKUP($A988,Matches!$A:$AC,9,FALSE),IF($B988="GW3",VLOOKUP($A988,Matches!$A:$AC,16,FALSE))))</f>
        <v>Brighton</v>
      </c>
      <c r="D988" s="6">
        <v>0.32579657262005607</v>
      </c>
      <c r="E988" s="6">
        <v>0.39953653761636498</v>
      </c>
      <c r="F988" s="6">
        <v>-7.3739964996308915E-2</v>
      </c>
      <c r="G988" s="3" t="s">
        <v>1</v>
      </c>
      <c r="H988" t="e">
        <v>#N/A</v>
      </c>
      <c r="I988" t="e">
        <v>#N/A</v>
      </c>
      <c r="J988" t="e">
        <v>#N/A</v>
      </c>
      <c r="K988">
        <v>0.26778242699999999</v>
      </c>
      <c r="L988">
        <v>0.39230769199999999</v>
      </c>
      <c r="M988">
        <v>6.4254522999999994E-2</v>
      </c>
      <c r="N988" t="e">
        <v>#N/A</v>
      </c>
      <c r="O988" t="e">
        <v>#N/A</v>
      </c>
    </row>
    <row r="989" spans="1:15" x14ac:dyDescent="0.25">
      <c r="A989" t="s">
        <v>11</v>
      </c>
      <c r="B989" t="s">
        <v>24</v>
      </c>
      <c r="C989" s="3" t="str">
        <f>IF($B989="GW1",VLOOKUP($A989,Matches!$A:$AC,2,FALSE),IF($B989="GW2",VLOOKUP($A989,Matches!$A:$AC,9,FALSE),IF($B989="GW3",VLOOKUP($A989,Matches!$A:$AC,16,FALSE))))</f>
        <v>Brighton</v>
      </c>
      <c r="D989" s="6">
        <v>0.32579657262005607</v>
      </c>
      <c r="E989" s="6">
        <v>0.39953653761636498</v>
      </c>
      <c r="F989" s="6">
        <v>-7.3739964996308915E-2</v>
      </c>
      <c r="G989" s="3" t="s">
        <v>1</v>
      </c>
      <c r="H989">
        <v>8.6580087E-2</v>
      </c>
      <c r="I989">
        <v>5.0125312999999998E-2</v>
      </c>
      <c r="J989">
        <v>0.23809523799999999</v>
      </c>
      <c r="K989">
        <v>0.26778242699999999</v>
      </c>
      <c r="L989">
        <v>0.39230769199999999</v>
      </c>
      <c r="M989">
        <v>6.4254522999999994E-2</v>
      </c>
      <c r="N989" t="e">
        <v>#N/A</v>
      </c>
      <c r="O989" t="e">
        <v>#N/A</v>
      </c>
    </row>
    <row r="990" spans="1:15" x14ac:dyDescent="0.25">
      <c r="A990" t="s">
        <v>12</v>
      </c>
      <c r="B990" t="s">
        <v>24</v>
      </c>
      <c r="C990" s="3" t="str">
        <f>IF($B990="GW1",VLOOKUP($A990,Matches!$A:$AC,2,FALSE),IF($B990="GW2",VLOOKUP($A990,Matches!$A:$AC,9,FALSE),IF($B990="GW3",VLOOKUP($A990,Matches!$A:$AC,16,FALSE))))</f>
        <v>Man Utd</v>
      </c>
      <c r="D990" s="6">
        <v>0.2750350669710388</v>
      </c>
      <c r="E990" s="6">
        <v>0.46453291215682635</v>
      </c>
      <c r="F990" s="6">
        <v>-0.18949784518578755</v>
      </c>
      <c r="G990" s="3" t="s">
        <v>1</v>
      </c>
      <c r="H990" t="e">
        <v>#N/A</v>
      </c>
      <c r="I990" t="e">
        <v>#N/A</v>
      </c>
      <c r="J990">
        <v>0.21994941200000001</v>
      </c>
      <c r="K990">
        <v>0.23371647500000001</v>
      </c>
      <c r="L990">
        <v>0.46236559100000002</v>
      </c>
      <c r="M990">
        <v>8.7136929000000002E-2</v>
      </c>
      <c r="N990">
        <v>0.76190476200000001</v>
      </c>
      <c r="O990">
        <v>0.23809523799999999</v>
      </c>
    </row>
    <row r="991" spans="1:15" x14ac:dyDescent="0.25">
      <c r="A991" t="s">
        <v>12</v>
      </c>
      <c r="B991" t="s">
        <v>24</v>
      </c>
      <c r="C991" s="3" t="str">
        <f>IF($B991="GW1",VLOOKUP($A991,Matches!$A:$AC,2,FALSE),IF($B991="GW2",VLOOKUP($A991,Matches!$A:$AC,9,FALSE),IF($B991="GW3",VLOOKUP($A991,Matches!$A:$AC,16,FALSE))))</f>
        <v>Man Utd</v>
      </c>
      <c r="D991" s="6">
        <v>0.2750350669710388</v>
      </c>
      <c r="E991" s="6">
        <v>0.46453291215682635</v>
      </c>
      <c r="F991" s="6">
        <v>-0.18949784518578755</v>
      </c>
      <c r="G991" s="3" t="s">
        <v>1</v>
      </c>
      <c r="H991" t="e">
        <v>#N/A</v>
      </c>
      <c r="I991" t="e">
        <v>#N/A</v>
      </c>
      <c r="J991" t="e">
        <v>#N/A</v>
      </c>
      <c r="K991">
        <v>0.23371647500000001</v>
      </c>
      <c r="L991">
        <v>0.46236559100000002</v>
      </c>
      <c r="M991">
        <v>8.7136929000000002E-2</v>
      </c>
      <c r="N991" t="e">
        <v>#N/A</v>
      </c>
      <c r="O991" t="e">
        <v>#N/A</v>
      </c>
    </row>
    <row r="992" spans="1:15" x14ac:dyDescent="0.25">
      <c r="A992" t="s">
        <v>12</v>
      </c>
      <c r="B992" t="s">
        <v>24</v>
      </c>
      <c r="C992" s="3" t="str">
        <f>IF($B992="GW1",VLOOKUP($A992,Matches!$A:$AC,2,FALSE),IF($B992="GW2",VLOOKUP($A992,Matches!$A:$AC,9,FALSE),IF($B992="GW3",VLOOKUP($A992,Matches!$A:$AC,16,FALSE))))</f>
        <v>Man Utd</v>
      </c>
      <c r="D992" s="6">
        <v>0.2750350669710388</v>
      </c>
      <c r="E992" s="6">
        <v>0.46453291215682635</v>
      </c>
      <c r="F992" s="6">
        <v>-0.18949784518578755</v>
      </c>
      <c r="G992" s="3" t="s">
        <v>1</v>
      </c>
      <c r="H992">
        <v>6.3492063000000001E-2</v>
      </c>
      <c r="I992">
        <v>0.11904761899999999</v>
      </c>
      <c r="J992">
        <v>0.27210884400000002</v>
      </c>
      <c r="K992">
        <v>0.23371647500000001</v>
      </c>
      <c r="L992">
        <v>0.46236559100000002</v>
      </c>
      <c r="M992">
        <v>8.7136929000000002E-2</v>
      </c>
      <c r="N992" t="e">
        <v>#N/A</v>
      </c>
      <c r="O992" t="e">
        <v>#N/A</v>
      </c>
    </row>
    <row r="993" spans="1:15" x14ac:dyDescent="0.25">
      <c r="A993" t="s">
        <v>12</v>
      </c>
      <c r="B993" t="s">
        <v>24</v>
      </c>
      <c r="C993" s="3" t="str">
        <f>IF($B993="GW1",VLOOKUP($A993,Matches!$A:$AC,2,FALSE),IF($B993="GW2",VLOOKUP($A993,Matches!$A:$AC,9,FALSE),IF($B993="GW3",VLOOKUP($A993,Matches!$A:$AC,16,FALSE))))</f>
        <v>Man Utd</v>
      </c>
      <c r="D993" s="6">
        <v>0.2750350669710388</v>
      </c>
      <c r="E993" s="6">
        <v>0.46453291215682635</v>
      </c>
      <c r="F993" s="6">
        <v>-0.18949784518578755</v>
      </c>
      <c r="G993" s="3" t="s">
        <v>1</v>
      </c>
      <c r="H993">
        <v>6.3492063000000001E-2</v>
      </c>
      <c r="I993">
        <v>3.6630036999999997E-2</v>
      </c>
      <c r="J993">
        <v>0.21994941200000001</v>
      </c>
      <c r="K993">
        <v>0.23371647500000001</v>
      </c>
      <c r="L993">
        <v>0.46236559100000002</v>
      </c>
      <c r="M993">
        <v>8.7136929000000002E-2</v>
      </c>
      <c r="N993" t="e">
        <v>#N/A</v>
      </c>
      <c r="O993" t="e">
        <v>#N/A</v>
      </c>
    </row>
    <row r="994" spans="1:15" x14ac:dyDescent="0.25">
      <c r="A994" t="s">
        <v>12</v>
      </c>
      <c r="B994" t="s">
        <v>24</v>
      </c>
      <c r="C994" s="3" t="str">
        <f>IF($B994="GW1",VLOOKUP($A994,Matches!$A:$AC,2,FALSE),IF($B994="GW2",VLOOKUP($A994,Matches!$A:$AC,9,FALSE),IF($B994="GW3",VLOOKUP($A994,Matches!$A:$AC,16,FALSE))))</f>
        <v>Man Utd</v>
      </c>
      <c r="D994" s="6">
        <v>0.2750350669710388</v>
      </c>
      <c r="E994" s="6">
        <v>0.46453291215682635</v>
      </c>
      <c r="F994" s="6">
        <v>-0.18949784518578755</v>
      </c>
      <c r="G994" s="3" t="s">
        <v>1</v>
      </c>
      <c r="H994">
        <v>6.3492063000000001E-2</v>
      </c>
      <c r="I994">
        <v>3.2840722000000003E-2</v>
      </c>
      <c r="J994">
        <v>0.23809523799999999</v>
      </c>
      <c r="K994">
        <v>0.23371647500000001</v>
      </c>
      <c r="L994">
        <v>0.46236559100000002</v>
      </c>
      <c r="M994">
        <v>8.7136929000000002E-2</v>
      </c>
      <c r="N994" t="e">
        <v>#N/A</v>
      </c>
      <c r="O994" t="e">
        <v>#N/A</v>
      </c>
    </row>
    <row r="995" spans="1:15" x14ac:dyDescent="0.25">
      <c r="A995" t="s">
        <v>12</v>
      </c>
      <c r="B995" t="s">
        <v>24</v>
      </c>
      <c r="C995" s="3" t="str">
        <f>IF($B995="GW1",VLOOKUP($A995,Matches!$A:$AC,2,FALSE),IF($B995="GW2",VLOOKUP($A995,Matches!$A:$AC,9,FALSE),IF($B995="GW3",VLOOKUP($A995,Matches!$A:$AC,16,FALSE))))</f>
        <v>Man Utd</v>
      </c>
      <c r="D995" s="6">
        <v>0.2750350669710388</v>
      </c>
      <c r="E995" s="6">
        <v>0.46453291215682635</v>
      </c>
      <c r="F995" s="6">
        <v>-0.18949784518578755</v>
      </c>
      <c r="G995" s="3" t="s">
        <v>1</v>
      </c>
      <c r="H995">
        <v>6.3492063000000001E-2</v>
      </c>
      <c r="I995">
        <v>5.6022409000000002E-2</v>
      </c>
      <c r="J995">
        <v>0.173160173</v>
      </c>
      <c r="K995">
        <v>0.23371647500000001</v>
      </c>
      <c r="L995">
        <v>0.46236559100000002</v>
      </c>
      <c r="M995">
        <v>8.7136929000000002E-2</v>
      </c>
      <c r="N995" t="e">
        <v>#N/A</v>
      </c>
      <c r="O995" t="e">
        <v>#N/A</v>
      </c>
    </row>
    <row r="996" spans="1:15" x14ac:dyDescent="0.25">
      <c r="A996" t="s">
        <v>12</v>
      </c>
      <c r="B996" t="s">
        <v>24</v>
      </c>
      <c r="C996" s="3" t="str">
        <f>IF($B996="GW1",VLOOKUP($A996,Matches!$A:$AC,2,FALSE),IF($B996="GW2",VLOOKUP($A996,Matches!$A:$AC,9,FALSE),IF($B996="GW3",VLOOKUP($A996,Matches!$A:$AC,16,FALSE))))</f>
        <v>Man Utd</v>
      </c>
      <c r="D996" s="6">
        <v>0.2750350669710388</v>
      </c>
      <c r="E996" s="6">
        <v>0.46453291215682635</v>
      </c>
      <c r="F996" s="6">
        <v>-0.18949784518578755</v>
      </c>
      <c r="G996" s="3" t="s">
        <v>1</v>
      </c>
      <c r="H996">
        <v>6.3492063000000001E-2</v>
      </c>
      <c r="I996">
        <v>3.2840722000000003E-2</v>
      </c>
      <c r="J996">
        <v>0.27210884400000002</v>
      </c>
      <c r="K996">
        <v>0.23371647500000001</v>
      </c>
      <c r="L996">
        <v>0.46236559100000002</v>
      </c>
      <c r="M996">
        <v>8.7136929000000002E-2</v>
      </c>
      <c r="N996" t="e">
        <v>#N/A</v>
      </c>
      <c r="O996" t="e">
        <v>#N/A</v>
      </c>
    </row>
    <row r="997" spans="1:15" x14ac:dyDescent="0.25">
      <c r="A997" t="s">
        <v>12</v>
      </c>
      <c r="B997" t="s">
        <v>24</v>
      </c>
      <c r="C997" s="3" t="str">
        <f>IF($B997="GW1",VLOOKUP($A997,Matches!$A:$AC,2,FALSE),IF($B997="GW2",VLOOKUP($A997,Matches!$A:$AC,9,FALSE),IF($B997="GW3",VLOOKUP($A997,Matches!$A:$AC,16,FALSE))))</f>
        <v>Man Utd</v>
      </c>
      <c r="D997" s="6">
        <v>0.2750350669710388</v>
      </c>
      <c r="E997" s="6">
        <v>0.46453291215682635</v>
      </c>
      <c r="F997" s="6">
        <v>-0.18949784518578755</v>
      </c>
      <c r="G997" s="3" t="s">
        <v>1</v>
      </c>
      <c r="H997">
        <v>7.9365079000000005E-2</v>
      </c>
      <c r="I997">
        <v>5.0125312999999998E-2</v>
      </c>
      <c r="J997">
        <v>0.173160173</v>
      </c>
      <c r="K997">
        <v>0.23371647500000001</v>
      </c>
      <c r="L997">
        <v>0.46236559100000002</v>
      </c>
      <c r="M997">
        <v>8.7136929000000002E-2</v>
      </c>
      <c r="N997" t="e">
        <v>#N/A</v>
      </c>
      <c r="O997" t="e">
        <v>#N/A</v>
      </c>
    </row>
    <row r="998" spans="1:15" x14ac:dyDescent="0.25">
      <c r="A998" t="s">
        <v>12</v>
      </c>
      <c r="B998" t="s">
        <v>24</v>
      </c>
      <c r="C998" s="3" t="str">
        <f>IF($B998="GW1",VLOOKUP($A998,Matches!$A:$AC,2,FALSE),IF($B998="GW2",VLOOKUP($A998,Matches!$A:$AC,9,FALSE),IF($B998="GW3",VLOOKUP($A998,Matches!$A:$AC,16,FALSE))))</f>
        <v>Man Utd</v>
      </c>
      <c r="D998" s="6">
        <v>0.2750350669710388</v>
      </c>
      <c r="E998" s="6">
        <v>0.46453291215682635</v>
      </c>
      <c r="F998" s="6">
        <v>-0.18949784518578755</v>
      </c>
      <c r="G998" s="3" t="s">
        <v>1</v>
      </c>
      <c r="H998">
        <v>0.126984127</v>
      </c>
      <c r="I998">
        <v>5.0125312999999998E-2</v>
      </c>
      <c r="J998">
        <v>0.23809523799999999</v>
      </c>
      <c r="K998">
        <v>0.23371647500000001</v>
      </c>
      <c r="L998">
        <v>0.46236559100000002</v>
      </c>
      <c r="M998">
        <v>8.7136929000000002E-2</v>
      </c>
      <c r="N998" t="e">
        <v>#N/A</v>
      </c>
      <c r="O998" t="e">
        <v>#N/A</v>
      </c>
    </row>
    <row r="999" spans="1:15" x14ac:dyDescent="0.25">
      <c r="A999" t="s">
        <v>12</v>
      </c>
      <c r="B999" t="s">
        <v>24</v>
      </c>
      <c r="C999" s="3" t="str">
        <f>IF($B999="GW1",VLOOKUP($A999,Matches!$A:$AC,2,FALSE),IF($B999="GW2",VLOOKUP($A999,Matches!$A:$AC,9,FALSE),IF($B999="GW3",VLOOKUP($A999,Matches!$A:$AC,16,FALSE))))</f>
        <v>Man Utd</v>
      </c>
      <c r="D999" s="6">
        <v>0.2750350669710388</v>
      </c>
      <c r="E999" s="6">
        <v>0.46453291215682635</v>
      </c>
      <c r="F999" s="6">
        <v>-0.18949784518578755</v>
      </c>
      <c r="G999" s="3" t="s">
        <v>1</v>
      </c>
      <c r="H999" t="e">
        <v>#N/A</v>
      </c>
      <c r="I999" t="e">
        <v>#N/A</v>
      </c>
      <c r="J999" t="e">
        <v>#N/A</v>
      </c>
      <c r="K999">
        <v>0.23371647500000001</v>
      </c>
      <c r="L999">
        <v>0.46236559100000002</v>
      </c>
      <c r="M999">
        <v>8.7136929000000002E-2</v>
      </c>
      <c r="N999" t="e">
        <v>#N/A</v>
      </c>
      <c r="O999" t="e">
        <v>#N/A</v>
      </c>
    </row>
    <row r="1000" spans="1:15" x14ac:dyDescent="0.25">
      <c r="A1000" t="s">
        <v>12</v>
      </c>
      <c r="B1000" t="s">
        <v>24</v>
      </c>
      <c r="C1000" s="3" t="str">
        <f>IF($B1000="GW1",VLOOKUP($A1000,Matches!$A:$AC,2,FALSE),IF($B1000="GW2",VLOOKUP($A1000,Matches!$A:$AC,9,FALSE),IF($B1000="GW3",VLOOKUP($A1000,Matches!$A:$AC,16,FALSE))))</f>
        <v>Man Utd</v>
      </c>
      <c r="D1000" s="6">
        <v>0.2750350669710388</v>
      </c>
      <c r="E1000" s="6">
        <v>0.46453291215682635</v>
      </c>
      <c r="F1000" s="6">
        <v>-0.18949784518578755</v>
      </c>
      <c r="G1000" s="3" t="s">
        <v>1</v>
      </c>
      <c r="H1000">
        <v>0.253968254</v>
      </c>
      <c r="I1000">
        <v>0.173160173</v>
      </c>
      <c r="J1000">
        <v>0.11904761899999999</v>
      </c>
      <c r="K1000">
        <v>0.23371647500000001</v>
      </c>
      <c r="L1000">
        <v>0.46236559100000002</v>
      </c>
      <c r="M1000">
        <v>8.7136929000000002E-2</v>
      </c>
      <c r="N1000" t="e">
        <v>#N/A</v>
      </c>
      <c r="O1000" t="e">
        <v>#N/A</v>
      </c>
    </row>
    <row r="1001" spans="1:15" x14ac:dyDescent="0.25">
      <c r="A1001" t="s">
        <v>12</v>
      </c>
      <c r="B1001" t="s">
        <v>24</v>
      </c>
      <c r="C1001" s="3" t="str">
        <f>IF($B1001="GW1",VLOOKUP($A1001,Matches!$A:$AC,2,FALSE),IF($B1001="GW2",VLOOKUP($A1001,Matches!$A:$AC,9,FALSE),IF($B1001="GW3",VLOOKUP($A1001,Matches!$A:$AC,16,FALSE))))</f>
        <v>Man Utd</v>
      </c>
      <c r="D1001" s="6">
        <v>0.2750350669710388</v>
      </c>
      <c r="E1001" s="6">
        <v>0.46453291215682635</v>
      </c>
      <c r="F1001" s="6">
        <v>-0.18949784518578755</v>
      </c>
      <c r="G1001" s="3" t="s">
        <v>1</v>
      </c>
      <c r="H1001">
        <v>0.21994941200000001</v>
      </c>
      <c r="I1001">
        <v>0.105820106</v>
      </c>
      <c r="J1001">
        <v>0.13605442200000001</v>
      </c>
      <c r="K1001">
        <v>0.23371647500000001</v>
      </c>
      <c r="L1001">
        <v>0.46236559100000002</v>
      </c>
      <c r="M1001">
        <v>8.7136929000000002E-2</v>
      </c>
      <c r="N1001" t="e">
        <v>#N/A</v>
      </c>
      <c r="O1001" t="e">
        <v>#N/A</v>
      </c>
    </row>
    <row r="1002" spans="1:15" x14ac:dyDescent="0.25">
      <c r="A1002" t="s">
        <v>12</v>
      </c>
      <c r="B1002" t="s">
        <v>24</v>
      </c>
      <c r="C1002" s="3" t="str">
        <f>IF($B1002="GW1",VLOOKUP($A1002,Matches!$A:$AC,2,FALSE),IF($B1002="GW2",VLOOKUP($A1002,Matches!$A:$AC,9,FALSE),IF($B1002="GW3",VLOOKUP($A1002,Matches!$A:$AC,16,FALSE))))</f>
        <v>Man Utd</v>
      </c>
      <c r="D1002" s="6">
        <v>0.2750350669710388</v>
      </c>
      <c r="E1002" s="6">
        <v>0.46453291215682635</v>
      </c>
      <c r="F1002" s="6">
        <v>-0.18949784518578755</v>
      </c>
      <c r="G1002" s="3" t="s">
        <v>1</v>
      </c>
      <c r="H1002" t="e">
        <v>#N/A</v>
      </c>
      <c r="I1002" t="e">
        <v>#N/A</v>
      </c>
      <c r="J1002" t="e">
        <v>#N/A</v>
      </c>
      <c r="K1002">
        <v>0.23371647500000001</v>
      </c>
      <c r="L1002">
        <v>0.46236559100000002</v>
      </c>
      <c r="M1002">
        <v>8.7136929000000002E-2</v>
      </c>
      <c r="N1002" t="e">
        <v>#N/A</v>
      </c>
      <c r="O1002" t="e">
        <v>#N/A</v>
      </c>
    </row>
    <row r="1003" spans="1:15" x14ac:dyDescent="0.25">
      <c r="A1003" t="s">
        <v>12</v>
      </c>
      <c r="B1003" t="s">
        <v>24</v>
      </c>
      <c r="C1003" s="3" t="str">
        <f>IF($B1003="GW1",VLOOKUP($A1003,Matches!$A:$AC,2,FALSE),IF($B1003="GW2",VLOOKUP($A1003,Matches!$A:$AC,9,FALSE),IF($B1003="GW3",VLOOKUP($A1003,Matches!$A:$AC,16,FALSE))))</f>
        <v>Man Utd</v>
      </c>
      <c r="D1003" s="6">
        <v>0.2750350669710388</v>
      </c>
      <c r="E1003" s="6">
        <v>0.46453291215682635</v>
      </c>
      <c r="F1003" s="6">
        <v>-0.18949784518578755</v>
      </c>
      <c r="G1003" s="3" t="s">
        <v>1</v>
      </c>
      <c r="H1003" t="e">
        <v>#N/A</v>
      </c>
      <c r="I1003" t="e">
        <v>#N/A</v>
      </c>
      <c r="J1003" t="e">
        <v>#N/A</v>
      </c>
      <c r="K1003">
        <v>0.23371647500000001</v>
      </c>
      <c r="L1003">
        <v>0.46236559100000002</v>
      </c>
      <c r="M1003">
        <v>8.7136929000000002E-2</v>
      </c>
      <c r="N1003" t="e">
        <v>#N/A</v>
      </c>
      <c r="O1003" t="e">
        <v>#N/A</v>
      </c>
    </row>
    <row r="1004" spans="1:15" x14ac:dyDescent="0.25">
      <c r="A1004" t="s">
        <v>12</v>
      </c>
      <c r="B1004" t="s">
        <v>24</v>
      </c>
      <c r="C1004" s="3" t="str">
        <f>IF($B1004="GW1",VLOOKUP($A1004,Matches!$A:$AC,2,FALSE),IF($B1004="GW2",VLOOKUP($A1004,Matches!$A:$AC,9,FALSE),IF($B1004="GW3",VLOOKUP($A1004,Matches!$A:$AC,16,FALSE))))</f>
        <v>Man Utd</v>
      </c>
      <c r="D1004" s="6">
        <v>0.2750350669710388</v>
      </c>
      <c r="E1004" s="6">
        <v>0.46453291215682635</v>
      </c>
      <c r="F1004" s="6">
        <v>-0.18949784518578755</v>
      </c>
      <c r="G1004" s="3" t="s">
        <v>1</v>
      </c>
      <c r="H1004">
        <v>0.19047618999999999</v>
      </c>
      <c r="I1004">
        <v>0.13605442200000001</v>
      </c>
      <c r="J1004">
        <v>0.173160173</v>
      </c>
      <c r="K1004">
        <v>0.23371647500000001</v>
      </c>
      <c r="L1004">
        <v>0.46236559100000002</v>
      </c>
      <c r="M1004">
        <v>8.7136929000000002E-2</v>
      </c>
      <c r="N1004" t="e">
        <v>#N/A</v>
      </c>
      <c r="O1004" t="e">
        <v>#N/A</v>
      </c>
    </row>
    <row r="1005" spans="1:15" x14ac:dyDescent="0.25">
      <c r="A1005" t="s">
        <v>12</v>
      </c>
      <c r="B1005" t="s">
        <v>24</v>
      </c>
      <c r="C1005" s="3" t="str">
        <f>IF($B1005="GW1",VLOOKUP($A1005,Matches!$A:$AC,2,FALSE),IF($B1005="GW2",VLOOKUP($A1005,Matches!$A:$AC,9,FALSE),IF($B1005="GW3",VLOOKUP($A1005,Matches!$A:$AC,16,FALSE))))</f>
        <v>Man Utd</v>
      </c>
      <c r="D1005" s="6">
        <v>0.2750350669710388</v>
      </c>
      <c r="E1005" s="6">
        <v>0.46453291215682635</v>
      </c>
      <c r="F1005" s="6">
        <v>-0.18949784518578755</v>
      </c>
      <c r="G1005" s="3" t="s">
        <v>1</v>
      </c>
      <c r="H1005">
        <v>0.21164021199999999</v>
      </c>
      <c r="I1005">
        <v>0.13605442200000001</v>
      </c>
      <c r="J1005">
        <v>0.173160173</v>
      </c>
      <c r="K1005">
        <v>0.23371647500000001</v>
      </c>
      <c r="L1005">
        <v>0.46236559100000002</v>
      </c>
      <c r="M1005">
        <v>8.7136929000000002E-2</v>
      </c>
      <c r="N1005" t="e">
        <v>#N/A</v>
      </c>
      <c r="O1005" t="e">
        <v>#N/A</v>
      </c>
    </row>
    <row r="1006" spans="1:15" x14ac:dyDescent="0.25">
      <c r="A1006" t="s">
        <v>12</v>
      </c>
      <c r="B1006" t="s">
        <v>24</v>
      </c>
      <c r="C1006" s="3" t="str">
        <f>IF($B1006="GW1",VLOOKUP($A1006,Matches!$A:$AC,2,FALSE),IF($B1006="GW2",VLOOKUP($A1006,Matches!$A:$AC,9,FALSE),IF($B1006="GW3",VLOOKUP($A1006,Matches!$A:$AC,16,FALSE))))</f>
        <v>Man Utd</v>
      </c>
      <c r="D1006" s="6">
        <v>0.2750350669710388</v>
      </c>
      <c r="E1006" s="6">
        <v>0.46453291215682635</v>
      </c>
      <c r="F1006" s="6">
        <v>-0.18949784518578755</v>
      </c>
      <c r="G1006" s="3" t="s">
        <v>1</v>
      </c>
      <c r="H1006">
        <v>0.126984127</v>
      </c>
      <c r="I1006">
        <v>5.0125312999999998E-2</v>
      </c>
      <c r="J1006">
        <v>0.23809523799999999</v>
      </c>
      <c r="K1006">
        <v>0.23371647500000001</v>
      </c>
      <c r="L1006">
        <v>0.46236559100000002</v>
      </c>
      <c r="M1006">
        <v>8.7136929000000002E-2</v>
      </c>
      <c r="N1006" t="e">
        <v>#N/A</v>
      </c>
      <c r="O1006" t="e">
        <v>#N/A</v>
      </c>
    </row>
    <row r="1007" spans="1:15" x14ac:dyDescent="0.25">
      <c r="A1007" t="s">
        <v>12</v>
      </c>
      <c r="B1007" t="s">
        <v>24</v>
      </c>
      <c r="C1007" s="3" t="str">
        <f>IF($B1007="GW1",VLOOKUP($A1007,Matches!$A:$AC,2,FALSE),IF($B1007="GW2",VLOOKUP($A1007,Matches!$A:$AC,9,FALSE),IF($B1007="GW3",VLOOKUP($A1007,Matches!$A:$AC,16,FALSE))))</f>
        <v>Man Utd</v>
      </c>
      <c r="D1007" s="6">
        <v>0.2750350669710388</v>
      </c>
      <c r="E1007" s="6">
        <v>0.46453291215682635</v>
      </c>
      <c r="F1007" s="6">
        <v>-0.18949784518578755</v>
      </c>
      <c r="G1007" s="3" t="s">
        <v>1</v>
      </c>
      <c r="H1007">
        <v>0.13605442200000001</v>
      </c>
      <c r="I1007">
        <v>0.13605442200000001</v>
      </c>
      <c r="J1007">
        <v>0.173160173</v>
      </c>
      <c r="K1007">
        <v>0.23371647500000001</v>
      </c>
      <c r="L1007">
        <v>0.46236559100000002</v>
      </c>
      <c r="M1007">
        <v>8.7136929000000002E-2</v>
      </c>
      <c r="N1007" t="e">
        <v>#N/A</v>
      </c>
      <c r="O1007" t="e">
        <v>#N/A</v>
      </c>
    </row>
    <row r="1008" spans="1:15" x14ac:dyDescent="0.25">
      <c r="A1008" t="s">
        <v>12</v>
      </c>
      <c r="B1008" t="s">
        <v>24</v>
      </c>
      <c r="C1008" s="3" t="str">
        <f>IF($B1008="GW1",VLOOKUP($A1008,Matches!$A:$AC,2,FALSE),IF($B1008="GW2",VLOOKUP($A1008,Matches!$A:$AC,9,FALSE),IF($B1008="GW3",VLOOKUP($A1008,Matches!$A:$AC,16,FALSE))))</f>
        <v>Man Utd</v>
      </c>
      <c r="D1008" s="6">
        <v>0.2750350669710388</v>
      </c>
      <c r="E1008" s="6">
        <v>0.46453291215682635</v>
      </c>
      <c r="F1008" s="6">
        <v>-0.18949784518578755</v>
      </c>
      <c r="G1008" s="3" t="s">
        <v>1</v>
      </c>
      <c r="H1008">
        <v>0.126984127</v>
      </c>
      <c r="I1008">
        <v>9.5238094999999995E-2</v>
      </c>
      <c r="J1008">
        <v>0.346320346</v>
      </c>
      <c r="K1008">
        <v>0.23371647500000001</v>
      </c>
      <c r="L1008">
        <v>0.46236559100000002</v>
      </c>
      <c r="M1008">
        <v>8.7136929000000002E-2</v>
      </c>
      <c r="N1008" t="e">
        <v>#N/A</v>
      </c>
      <c r="O1008" t="e">
        <v>#N/A</v>
      </c>
    </row>
    <row r="1009" spans="1:15" x14ac:dyDescent="0.25">
      <c r="A1009" t="s">
        <v>12</v>
      </c>
      <c r="B1009" t="s">
        <v>24</v>
      </c>
      <c r="C1009" s="3" t="str">
        <f>IF($B1009="GW1",VLOOKUP($A1009,Matches!$A:$AC,2,FALSE),IF($B1009="GW2",VLOOKUP($A1009,Matches!$A:$AC,9,FALSE),IF($B1009="GW3",VLOOKUP($A1009,Matches!$A:$AC,16,FALSE))))</f>
        <v>Man Utd</v>
      </c>
      <c r="D1009" s="6">
        <v>0.2750350669710388</v>
      </c>
      <c r="E1009" s="6">
        <v>0.46453291215682635</v>
      </c>
      <c r="F1009" s="6">
        <v>-0.18949784518578755</v>
      </c>
      <c r="G1009" s="3" t="s">
        <v>1</v>
      </c>
      <c r="H1009" t="e">
        <v>#N/A</v>
      </c>
      <c r="I1009" t="e">
        <v>#N/A</v>
      </c>
      <c r="J1009" t="e">
        <v>#N/A</v>
      </c>
      <c r="K1009">
        <v>0.23371647500000001</v>
      </c>
      <c r="L1009">
        <v>0.46236559100000002</v>
      </c>
      <c r="M1009">
        <v>8.7136929000000002E-2</v>
      </c>
      <c r="N1009" t="e">
        <v>#N/A</v>
      </c>
      <c r="O1009" t="e">
        <v>#N/A</v>
      </c>
    </row>
    <row r="1010" spans="1:15" x14ac:dyDescent="0.25">
      <c r="A1010" t="s">
        <v>12</v>
      </c>
      <c r="B1010" t="s">
        <v>24</v>
      </c>
      <c r="C1010" s="3" t="str">
        <f>IF($B1010="GW1",VLOOKUP($A1010,Matches!$A:$AC,2,FALSE),IF($B1010="GW2",VLOOKUP($A1010,Matches!$A:$AC,9,FALSE),IF($B1010="GW3",VLOOKUP($A1010,Matches!$A:$AC,16,FALSE))))</f>
        <v>Man Utd</v>
      </c>
      <c r="D1010" s="6">
        <v>0.2750350669710388</v>
      </c>
      <c r="E1010" s="6">
        <v>0.46453291215682635</v>
      </c>
      <c r="F1010" s="6">
        <v>-0.18949784518578755</v>
      </c>
      <c r="G1010" s="3" t="s">
        <v>1</v>
      </c>
      <c r="H1010" t="e">
        <v>#N/A</v>
      </c>
      <c r="I1010" t="e">
        <v>#N/A</v>
      </c>
      <c r="J1010" t="e">
        <v>#N/A</v>
      </c>
      <c r="K1010">
        <v>0.23371647500000001</v>
      </c>
      <c r="L1010">
        <v>0.46236559100000002</v>
      </c>
      <c r="M1010">
        <v>8.7136929000000002E-2</v>
      </c>
      <c r="N1010" t="e">
        <v>#N/A</v>
      </c>
      <c r="O1010" t="e">
        <v>#N/A</v>
      </c>
    </row>
    <row r="1011" spans="1:15" x14ac:dyDescent="0.25">
      <c r="A1011" t="s">
        <v>12</v>
      </c>
      <c r="B1011" t="s">
        <v>24</v>
      </c>
      <c r="C1011" s="3" t="str">
        <f>IF($B1011="GW1",VLOOKUP($A1011,Matches!$A:$AC,2,FALSE),IF($B1011="GW2",VLOOKUP($A1011,Matches!$A:$AC,9,FALSE),IF($B1011="GW3",VLOOKUP($A1011,Matches!$A:$AC,16,FALSE))))</f>
        <v>Man Utd</v>
      </c>
      <c r="D1011" s="6">
        <v>0.2750350669710388</v>
      </c>
      <c r="E1011" s="6">
        <v>0.46453291215682635</v>
      </c>
      <c r="F1011" s="6">
        <v>-0.18949784518578755</v>
      </c>
      <c r="G1011" s="3" t="s">
        <v>1</v>
      </c>
      <c r="H1011" t="e">
        <v>#N/A</v>
      </c>
      <c r="I1011" t="e">
        <v>#N/A</v>
      </c>
      <c r="J1011" t="e">
        <v>#N/A</v>
      </c>
      <c r="K1011">
        <v>0.23371647500000001</v>
      </c>
      <c r="L1011">
        <v>0.46236559100000002</v>
      </c>
      <c r="M1011">
        <v>8.7136929000000002E-2</v>
      </c>
      <c r="N1011" t="e">
        <v>#N/A</v>
      </c>
      <c r="O1011" t="e">
        <v>#N/A</v>
      </c>
    </row>
    <row r="1012" spans="1:15" x14ac:dyDescent="0.25">
      <c r="A1012" t="s">
        <v>12</v>
      </c>
      <c r="B1012" t="s">
        <v>24</v>
      </c>
      <c r="C1012" s="3" t="str">
        <f>IF($B1012="GW1",VLOOKUP($A1012,Matches!$A:$AC,2,FALSE),IF($B1012="GW2",VLOOKUP($A1012,Matches!$A:$AC,9,FALSE),IF($B1012="GW3",VLOOKUP($A1012,Matches!$A:$AC,16,FALSE))))</f>
        <v>Man Utd</v>
      </c>
      <c r="D1012" s="6">
        <v>0.2750350669710388</v>
      </c>
      <c r="E1012" s="6">
        <v>0.46453291215682635</v>
      </c>
      <c r="F1012" s="6">
        <v>-0.18949784518578755</v>
      </c>
      <c r="G1012" s="3" t="s">
        <v>1</v>
      </c>
      <c r="H1012">
        <v>0.10025062699999999</v>
      </c>
      <c r="I1012">
        <v>8.6580087E-2</v>
      </c>
      <c r="J1012">
        <v>0.27210884400000002</v>
      </c>
      <c r="K1012">
        <v>0.23371647500000001</v>
      </c>
      <c r="L1012">
        <v>0.46236559100000002</v>
      </c>
      <c r="M1012">
        <v>8.7136929000000002E-2</v>
      </c>
      <c r="N1012" t="e">
        <v>#N/A</v>
      </c>
      <c r="O1012" t="e">
        <v>#N/A</v>
      </c>
    </row>
    <row r="1013" spans="1:15" x14ac:dyDescent="0.25">
      <c r="A1013" t="s">
        <v>12</v>
      </c>
      <c r="B1013" t="s">
        <v>24</v>
      </c>
      <c r="C1013" s="3" t="str">
        <f>IF($B1013="GW1",VLOOKUP($A1013,Matches!$A:$AC,2,FALSE),IF($B1013="GW2",VLOOKUP($A1013,Matches!$A:$AC,9,FALSE),IF($B1013="GW3",VLOOKUP($A1013,Matches!$A:$AC,16,FALSE))))</f>
        <v>Man Utd</v>
      </c>
      <c r="D1013" s="6">
        <v>0.2750350669710388</v>
      </c>
      <c r="E1013" s="6">
        <v>0.46453291215682635</v>
      </c>
      <c r="F1013" s="6">
        <v>-0.18949784518578755</v>
      </c>
      <c r="G1013" s="3" t="s">
        <v>1</v>
      </c>
      <c r="H1013">
        <v>0.33184005300000002</v>
      </c>
      <c r="I1013">
        <v>0.13605442200000001</v>
      </c>
      <c r="J1013">
        <v>0.23809523799999999</v>
      </c>
      <c r="K1013">
        <v>0.23371647500000001</v>
      </c>
      <c r="L1013">
        <v>0.46236559100000002</v>
      </c>
      <c r="M1013">
        <v>8.7136929000000002E-2</v>
      </c>
      <c r="N1013" t="e">
        <v>#N/A</v>
      </c>
      <c r="O1013" t="e">
        <v>#N/A</v>
      </c>
    </row>
    <row r="1014" spans="1:15" x14ac:dyDescent="0.25">
      <c r="A1014" t="s">
        <v>12</v>
      </c>
      <c r="B1014" t="s">
        <v>24</v>
      </c>
      <c r="C1014" s="3" t="str">
        <f>IF($B1014="GW1",VLOOKUP($A1014,Matches!$A:$AC,2,FALSE),IF($B1014="GW2",VLOOKUP($A1014,Matches!$A:$AC,9,FALSE),IF($B1014="GW3",VLOOKUP($A1014,Matches!$A:$AC,16,FALSE))))</f>
        <v>Man Utd</v>
      </c>
      <c r="D1014" s="6">
        <v>0.2750350669710388</v>
      </c>
      <c r="E1014" s="6">
        <v>0.46453291215682635</v>
      </c>
      <c r="F1014" s="6">
        <v>-0.18949784518578755</v>
      </c>
      <c r="G1014" s="3" t="s">
        <v>1</v>
      </c>
      <c r="H1014" t="e">
        <v>#N/A</v>
      </c>
      <c r="I1014" t="e">
        <v>#N/A</v>
      </c>
      <c r="J1014" t="e">
        <v>#N/A</v>
      </c>
      <c r="K1014">
        <v>0.23371647500000001</v>
      </c>
      <c r="L1014">
        <v>0.46236559100000002</v>
      </c>
      <c r="M1014">
        <v>8.7136929000000002E-2</v>
      </c>
      <c r="N1014" t="e">
        <v>#N/A</v>
      </c>
      <c r="O1014" t="e">
        <v>#N/A</v>
      </c>
    </row>
    <row r="1015" spans="1:15" x14ac:dyDescent="0.25">
      <c r="A1015" t="s">
        <v>12</v>
      </c>
      <c r="B1015" t="s">
        <v>24</v>
      </c>
      <c r="C1015" s="3" t="str">
        <f>IF($B1015="GW1",VLOOKUP($A1015,Matches!$A:$AC,2,FALSE),IF($B1015="GW2",VLOOKUP($A1015,Matches!$A:$AC,9,FALSE),IF($B1015="GW3",VLOOKUP($A1015,Matches!$A:$AC,16,FALSE))))</f>
        <v>Man Utd</v>
      </c>
      <c r="D1015" s="6">
        <v>0.2750350669710388</v>
      </c>
      <c r="E1015" s="6">
        <v>0.46453291215682635</v>
      </c>
      <c r="F1015" s="6">
        <v>-0.18949784518578755</v>
      </c>
      <c r="G1015" s="3" t="s">
        <v>1</v>
      </c>
      <c r="H1015" t="e">
        <v>#N/A</v>
      </c>
      <c r="I1015" t="e">
        <v>#N/A</v>
      </c>
      <c r="J1015">
        <v>0.13605442200000001</v>
      </c>
      <c r="K1015">
        <v>0.23371647500000001</v>
      </c>
      <c r="L1015">
        <v>0.46236559100000002</v>
      </c>
      <c r="M1015">
        <v>8.7136929000000002E-2</v>
      </c>
      <c r="N1015" t="e">
        <v>#N/A</v>
      </c>
      <c r="O1015" t="e">
        <v>#N/A</v>
      </c>
    </row>
    <row r="1016" spans="1:15" x14ac:dyDescent="0.25">
      <c r="A1016" t="s">
        <v>13</v>
      </c>
      <c r="B1016" t="s">
        <v>24</v>
      </c>
      <c r="C1016" s="3" t="str">
        <f>IF($B1016="GW1",VLOOKUP($A1016,Matches!$A:$AC,2,FALSE),IF($B1016="GW2",VLOOKUP($A1016,Matches!$A:$AC,9,FALSE),IF($B1016="GW3",VLOOKUP($A1016,Matches!$A:$AC,16,FALSE))))</f>
        <v>Arsenal</v>
      </c>
      <c r="D1016" s="6">
        <v>0.10933263360447824</v>
      </c>
      <c r="E1016" s="6">
        <v>0.72453267642370667</v>
      </c>
      <c r="F1016" s="6">
        <v>-0.61520004281922847</v>
      </c>
      <c r="G1016" s="3" t="s">
        <v>0</v>
      </c>
      <c r="H1016" t="e">
        <v>#N/A</v>
      </c>
      <c r="I1016" t="e">
        <v>#N/A</v>
      </c>
      <c r="J1016">
        <v>0.173160173</v>
      </c>
      <c r="K1016">
        <v>9.6004338999999994E-2</v>
      </c>
      <c r="L1016">
        <v>0.70960698700000002</v>
      </c>
      <c r="M1016">
        <v>0.25</v>
      </c>
      <c r="N1016" t="e">
        <v>#N/A</v>
      </c>
      <c r="O1016" t="e">
        <v>#N/A</v>
      </c>
    </row>
    <row r="1017" spans="1:15" x14ac:dyDescent="0.25">
      <c r="A1017" t="s">
        <v>13</v>
      </c>
      <c r="B1017" t="s">
        <v>24</v>
      </c>
      <c r="C1017" s="3" t="str">
        <f>IF($B1017="GW1",VLOOKUP($A1017,Matches!$A:$AC,2,FALSE),IF($B1017="GW2",VLOOKUP($A1017,Matches!$A:$AC,9,FALSE),IF($B1017="GW3",VLOOKUP($A1017,Matches!$A:$AC,16,FALSE))))</f>
        <v>Arsenal</v>
      </c>
      <c r="D1017" s="6">
        <v>0.10933263360447824</v>
      </c>
      <c r="E1017" s="6">
        <v>0.72453267642370667</v>
      </c>
      <c r="F1017" s="6">
        <v>-0.61520004281922847</v>
      </c>
      <c r="G1017" s="3" t="s">
        <v>0</v>
      </c>
      <c r="H1017" t="e">
        <v>#N/A</v>
      </c>
      <c r="I1017" t="e">
        <v>#N/A</v>
      </c>
      <c r="J1017">
        <v>0.173160173</v>
      </c>
      <c r="K1017">
        <v>9.6004338999999994E-2</v>
      </c>
      <c r="L1017">
        <v>0.70960698700000002</v>
      </c>
      <c r="M1017">
        <v>0.25</v>
      </c>
      <c r="N1017" t="e">
        <v>#N/A</v>
      </c>
      <c r="O1017" t="e">
        <v>#N/A</v>
      </c>
    </row>
    <row r="1018" spans="1:15" x14ac:dyDescent="0.25">
      <c r="A1018" t="s">
        <v>13</v>
      </c>
      <c r="B1018" t="s">
        <v>24</v>
      </c>
      <c r="C1018" s="3" t="str">
        <f>IF($B1018="GW1",VLOOKUP($A1018,Matches!$A:$AC,2,FALSE),IF($B1018="GW2",VLOOKUP($A1018,Matches!$A:$AC,9,FALSE),IF($B1018="GW3",VLOOKUP($A1018,Matches!$A:$AC,16,FALSE))))</f>
        <v>Arsenal</v>
      </c>
      <c r="D1018" s="6">
        <v>0.10933263360447824</v>
      </c>
      <c r="E1018" s="6">
        <v>0.72453267642370667</v>
      </c>
      <c r="F1018" s="6">
        <v>-0.61520004281922847</v>
      </c>
      <c r="G1018" s="3" t="s">
        <v>0</v>
      </c>
      <c r="H1018" t="e">
        <v>#N/A</v>
      </c>
      <c r="I1018" t="e">
        <v>#N/A</v>
      </c>
      <c r="J1018">
        <v>0.173160173</v>
      </c>
      <c r="K1018">
        <v>9.6004338999999994E-2</v>
      </c>
      <c r="L1018">
        <v>0.70960698700000002</v>
      </c>
      <c r="M1018">
        <v>0.25</v>
      </c>
      <c r="N1018" t="e">
        <v>#N/A</v>
      </c>
      <c r="O1018" t="e">
        <v>#N/A</v>
      </c>
    </row>
    <row r="1019" spans="1:15" x14ac:dyDescent="0.25">
      <c r="A1019" t="s">
        <v>13</v>
      </c>
      <c r="B1019" t="s">
        <v>24</v>
      </c>
      <c r="C1019" s="3" t="str">
        <f>IF($B1019="GW1",VLOOKUP($A1019,Matches!$A:$AC,2,FALSE),IF($B1019="GW2",VLOOKUP($A1019,Matches!$A:$AC,9,FALSE),IF($B1019="GW3",VLOOKUP($A1019,Matches!$A:$AC,16,FALSE))))</f>
        <v>Arsenal</v>
      </c>
      <c r="D1019" s="6">
        <v>0.10933263360447824</v>
      </c>
      <c r="E1019" s="6">
        <v>0.72453267642370667</v>
      </c>
      <c r="F1019" s="6">
        <v>-0.61520004281922847</v>
      </c>
      <c r="G1019" s="3" t="s">
        <v>0</v>
      </c>
      <c r="H1019">
        <v>4.5351474000000003E-2</v>
      </c>
      <c r="I1019">
        <v>5.6022409000000002E-2</v>
      </c>
      <c r="J1019">
        <v>0.36350418000000001</v>
      </c>
      <c r="K1019">
        <v>9.6004338999999994E-2</v>
      </c>
      <c r="L1019">
        <v>0.70960698700000002</v>
      </c>
      <c r="M1019">
        <v>0.25</v>
      </c>
      <c r="N1019" t="e">
        <v>#N/A</v>
      </c>
      <c r="O1019" t="e">
        <v>#N/A</v>
      </c>
    </row>
    <row r="1020" spans="1:15" x14ac:dyDescent="0.25">
      <c r="A1020" t="s">
        <v>13</v>
      </c>
      <c r="B1020" t="s">
        <v>24</v>
      </c>
      <c r="C1020" s="3" t="str">
        <f>IF($B1020="GW1",VLOOKUP($A1020,Matches!$A:$AC,2,FALSE),IF($B1020="GW2",VLOOKUP($A1020,Matches!$A:$AC,9,FALSE),IF($B1020="GW3",VLOOKUP($A1020,Matches!$A:$AC,16,FALSE))))</f>
        <v>Arsenal</v>
      </c>
      <c r="D1020" s="6">
        <v>0.10933263360447824</v>
      </c>
      <c r="E1020" s="6">
        <v>0.72453267642370667</v>
      </c>
      <c r="F1020" s="6">
        <v>-0.61520004281922847</v>
      </c>
      <c r="G1020" s="3" t="s">
        <v>0</v>
      </c>
      <c r="H1020">
        <v>7.3260072999999995E-2</v>
      </c>
      <c r="I1020">
        <v>1.8674136000000001E-2</v>
      </c>
      <c r="J1020">
        <v>0.21994941200000001</v>
      </c>
      <c r="K1020">
        <v>9.6004338999999994E-2</v>
      </c>
      <c r="L1020">
        <v>0.70960698700000002</v>
      </c>
      <c r="M1020">
        <v>0.25</v>
      </c>
      <c r="N1020" t="e">
        <v>#N/A</v>
      </c>
      <c r="O1020" t="e">
        <v>#N/A</v>
      </c>
    </row>
    <row r="1021" spans="1:15" x14ac:dyDescent="0.25">
      <c r="A1021" t="s">
        <v>13</v>
      </c>
      <c r="B1021" t="s">
        <v>24</v>
      </c>
      <c r="C1021" s="3" t="str">
        <f>IF($B1021="GW1",VLOOKUP($A1021,Matches!$A:$AC,2,FALSE),IF($B1021="GW2",VLOOKUP($A1021,Matches!$A:$AC,9,FALSE),IF($B1021="GW3",VLOOKUP($A1021,Matches!$A:$AC,16,FALSE))))</f>
        <v>Arsenal</v>
      </c>
      <c r="D1021" s="6">
        <v>0.10933263360447824</v>
      </c>
      <c r="E1021" s="6">
        <v>0.72453267642370667</v>
      </c>
      <c r="F1021" s="6">
        <v>-0.61520004281922847</v>
      </c>
      <c r="G1021" s="3" t="s">
        <v>0</v>
      </c>
      <c r="H1021">
        <v>4.5351474000000003E-2</v>
      </c>
      <c r="I1021">
        <v>2.8011204000000001E-2</v>
      </c>
      <c r="J1021">
        <v>0.36350418000000001</v>
      </c>
      <c r="K1021">
        <v>9.6004338999999994E-2</v>
      </c>
      <c r="L1021">
        <v>0.70960698700000002</v>
      </c>
      <c r="M1021">
        <v>0.25</v>
      </c>
      <c r="N1021" t="e">
        <v>#N/A</v>
      </c>
      <c r="O1021" t="e">
        <v>#N/A</v>
      </c>
    </row>
    <row r="1022" spans="1:15" x14ac:dyDescent="0.25">
      <c r="A1022" t="s">
        <v>13</v>
      </c>
      <c r="B1022" t="s">
        <v>24</v>
      </c>
      <c r="C1022" s="3" t="str">
        <f>IF($B1022="GW1",VLOOKUP($A1022,Matches!$A:$AC,2,FALSE),IF($B1022="GW2",VLOOKUP($A1022,Matches!$A:$AC,9,FALSE),IF($B1022="GW3",VLOOKUP($A1022,Matches!$A:$AC,16,FALSE))))</f>
        <v>Arsenal</v>
      </c>
      <c r="D1022" s="6">
        <v>0.10933263360447824</v>
      </c>
      <c r="E1022" s="6">
        <v>0.72453267642370667</v>
      </c>
      <c r="F1022" s="6">
        <v>-0.61520004281922847</v>
      </c>
      <c r="G1022" s="3" t="s">
        <v>0</v>
      </c>
      <c r="H1022">
        <v>4.5351474000000003E-2</v>
      </c>
      <c r="I1022">
        <v>1.8674136000000001E-2</v>
      </c>
      <c r="J1022">
        <v>0.307219662</v>
      </c>
      <c r="K1022">
        <v>9.6004338999999994E-2</v>
      </c>
      <c r="L1022">
        <v>0.70960698700000002</v>
      </c>
      <c r="M1022">
        <v>0.25</v>
      </c>
      <c r="N1022" t="e">
        <v>#N/A</v>
      </c>
      <c r="O1022" t="e">
        <v>#N/A</v>
      </c>
    </row>
    <row r="1023" spans="1:15" x14ac:dyDescent="0.25">
      <c r="A1023" t="s">
        <v>13</v>
      </c>
      <c r="B1023" t="s">
        <v>24</v>
      </c>
      <c r="C1023" s="3" t="str">
        <f>IF($B1023="GW1",VLOOKUP($A1023,Matches!$A:$AC,2,FALSE),IF($B1023="GW2",VLOOKUP($A1023,Matches!$A:$AC,9,FALSE),IF($B1023="GW3",VLOOKUP($A1023,Matches!$A:$AC,16,FALSE))))</f>
        <v>Arsenal</v>
      </c>
      <c r="D1023" s="6">
        <v>0.10933263360447824</v>
      </c>
      <c r="E1023" s="6">
        <v>0.72453267642370667</v>
      </c>
      <c r="F1023" s="6">
        <v>-0.61520004281922847</v>
      </c>
      <c r="G1023" s="3" t="s">
        <v>0</v>
      </c>
      <c r="H1023">
        <v>3.2840722000000003E-2</v>
      </c>
      <c r="I1023">
        <v>4.1407867000000001E-2</v>
      </c>
      <c r="J1023">
        <v>0.307219662</v>
      </c>
      <c r="K1023">
        <v>9.6004338999999994E-2</v>
      </c>
      <c r="L1023">
        <v>0.70960698700000002</v>
      </c>
      <c r="M1023">
        <v>0.25</v>
      </c>
      <c r="N1023" t="e">
        <v>#N/A</v>
      </c>
      <c r="O1023" t="e">
        <v>#N/A</v>
      </c>
    </row>
    <row r="1024" spans="1:15" x14ac:dyDescent="0.25">
      <c r="A1024" t="s">
        <v>13</v>
      </c>
      <c r="B1024" t="s">
        <v>24</v>
      </c>
      <c r="C1024" s="3" t="str">
        <f>IF($B1024="GW1",VLOOKUP($A1024,Matches!$A:$AC,2,FALSE),IF($B1024="GW2",VLOOKUP($A1024,Matches!$A:$AC,9,FALSE),IF($B1024="GW3",VLOOKUP($A1024,Matches!$A:$AC,16,FALSE))))</f>
        <v>Arsenal</v>
      </c>
      <c r="D1024" s="6">
        <v>0.10933263360447824</v>
      </c>
      <c r="E1024" s="6">
        <v>0.72453267642370667</v>
      </c>
      <c r="F1024" s="6">
        <v>-0.61520004281922847</v>
      </c>
      <c r="G1024" s="3" t="s">
        <v>0</v>
      </c>
      <c r="H1024">
        <v>3.6630036999999997E-2</v>
      </c>
      <c r="I1024">
        <v>4.1407867000000001E-2</v>
      </c>
      <c r="J1024">
        <v>0.19047618999999999</v>
      </c>
      <c r="K1024">
        <v>9.6004338999999994E-2</v>
      </c>
      <c r="L1024">
        <v>0.70960698700000002</v>
      </c>
      <c r="M1024">
        <v>0.25</v>
      </c>
      <c r="N1024" t="e">
        <v>#N/A</v>
      </c>
      <c r="O1024" t="e">
        <v>#N/A</v>
      </c>
    </row>
    <row r="1025" spans="1:15" x14ac:dyDescent="0.25">
      <c r="A1025" t="s">
        <v>13</v>
      </c>
      <c r="B1025" t="s">
        <v>24</v>
      </c>
      <c r="C1025" s="3" t="str">
        <f>IF($B1025="GW1",VLOOKUP($A1025,Matches!$A:$AC,2,FALSE),IF($B1025="GW2",VLOOKUP($A1025,Matches!$A:$AC,9,FALSE),IF($B1025="GW3",VLOOKUP($A1025,Matches!$A:$AC,16,FALSE))))</f>
        <v>Arsenal</v>
      </c>
      <c r="D1025" s="6">
        <v>0.10933263360447824</v>
      </c>
      <c r="E1025" s="6">
        <v>0.72453267642370667</v>
      </c>
      <c r="F1025" s="6">
        <v>-0.61520004281922847</v>
      </c>
      <c r="G1025" s="3" t="s">
        <v>0</v>
      </c>
      <c r="H1025">
        <v>3.2840722000000003E-2</v>
      </c>
      <c r="I1025">
        <v>1.8674136000000001E-2</v>
      </c>
      <c r="J1025">
        <v>0.253968254</v>
      </c>
      <c r="K1025">
        <v>9.6004338999999994E-2</v>
      </c>
      <c r="L1025">
        <v>0.70960698700000002</v>
      </c>
      <c r="M1025">
        <v>0.25</v>
      </c>
      <c r="N1025" t="e">
        <v>#N/A</v>
      </c>
      <c r="O1025" t="e">
        <v>#N/A</v>
      </c>
    </row>
    <row r="1026" spans="1:15" x14ac:dyDescent="0.25">
      <c r="A1026" t="s">
        <v>13</v>
      </c>
      <c r="B1026" t="s">
        <v>24</v>
      </c>
      <c r="C1026" s="3" t="str">
        <f>IF($B1026="GW1",VLOOKUP($A1026,Matches!$A:$AC,2,FALSE),IF($B1026="GW2",VLOOKUP($A1026,Matches!$A:$AC,9,FALSE),IF($B1026="GW3",VLOOKUP($A1026,Matches!$A:$AC,16,FALSE))))</f>
        <v>Arsenal</v>
      </c>
      <c r="D1026" s="6">
        <v>0.10933263360447824</v>
      </c>
      <c r="E1026" s="6">
        <v>0.72453267642370667</v>
      </c>
      <c r="F1026" s="6">
        <v>-0.61520004281922847</v>
      </c>
      <c r="G1026" s="3" t="s">
        <v>0</v>
      </c>
      <c r="H1026">
        <v>5.6022409000000002E-2</v>
      </c>
      <c r="I1026">
        <v>4.5351474000000003E-2</v>
      </c>
      <c r="J1026">
        <v>0.27210884400000002</v>
      </c>
      <c r="K1026">
        <v>9.6004338999999994E-2</v>
      </c>
      <c r="L1026">
        <v>0.70960698700000002</v>
      </c>
      <c r="M1026">
        <v>0.25</v>
      </c>
      <c r="N1026" t="e">
        <v>#N/A</v>
      </c>
      <c r="O1026" t="e">
        <v>#N/A</v>
      </c>
    </row>
    <row r="1027" spans="1:15" x14ac:dyDescent="0.25">
      <c r="A1027" t="s">
        <v>13</v>
      </c>
      <c r="B1027" t="s">
        <v>24</v>
      </c>
      <c r="C1027" s="3" t="str">
        <f>IF($B1027="GW1",VLOOKUP($A1027,Matches!$A:$AC,2,FALSE),IF($B1027="GW2",VLOOKUP($A1027,Matches!$A:$AC,9,FALSE),IF($B1027="GW3",VLOOKUP($A1027,Matches!$A:$AC,16,FALSE))))</f>
        <v>Arsenal</v>
      </c>
      <c r="D1027" s="6">
        <v>0.10933263360447824</v>
      </c>
      <c r="E1027" s="6">
        <v>0.72453267642370667</v>
      </c>
      <c r="F1027" s="6">
        <v>-0.61520004281922847</v>
      </c>
      <c r="G1027" s="3" t="s">
        <v>0</v>
      </c>
      <c r="H1027">
        <v>0.112044818</v>
      </c>
      <c r="I1027">
        <v>5.6022409000000002E-2</v>
      </c>
      <c r="J1027">
        <v>0.19047618999999999</v>
      </c>
      <c r="K1027">
        <v>9.6004338999999994E-2</v>
      </c>
      <c r="L1027">
        <v>0.70960698700000002</v>
      </c>
      <c r="M1027">
        <v>0.25</v>
      </c>
      <c r="N1027" t="e">
        <v>#N/A</v>
      </c>
      <c r="O1027" t="e">
        <v>#N/A</v>
      </c>
    </row>
    <row r="1028" spans="1:15" x14ac:dyDescent="0.25">
      <c r="A1028" t="s">
        <v>13</v>
      </c>
      <c r="B1028" t="s">
        <v>24</v>
      </c>
      <c r="C1028" s="3" t="str">
        <f>IF($B1028="GW1",VLOOKUP($A1028,Matches!$A:$AC,2,FALSE),IF($B1028="GW2",VLOOKUP($A1028,Matches!$A:$AC,9,FALSE),IF($B1028="GW3",VLOOKUP($A1028,Matches!$A:$AC,16,FALSE))))</f>
        <v>Arsenal</v>
      </c>
      <c r="D1028" s="6">
        <v>0.10933263360447824</v>
      </c>
      <c r="E1028" s="6">
        <v>0.72453267642370667</v>
      </c>
      <c r="F1028" s="6">
        <v>-0.61520004281922847</v>
      </c>
      <c r="G1028" s="3" t="s">
        <v>0</v>
      </c>
      <c r="H1028">
        <v>0.13605442200000001</v>
      </c>
      <c r="I1028">
        <v>8.6580087E-2</v>
      </c>
      <c r="J1028">
        <v>0.253968254</v>
      </c>
      <c r="K1028">
        <v>9.6004338999999994E-2</v>
      </c>
      <c r="L1028">
        <v>0.70960698700000002</v>
      </c>
      <c r="M1028">
        <v>0.25</v>
      </c>
      <c r="N1028" t="e">
        <v>#N/A</v>
      </c>
      <c r="O1028" t="e">
        <v>#N/A</v>
      </c>
    </row>
    <row r="1029" spans="1:15" x14ac:dyDescent="0.25">
      <c r="A1029" t="s">
        <v>13</v>
      </c>
      <c r="B1029" t="s">
        <v>24</v>
      </c>
      <c r="C1029" s="3" t="str">
        <f>IF($B1029="GW1",VLOOKUP($A1029,Matches!$A:$AC,2,FALSE),IF($B1029="GW2",VLOOKUP($A1029,Matches!$A:$AC,9,FALSE),IF($B1029="GW3",VLOOKUP($A1029,Matches!$A:$AC,16,FALSE))))</f>
        <v>Arsenal</v>
      </c>
      <c r="D1029" s="6">
        <v>0.10933263360447824</v>
      </c>
      <c r="E1029" s="6">
        <v>0.72453267642370667</v>
      </c>
      <c r="F1029" s="6">
        <v>-0.61520004281922847</v>
      </c>
      <c r="G1029" s="3" t="s">
        <v>0</v>
      </c>
      <c r="H1029">
        <v>0.10025062699999999</v>
      </c>
      <c r="I1029">
        <v>7.3260072999999995E-2</v>
      </c>
      <c r="J1029">
        <v>0.13605442200000001</v>
      </c>
      <c r="K1029">
        <v>9.6004338999999994E-2</v>
      </c>
      <c r="L1029">
        <v>0.70960698700000002</v>
      </c>
      <c r="M1029">
        <v>0.25</v>
      </c>
      <c r="N1029" t="e">
        <v>#N/A</v>
      </c>
      <c r="O1029" t="e">
        <v>#N/A</v>
      </c>
    </row>
    <row r="1030" spans="1:15" x14ac:dyDescent="0.25">
      <c r="A1030" t="s">
        <v>13</v>
      </c>
      <c r="B1030" t="s">
        <v>24</v>
      </c>
      <c r="C1030" s="3" t="str">
        <f>IF($B1030="GW1",VLOOKUP($A1030,Matches!$A:$AC,2,FALSE),IF($B1030="GW2",VLOOKUP($A1030,Matches!$A:$AC,9,FALSE),IF($B1030="GW3",VLOOKUP($A1030,Matches!$A:$AC,16,FALSE))))</f>
        <v>Arsenal</v>
      </c>
      <c r="D1030" s="6">
        <v>0.10933263360447824</v>
      </c>
      <c r="E1030" s="6">
        <v>0.72453267642370667</v>
      </c>
      <c r="F1030" s="6">
        <v>-0.61520004281922847</v>
      </c>
      <c r="G1030" s="3" t="s">
        <v>0</v>
      </c>
      <c r="H1030">
        <v>0.13605442200000001</v>
      </c>
      <c r="I1030">
        <v>9.5238094999999995E-2</v>
      </c>
      <c r="J1030">
        <v>0.21164021199999999</v>
      </c>
      <c r="K1030">
        <v>9.6004338999999994E-2</v>
      </c>
      <c r="L1030">
        <v>0.70960698700000002</v>
      </c>
      <c r="M1030">
        <v>0.25</v>
      </c>
      <c r="N1030" t="e">
        <v>#N/A</v>
      </c>
      <c r="O1030" t="e">
        <v>#N/A</v>
      </c>
    </row>
    <row r="1031" spans="1:15" x14ac:dyDescent="0.25">
      <c r="A1031" t="s">
        <v>13</v>
      </c>
      <c r="B1031" t="s">
        <v>24</v>
      </c>
      <c r="C1031" s="3" t="str">
        <f>IF($B1031="GW1",VLOOKUP($A1031,Matches!$A:$AC,2,FALSE),IF($B1031="GW2",VLOOKUP($A1031,Matches!$A:$AC,9,FALSE),IF($B1031="GW3",VLOOKUP($A1031,Matches!$A:$AC,16,FALSE))))</f>
        <v>Arsenal</v>
      </c>
      <c r="D1031" s="6">
        <v>0.10933263360447824</v>
      </c>
      <c r="E1031" s="6">
        <v>0.72453267642370667</v>
      </c>
      <c r="F1031" s="6">
        <v>-0.61520004281922847</v>
      </c>
      <c r="G1031" s="3" t="s">
        <v>0</v>
      </c>
      <c r="H1031">
        <v>3.6630036999999997E-2</v>
      </c>
      <c r="I1031">
        <v>3.2840722000000003E-2</v>
      </c>
      <c r="J1031">
        <v>0.307219662</v>
      </c>
      <c r="K1031">
        <v>9.6004338999999994E-2</v>
      </c>
      <c r="L1031">
        <v>0.70960698700000002</v>
      </c>
      <c r="M1031">
        <v>0.25</v>
      </c>
      <c r="N1031" t="e">
        <v>#N/A</v>
      </c>
      <c r="O1031" t="e">
        <v>#N/A</v>
      </c>
    </row>
    <row r="1032" spans="1:15" x14ac:dyDescent="0.25">
      <c r="A1032" t="s">
        <v>13</v>
      </c>
      <c r="B1032" t="s">
        <v>24</v>
      </c>
      <c r="C1032" s="3" t="str">
        <f>IF($B1032="GW1",VLOOKUP($A1032,Matches!$A:$AC,2,FALSE),IF($B1032="GW2",VLOOKUP($A1032,Matches!$A:$AC,9,FALSE),IF($B1032="GW3",VLOOKUP($A1032,Matches!$A:$AC,16,FALSE))))</f>
        <v>Arsenal</v>
      </c>
      <c r="D1032" s="6">
        <v>0.10933263360447824</v>
      </c>
      <c r="E1032" s="6">
        <v>0.72453267642370667</v>
      </c>
      <c r="F1032" s="6">
        <v>-0.61520004281922847</v>
      </c>
      <c r="G1032" s="3" t="s">
        <v>0</v>
      </c>
      <c r="H1032" t="e">
        <v>#N/A</v>
      </c>
      <c r="I1032" t="e">
        <v>#N/A</v>
      </c>
      <c r="J1032" t="e">
        <v>#N/A</v>
      </c>
      <c r="K1032">
        <v>9.6004338999999994E-2</v>
      </c>
      <c r="L1032">
        <v>0.70960698700000002</v>
      </c>
      <c r="M1032">
        <v>0.25</v>
      </c>
      <c r="N1032" t="e">
        <v>#N/A</v>
      </c>
      <c r="O1032" t="e">
        <v>#N/A</v>
      </c>
    </row>
    <row r="1033" spans="1:15" x14ac:dyDescent="0.25">
      <c r="A1033" t="s">
        <v>13</v>
      </c>
      <c r="B1033" t="s">
        <v>24</v>
      </c>
      <c r="C1033" s="3" t="str">
        <f>IF($B1033="GW1",VLOOKUP($A1033,Matches!$A:$AC,2,FALSE),IF($B1033="GW2",VLOOKUP($A1033,Matches!$A:$AC,9,FALSE),IF($B1033="GW3",VLOOKUP($A1033,Matches!$A:$AC,16,FALSE))))</f>
        <v>Arsenal</v>
      </c>
      <c r="D1033" s="6">
        <v>0.10933263360447824</v>
      </c>
      <c r="E1033" s="6">
        <v>0.72453267642370667</v>
      </c>
      <c r="F1033" s="6">
        <v>-0.61520004281922847</v>
      </c>
      <c r="G1033" s="3" t="s">
        <v>0</v>
      </c>
      <c r="H1033">
        <v>4.5351474000000003E-2</v>
      </c>
      <c r="I1033">
        <v>4.5351474000000003E-2</v>
      </c>
      <c r="J1033">
        <v>0.36350418000000001</v>
      </c>
      <c r="K1033">
        <v>9.6004338999999994E-2</v>
      </c>
      <c r="L1033">
        <v>0.70960698700000002</v>
      </c>
      <c r="M1033">
        <v>0.25</v>
      </c>
      <c r="N1033" t="e">
        <v>#N/A</v>
      </c>
      <c r="O1033" t="e">
        <v>#N/A</v>
      </c>
    </row>
    <row r="1034" spans="1:15" x14ac:dyDescent="0.25">
      <c r="A1034" t="s">
        <v>13</v>
      </c>
      <c r="B1034" t="s">
        <v>24</v>
      </c>
      <c r="C1034" s="3" t="str">
        <f>IF($B1034="GW1",VLOOKUP($A1034,Matches!$A:$AC,2,FALSE),IF($B1034="GW2",VLOOKUP($A1034,Matches!$A:$AC,9,FALSE),IF($B1034="GW3",VLOOKUP($A1034,Matches!$A:$AC,16,FALSE))))</f>
        <v>Arsenal</v>
      </c>
      <c r="D1034" s="6">
        <v>0.10933263360447824</v>
      </c>
      <c r="E1034" s="6">
        <v>0.72453267642370667</v>
      </c>
      <c r="F1034" s="6">
        <v>-0.61520004281922847</v>
      </c>
      <c r="G1034" s="3" t="s">
        <v>0</v>
      </c>
      <c r="H1034">
        <v>0.13605442200000001</v>
      </c>
      <c r="I1034">
        <v>6.3492063000000001E-2</v>
      </c>
      <c r="J1034">
        <v>0.33184005300000002</v>
      </c>
      <c r="K1034">
        <v>9.6004338999999994E-2</v>
      </c>
      <c r="L1034">
        <v>0.70960698700000002</v>
      </c>
      <c r="M1034">
        <v>0.25</v>
      </c>
      <c r="N1034" t="e">
        <v>#N/A</v>
      </c>
      <c r="O1034" t="e">
        <v>#N/A</v>
      </c>
    </row>
    <row r="1035" spans="1:15" x14ac:dyDescent="0.25">
      <c r="A1035" t="s">
        <v>13</v>
      </c>
      <c r="B1035" t="s">
        <v>24</v>
      </c>
      <c r="C1035" s="3" t="str">
        <f>IF($B1035="GW1",VLOOKUP($A1035,Matches!$A:$AC,2,FALSE),IF($B1035="GW2",VLOOKUP($A1035,Matches!$A:$AC,9,FALSE),IF($B1035="GW3",VLOOKUP($A1035,Matches!$A:$AC,16,FALSE))))</f>
        <v>Arsenal</v>
      </c>
      <c r="D1035" s="6">
        <v>0.10933263360447824</v>
      </c>
      <c r="E1035" s="6">
        <v>0.72453267642370667</v>
      </c>
      <c r="F1035" s="6">
        <v>-0.61520004281922847</v>
      </c>
      <c r="G1035" s="3" t="s">
        <v>0</v>
      </c>
      <c r="H1035">
        <v>7.3260072999999995E-2</v>
      </c>
      <c r="I1035">
        <v>5.0125312999999998E-2</v>
      </c>
      <c r="J1035">
        <v>0.21164021199999999</v>
      </c>
      <c r="K1035">
        <v>9.6004338999999994E-2</v>
      </c>
      <c r="L1035">
        <v>0.70960698700000002</v>
      </c>
      <c r="M1035">
        <v>0.25</v>
      </c>
      <c r="N1035" t="e">
        <v>#N/A</v>
      </c>
      <c r="O1035" t="e">
        <v>#N/A</v>
      </c>
    </row>
    <row r="1036" spans="1:15" x14ac:dyDescent="0.25">
      <c r="A1036" t="s">
        <v>13</v>
      </c>
      <c r="B1036" t="s">
        <v>24</v>
      </c>
      <c r="C1036" s="3" t="str">
        <f>IF($B1036="GW1",VLOOKUP($A1036,Matches!$A:$AC,2,FALSE),IF($B1036="GW2",VLOOKUP($A1036,Matches!$A:$AC,9,FALSE),IF($B1036="GW3",VLOOKUP($A1036,Matches!$A:$AC,16,FALSE))))</f>
        <v>Arsenal</v>
      </c>
      <c r="D1036" s="6">
        <v>0.10933263360447824</v>
      </c>
      <c r="E1036" s="6">
        <v>0.72453267642370667</v>
      </c>
      <c r="F1036" s="6">
        <v>-0.61520004281922847</v>
      </c>
      <c r="G1036" s="3" t="s">
        <v>0</v>
      </c>
      <c r="H1036" t="e">
        <v>#N/A</v>
      </c>
      <c r="I1036" t="e">
        <v>#N/A</v>
      </c>
      <c r="J1036" t="e">
        <v>#N/A</v>
      </c>
      <c r="K1036">
        <v>9.6004338999999994E-2</v>
      </c>
      <c r="L1036">
        <v>0.70960698700000002</v>
      </c>
      <c r="M1036">
        <v>0.25</v>
      </c>
      <c r="N1036" t="e">
        <v>#N/A</v>
      </c>
      <c r="O1036" t="e">
        <v>#N/A</v>
      </c>
    </row>
    <row r="1037" spans="1:15" x14ac:dyDescent="0.25">
      <c r="A1037" t="s">
        <v>13</v>
      </c>
      <c r="B1037" t="s">
        <v>24</v>
      </c>
      <c r="C1037" s="3" t="str">
        <f>IF($B1037="GW1",VLOOKUP($A1037,Matches!$A:$AC,2,FALSE),IF($B1037="GW2",VLOOKUP($A1037,Matches!$A:$AC,9,FALSE),IF($B1037="GW3",VLOOKUP($A1037,Matches!$A:$AC,16,FALSE))))</f>
        <v>Arsenal</v>
      </c>
      <c r="D1037" s="6">
        <v>0.10933263360447824</v>
      </c>
      <c r="E1037" s="6">
        <v>0.72453267642370667</v>
      </c>
      <c r="F1037" s="6">
        <v>-0.61520004281922847</v>
      </c>
      <c r="G1037" s="3" t="s">
        <v>0</v>
      </c>
      <c r="H1037" t="e">
        <v>#N/A</v>
      </c>
      <c r="I1037" t="e">
        <v>#N/A</v>
      </c>
      <c r="J1037" t="e">
        <v>#N/A</v>
      </c>
      <c r="K1037">
        <v>9.6004338999999994E-2</v>
      </c>
      <c r="L1037">
        <v>0.70960698700000002</v>
      </c>
      <c r="M1037">
        <v>0.25</v>
      </c>
      <c r="N1037" t="e">
        <v>#N/A</v>
      </c>
      <c r="O1037" t="e">
        <v>#N/A</v>
      </c>
    </row>
    <row r="1038" spans="1:15" x14ac:dyDescent="0.25">
      <c r="A1038" t="s">
        <v>13</v>
      </c>
      <c r="B1038" t="s">
        <v>24</v>
      </c>
      <c r="C1038" s="3" t="str">
        <f>IF($B1038="GW1",VLOOKUP($A1038,Matches!$A:$AC,2,FALSE),IF($B1038="GW2",VLOOKUP($A1038,Matches!$A:$AC,9,FALSE),IF($B1038="GW3",VLOOKUP($A1038,Matches!$A:$AC,16,FALSE))))</f>
        <v>Arsenal</v>
      </c>
      <c r="D1038" s="6">
        <v>0.10933263360447824</v>
      </c>
      <c r="E1038" s="6">
        <v>0.72453267642370667</v>
      </c>
      <c r="F1038" s="6">
        <v>-0.61520004281922847</v>
      </c>
      <c r="G1038" s="3" t="s">
        <v>0</v>
      </c>
      <c r="H1038" t="e">
        <v>#N/A</v>
      </c>
      <c r="I1038" t="e">
        <v>#N/A</v>
      </c>
      <c r="J1038" t="e">
        <v>#N/A</v>
      </c>
      <c r="K1038">
        <v>9.6004338999999994E-2</v>
      </c>
      <c r="L1038">
        <v>0.70960698700000002</v>
      </c>
      <c r="M1038">
        <v>0.25</v>
      </c>
      <c r="N1038" t="e">
        <v>#N/A</v>
      </c>
      <c r="O1038" t="e">
        <v>#N/A</v>
      </c>
    </row>
    <row r="1039" spans="1:15" x14ac:dyDescent="0.25">
      <c r="A1039" t="s">
        <v>13</v>
      </c>
      <c r="B1039" t="s">
        <v>24</v>
      </c>
      <c r="C1039" s="3" t="str">
        <f>IF($B1039="GW1",VLOOKUP($A1039,Matches!$A:$AC,2,FALSE),IF($B1039="GW2",VLOOKUP($A1039,Matches!$A:$AC,9,FALSE),IF($B1039="GW3",VLOOKUP($A1039,Matches!$A:$AC,16,FALSE))))</f>
        <v>Arsenal</v>
      </c>
      <c r="D1039" s="6">
        <v>0.10933263360447824</v>
      </c>
      <c r="E1039" s="6">
        <v>0.72453267642370667</v>
      </c>
      <c r="F1039" s="6">
        <v>-0.61520004281922847</v>
      </c>
      <c r="G1039" s="3" t="s">
        <v>0</v>
      </c>
      <c r="H1039">
        <v>0.19047618999999999</v>
      </c>
      <c r="I1039">
        <v>5.0125312999999998E-2</v>
      </c>
      <c r="J1039">
        <v>0.173160173</v>
      </c>
      <c r="K1039">
        <v>9.6004338999999994E-2</v>
      </c>
      <c r="L1039">
        <v>0.70960698700000002</v>
      </c>
      <c r="M1039">
        <v>0.25</v>
      </c>
      <c r="N1039" t="e">
        <v>#N/A</v>
      </c>
      <c r="O1039" t="e">
        <v>#N/A</v>
      </c>
    </row>
    <row r="1040" spans="1:15" x14ac:dyDescent="0.25">
      <c r="A1040" t="s">
        <v>13</v>
      </c>
      <c r="B1040" t="s">
        <v>24</v>
      </c>
      <c r="C1040" s="3" t="str">
        <f>IF($B1040="GW1",VLOOKUP($A1040,Matches!$A:$AC,2,FALSE),IF($B1040="GW2",VLOOKUP($A1040,Matches!$A:$AC,9,FALSE),IF($B1040="GW3",VLOOKUP($A1040,Matches!$A:$AC,16,FALSE))))</f>
        <v>Arsenal</v>
      </c>
      <c r="D1040" s="6">
        <v>0.10933263360447824</v>
      </c>
      <c r="E1040" s="6">
        <v>0.72453267642370667</v>
      </c>
      <c r="F1040" s="6">
        <v>-0.61520004281922847</v>
      </c>
      <c r="G1040" s="3" t="s">
        <v>0</v>
      </c>
      <c r="H1040" t="e">
        <v>#N/A</v>
      </c>
      <c r="I1040" t="e">
        <v>#N/A</v>
      </c>
      <c r="J1040" t="e">
        <v>#N/A</v>
      </c>
      <c r="K1040">
        <v>9.6004338999999994E-2</v>
      </c>
      <c r="L1040">
        <v>0.70960698700000002</v>
      </c>
      <c r="M1040">
        <v>0.25</v>
      </c>
      <c r="N1040" t="e">
        <v>#N/A</v>
      </c>
      <c r="O1040" t="e">
        <v>#N/A</v>
      </c>
    </row>
    <row r="1041" spans="1:15" x14ac:dyDescent="0.25">
      <c r="A1041" t="s">
        <v>13</v>
      </c>
      <c r="B1041" t="s">
        <v>24</v>
      </c>
      <c r="C1041" s="3" t="str">
        <f>IF($B1041="GW1",VLOOKUP($A1041,Matches!$A:$AC,2,FALSE),IF($B1041="GW2",VLOOKUP($A1041,Matches!$A:$AC,9,FALSE),IF($B1041="GW3",VLOOKUP($A1041,Matches!$A:$AC,16,FALSE))))</f>
        <v>Arsenal</v>
      </c>
      <c r="D1041" s="6">
        <v>0.10933263360447824</v>
      </c>
      <c r="E1041" s="6">
        <v>0.72453267642370667</v>
      </c>
      <c r="F1041" s="6">
        <v>-0.61520004281922847</v>
      </c>
      <c r="G1041" s="3" t="s">
        <v>0</v>
      </c>
      <c r="H1041" t="e">
        <v>#N/A</v>
      </c>
      <c r="I1041" t="e">
        <v>#N/A</v>
      </c>
      <c r="J1041" t="e">
        <v>#N/A</v>
      </c>
      <c r="K1041">
        <v>9.6004338999999994E-2</v>
      </c>
      <c r="L1041">
        <v>0.70960698700000002</v>
      </c>
      <c r="M1041">
        <v>0.25</v>
      </c>
      <c r="N1041" t="e">
        <v>#N/A</v>
      </c>
      <c r="O1041" t="e">
        <v>#N/A</v>
      </c>
    </row>
    <row r="1042" spans="1:15" x14ac:dyDescent="0.25">
      <c r="A1042" t="s">
        <v>13</v>
      </c>
      <c r="B1042" t="s">
        <v>24</v>
      </c>
      <c r="C1042" s="3" t="str">
        <f>IF($B1042="GW1",VLOOKUP($A1042,Matches!$A:$AC,2,FALSE),IF($B1042="GW2",VLOOKUP($A1042,Matches!$A:$AC,9,FALSE),IF($B1042="GW3",VLOOKUP($A1042,Matches!$A:$AC,16,FALSE))))</f>
        <v>Arsenal</v>
      </c>
      <c r="D1042" s="6">
        <v>0.10933263360447824</v>
      </c>
      <c r="E1042" s="6">
        <v>0.72453267642370667</v>
      </c>
      <c r="F1042" s="6">
        <v>-0.61520004281922847</v>
      </c>
      <c r="G1042" s="3" t="s">
        <v>0</v>
      </c>
      <c r="H1042">
        <v>0.15873015900000001</v>
      </c>
      <c r="I1042">
        <v>5.6022409000000002E-2</v>
      </c>
      <c r="J1042">
        <v>0.21164021199999999</v>
      </c>
      <c r="K1042">
        <v>9.6004338999999994E-2</v>
      </c>
      <c r="L1042">
        <v>0.70960698700000002</v>
      </c>
      <c r="M1042">
        <v>0.25</v>
      </c>
      <c r="N1042" t="e">
        <v>#N/A</v>
      </c>
      <c r="O1042" t="e">
        <v>#N/A</v>
      </c>
    </row>
    <row r="1043" spans="1:15" x14ac:dyDescent="0.25">
      <c r="A1043" t="s">
        <v>13</v>
      </c>
      <c r="B1043" t="s">
        <v>24</v>
      </c>
      <c r="C1043" s="3" t="str">
        <f>IF($B1043="GW1",VLOOKUP($A1043,Matches!$A:$AC,2,FALSE),IF($B1043="GW2",VLOOKUP($A1043,Matches!$A:$AC,9,FALSE),IF($B1043="GW3",VLOOKUP($A1043,Matches!$A:$AC,16,FALSE))))</f>
        <v>Arsenal</v>
      </c>
      <c r="D1043" s="6">
        <v>0.10933263360447824</v>
      </c>
      <c r="E1043" s="6">
        <v>0.72453267642370667</v>
      </c>
      <c r="F1043" s="6">
        <v>-0.61520004281922847</v>
      </c>
      <c r="G1043" s="3" t="s">
        <v>0</v>
      </c>
      <c r="H1043">
        <v>5.6022409000000002E-2</v>
      </c>
      <c r="I1043">
        <v>4.5351474000000003E-2</v>
      </c>
      <c r="J1043">
        <v>0.253968254</v>
      </c>
      <c r="K1043">
        <v>9.6004338999999994E-2</v>
      </c>
      <c r="L1043">
        <v>0.70960698700000002</v>
      </c>
      <c r="M1043">
        <v>0.25</v>
      </c>
      <c r="N1043" t="e">
        <v>#N/A</v>
      </c>
      <c r="O1043" t="e">
        <v>#N/A</v>
      </c>
    </row>
    <row r="1044" spans="1:15" x14ac:dyDescent="0.25">
      <c r="A1044" t="s">
        <v>13</v>
      </c>
      <c r="B1044" t="s">
        <v>24</v>
      </c>
      <c r="C1044" s="3" t="str">
        <f>IF($B1044="GW1",VLOOKUP($A1044,Matches!$A:$AC,2,FALSE),IF($B1044="GW2",VLOOKUP($A1044,Matches!$A:$AC,9,FALSE),IF($B1044="GW3",VLOOKUP($A1044,Matches!$A:$AC,16,FALSE))))</f>
        <v>Arsenal</v>
      </c>
      <c r="D1044" s="6">
        <v>0.10933263360447824</v>
      </c>
      <c r="E1044" s="6">
        <v>0.72453267642370667</v>
      </c>
      <c r="F1044" s="6">
        <v>-0.61520004281922847</v>
      </c>
      <c r="G1044" s="3" t="s">
        <v>0</v>
      </c>
      <c r="H1044">
        <v>8.6580087E-2</v>
      </c>
      <c r="I1044">
        <v>4.5351474000000003E-2</v>
      </c>
      <c r="J1044">
        <v>0.21994941200000001</v>
      </c>
      <c r="K1044">
        <v>9.6004338999999994E-2</v>
      </c>
      <c r="L1044">
        <v>0.70960698700000002</v>
      </c>
      <c r="M1044">
        <v>0.25</v>
      </c>
      <c r="N1044" t="e">
        <v>#N/A</v>
      </c>
      <c r="O1044" t="e">
        <v>#N/A</v>
      </c>
    </row>
    <row r="1045" spans="1:15" x14ac:dyDescent="0.25">
      <c r="A1045" t="s">
        <v>13</v>
      </c>
      <c r="B1045" t="s">
        <v>24</v>
      </c>
      <c r="C1045" s="3" t="str">
        <f>IF($B1045="GW1",VLOOKUP($A1045,Matches!$A:$AC,2,FALSE),IF($B1045="GW2",VLOOKUP($A1045,Matches!$A:$AC,9,FALSE),IF($B1045="GW3",VLOOKUP($A1045,Matches!$A:$AC,16,FALSE))))</f>
        <v>Arsenal</v>
      </c>
      <c r="D1045" s="6">
        <v>0.10933263360447824</v>
      </c>
      <c r="E1045" s="6">
        <v>0.72453267642370667</v>
      </c>
      <c r="F1045" s="6">
        <v>-0.61520004281922847</v>
      </c>
      <c r="G1045" s="3" t="s">
        <v>0</v>
      </c>
      <c r="H1045" t="e">
        <v>#N/A</v>
      </c>
      <c r="I1045" t="e">
        <v>#N/A</v>
      </c>
      <c r="J1045">
        <v>0.15873015900000001</v>
      </c>
      <c r="K1045">
        <v>9.6004338999999994E-2</v>
      </c>
      <c r="L1045">
        <v>0.70960698700000002</v>
      </c>
      <c r="M1045">
        <v>0.25</v>
      </c>
      <c r="N1045">
        <v>0.807102502</v>
      </c>
      <c r="O1045">
        <v>0.29304029300000001</v>
      </c>
    </row>
    <row r="1046" spans="1:15" x14ac:dyDescent="0.25">
      <c r="A1046" t="s">
        <v>14</v>
      </c>
      <c r="B1046" t="s">
        <v>24</v>
      </c>
      <c r="C1046" s="3" t="str">
        <f>IF($B1046="GW1",VLOOKUP($A1046,Matches!$A:$AC,2,FALSE),IF($B1046="GW2",VLOOKUP($A1046,Matches!$A:$AC,9,FALSE),IF($B1046="GW3",VLOOKUP($A1046,Matches!$A:$AC,16,FALSE))))</f>
        <v>Newcastle</v>
      </c>
      <c r="D1046" s="6">
        <v>0.44535494789347108</v>
      </c>
      <c r="E1046" s="6">
        <v>0.31217806636905693</v>
      </c>
      <c r="F1046" s="6">
        <v>0.13317688152441415</v>
      </c>
      <c r="G1046" s="3" t="s">
        <v>0</v>
      </c>
      <c r="H1046" t="e">
        <v>#N/A</v>
      </c>
      <c r="I1046" t="e">
        <v>#N/A</v>
      </c>
      <c r="J1046">
        <v>0.19047618999999999</v>
      </c>
      <c r="K1046">
        <v>0.26778242699999999</v>
      </c>
      <c r="L1046">
        <v>0.41099476400000001</v>
      </c>
      <c r="M1046">
        <v>6.4254522999999994E-2</v>
      </c>
      <c r="N1046">
        <v>0.606612072</v>
      </c>
      <c r="O1046">
        <v>0.105820106</v>
      </c>
    </row>
    <row r="1047" spans="1:15" x14ac:dyDescent="0.25">
      <c r="A1047" t="s">
        <v>14</v>
      </c>
      <c r="B1047" t="s">
        <v>24</v>
      </c>
      <c r="C1047" s="3" t="str">
        <f>IF($B1047="GW1",VLOOKUP($A1047,Matches!$A:$AC,2,FALSE),IF($B1047="GW2",VLOOKUP($A1047,Matches!$A:$AC,9,FALSE),IF($B1047="GW3",VLOOKUP($A1047,Matches!$A:$AC,16,FALSE))))</f>
        <v>Newcastle</v>
      </c>
      <c r="D1047" s="6">
        <v>0.44535494789347108</v>
      </c>
      <c r="E1047" s="6">
        <v>0.31217806636905693</v>
      </c>
      <c r="F1047" s="6">
        <v>0.13317688152441415</v>
      </c>
      <c r="G1047" s="3" t="s">
        <v>0</v>
      </c>
      <c r="H1047" t="e">
        <v>#N/A</v>
      </c>
      <c r="I1047" t="e">
        <v>#N/A</v>
      </c>
      <c r="J1047">
        <v>0.15873015900000001</v>
      </c>
      <c r="K1047">
        <v>0.26778242699999999</v>
      </c>
      <c r="L1047">
        <v>0.41099476400000001</v>
      </c>
      <c r="M1047">
        <v>6.4254522999999994E-2</v>
      </c>
      <c r="N1047" t="e">
        <v>#N/A</v>
      </c>
      <c r="O1047" t="e">
        <v>#N/A</v>
      </c>
    </row>
    <row r="1048" spans="1:15" x14ac:dyDescent="0.25">
      <c r="A1048" t="s">
        <v>14</v>
      </c>
      <c r="B1048" t="s">
        <v>24</v>
      </c>
      <c r="C1048" s="3" t="str">
        <f>IF($B1048="GW1",VLOOKUP($A1048,Matches!$A:$AC,2,FALSE),IF($B1048="GW2",VLOOKUP($A1048,Matches!$A:$AC,9,FALSE),IF($B1048="GW3",VLOOKUP($A1048,Matches!$A:$AC,16,FALSE))))</f>
        <v>Newcastle</v>
      </c>
      <c r="D1048" s="6">
        <v>0.44535494789347108</v>
      </c>
      <c r="E1048" s="6">
        <v>0.31217806636905693</v>
      </c>
      <c r="F1048" s="6">
        <v>0.13317688152441415</v>
      </c>
      <c r="G1048" s="3" t="s">
        <v>0</v>
      </c>
      <c r="H1048" t="e">
        <v>#N/A</v>
      </c>
      <c r="I1048" t="e">
        <v>#N/A</v>
      </c>
      <c r="J1048" t="e">
        <v>#N/A</v>
      </c>
      <c r="K1048">
        <v>0.26778242699999999</v>
      </c>
      <c r="L1048">
        <v>0.41099476400000001</v>
      </c>
      <c r="M1048">
        <v>6.4254522999999994E-2</v>
      </c>
      <c r="N1048" t="e">
        <v>#N/A</v>
      </c>
      <c r="O1048" t="e">
        <v>#N/A</v>
      </c>
    </row>
    <row r="1049" spans="1:15" x14ac:dyDescent="0.25">
      <c r="A1049" t="s">
        <v>14</v>
      </c>
      <c r="B1049" t="s">
        <v>24</v>
      </c>
      <c r="C1049" s="3" t="str">
        <f>IF($B1049="GW1",VLOOKUP($A1049,Matches!$A:$AC,2,FALSE),IF($B1049="GW2",VLOOKUP($A1049,Matches!$A:$AC,9,FALSE),IF($B1049="GW3",VLOOKUP($A1049,Matches!$A:$AC,16,FALSE))))</f>
        <v>Newcastle</v>
      </c>
      <c r="D1049" s="6">
        <v>0.44535494789347108</v>
      </c>
      <c r="E1049" s="6">
        <v>0.31217806636905693</v>
      </c>
      <c r="F1049" s="6">
        <v>0.13317688152441415</v>
      </c>
      <c r="G1049" s="3" t="s">
        <v>0</v>
      </c>
      <c r="H1049" t="e">
        <v>#N/A</v>
      </c>
      <c r="I1049" t="e">
        <v>#N/A</v>
      </c>
      <c r="J1049">
        <v>0.15873015900000001</v>
      </c>
      <c r="K1049">
        <v>0.26778242699999999</v>
      </c>
      <c r="L1049">
        <v>0.41099476400000001</v>
      </c>
      <c r="M1049">
        <v>6.4254522999999994E-2</v>
      </c>
      <c r="N1049" t="e">
        <v>#N/A</v>
      </c>
      <c r="O1049" t="e">
        <v>#N/A</v>
      </c>
    </row>
    <row r="1050" spans="1:15" x14ac:dyDescent="0.25">
      <c r="A1050" t="s">
        <v>14</v>
      </c>
      <c r="B1050" t="s">
        <v>24</v>
      </c>
      <c r="C1050" s="3" t="str">
        <f>IF($B1050="GW1",VLOOKUP($A1050,Matches!$A:$AC,2,FALSE),IF($B1050="GW2",VLOOKUP($A1050,Matches!$A:$AC,9,FALSE),IF($B1050="GW3",VLOOKUP($A1050,Matches!$A:$AC,16,FALSE))))</f>
        <v>Newcastle</v>
      </c>
      <c r="D1050" s="6">
        <v>0.44535494789347108</v>
      </c>
      <c r="E1050" s="6">
        <v>0.31217806636905693</v>
      </c>
      <c r="F1050" s="6">
        <v>0.13317688152441415</v>
      </c>
      <c r="G1050" s="3" t="s">
        <v>0</v>
      </c>
      <c r="H1050">
        <v>0.13605442200000001</v>
      </c>
      <c r="I1050">
        <v>0.19047618999999999</v>
      </c>
      <c r="J1050">
        <v>0.26455026500000001</v>
      </c>
      <c r="K1050">
        <v>0.26778242699999999</v>
      </c>
      <c r="L1050">
        <v>0.41099476400000001</v>
      </c>
      <c r="M1050">
        <v>6.4254522999999994E-2</v>
      </c>
      <c r="N1050" t="e">
        <v>#N/A</v>
      </c>
      <c r="O1050" t="e">
        <v>#N/A</v>
      </c>
    </row>
    <row r="1051" spans="1:15" x14ac:dyDescent="0.25">
      <c r="A1051" t="s">
        <v>14</v>
      </c>
      <c r="B1051" t="s">
        <v>24</v>
      </c>
      <c r="C1051" s="3" t="str">
        <f>IF($B1051="GW1",VLOOKUP($A1051,Matches!$A:$AC,2,FALSE),IF($B1051="GW2",VLOOKUP($A1051,Matches!$A:$AC,9,FALSE),IF($B1051="GW3",VLOOKUP($A1051,Matches!$A:$AC,16,FALSE))))</f>
        <v>Newcastle</v>
      </c>
      <c r="D1051" s="6">
        <v>0.44535494789347108</v>
      </c>
      <c r="E1051" s="6">
        <v>0.31217806636905693</v>
      </c>
      <c r="F1051" s="6">
        <v>0.13317688152441415</v>
      </c>
      <c r="G1051" s="3" t="s">
        <v>0</v>
      </c>
      <c r="H1051">
        <v>7.3260072999999995E-2</v>
      </c>
      <c r="I1051">
        <v>0.105820106</v>
      </c>
      <c r="J1051">
        <v>0.26455026500000001</v>
      </c>
      <c r="K1051">
        <v>0.26778242699999999</v>
      </c>
      <c r="L1051">
        <v>0.41099476400000001</v>
      </c>
      <c r="M1051">
        <v>6.4254522999999994E-2</v>
      </c>
      <c r="N1051" t="e">
        <v>#N/A</v>
      </c>
      <c r="O1051" t="e">
        <v>#N/A</v>
      </c>
    </row>
    <row r="1052" spans="1:15" x14ac:dyDescent="0.25">
      <c r="A1052" t="s">
        <v>14</v>
      </c>
      <c r="B1052" t="s">
        <v>24</v>
      </c>
      <c r="C1052" s="3" t="str">
        <f>IF($B1052="GW1",VLOOKUP($A1052,Matches!$A:$AC,2,FALSE),IF($B1052="GW2",VLOOKUP($A1052,Matches!$A:$AC,9,FALSE),IF($B1052="GW3",VLOOKUP($A1052,Matches!$A:$AC,16,FALSE))))</f>
        <v>Newcastle</v>
      </c>
      <c r="D1052" s="6">
        <v>0.44535494789347108</v>
      </c>
      <c r="E1052" s="6">
        <v>0.31217806636905693</v>
      </c>
      <c r="F1052" s="6">
        <v>0.13317688152441415</v>
      </c>
      <c r="G1052" s="3" t="s">
        <v>0</v>
      </c>
      <c r="H1052">
        <v>7.3260072999999995E-2</v>
      </c>
      <c r="I1052">
        <v>0.14652014699999999</v>
      </c>
      <c r="J1052">
        <v>0.26455026500000001</v>
      </c>
      <c r="K1052">
        <v>0.26778242699999999</v>
      </c>
      <c r="L1052">
        <v>0.41099476400000001</v>
      </c>
      <c r="M1052">
        <v>6.4254522999999994E-2</v>
      </c>
      <c r="N1052" t="e">
        <v>#N/A</v>
      </c>
      <c r="O1052" t="e">
        <v>#N/A</v>
      </c>
    </row>
    <row r="1053" spans="1:15" x14ac:dyDescent="0.25">
      <c r="A1053" t="s">
        <v>14</v>
      </c>
      <c r="B1053" t="s">
        <v>24</v>
      </c>
      <c r="C1053" s="3" t="str">
        <f>IF($B1053="GW1",VLOOKUP($A1053,Matches!$A:$AC,2,FALSE),IF($B1053="GW2",VLOOKUP($A1053,Matches!$A:$AC,9,FALSE),IF($B1053="GW3",VLOOKUP($A1053,Matches!$A:$AC,16,FALSE))))</f>
        <v>Newcastle</v>
      </c>
      <c r="D1053" s="6">
        <v>0.44535494789347108</v>
      </c>
      <c r="E1053" s="6">
        <v>0.31217806636905693</v>
      </c>
      <c r="F1053" s="6">
        <v>0.13317688152441415</v>
      </c>
      <c r="G1053" s="3" t="s">
        <v>0</v>
      </c>
      <c r="H1053">
        <v>0.10025062699999999</v>
      </c>
      <c r="I1053">
        <v>3.6630036999999997E-2</v>
      </c>
      <c r="J1053">
        <v>0.19047618999999999</v>
      </c>
      <c r="K1053">
        <v>0.26778242699999999</v>
      </c>
      <c r="L1053">
        <v>0.41099476400000001</v>
      </c>
      <c r="M1053">
        <v>6.4254522999999994E-2</v>
      </c>
      <c r="N1053" t="e">
        <v>#N/A</v>
      </c>
      <c r="O1053" t="e">
        <v>#N/A</v>
      </c>
    </row>
    <row r="1054" spans="1:15" x14ac:dyDescent="0.25">
      <c r="A1054" t="s">
        <v>14</v>
      </c>
      <c r="B1054" t="s">
        <v>24</v>
      </c>
      <c r="C1054" s="3" t="str">
        <f>IF($B1054="GW1",VLOOKUP($A1054,Matches!$A:$AC,2,FALSE),IF($B1054="GW2",VLOOKUP($A1054,Matches!$A:$AC,9,FALSE),IF($B1054="GW3",VLOOKUP($A1054,Matches!$A:$AC,16,FALSE))))</f>
        <v>Newcastle</v>
      </c>
      <c r="D1054" s="6">
        <v>0.44535494789347108</v>
      </c>
      <c r="E1054" s="6">
        <v>0.31217806636905693</v>
      </c>
      <c r="F1054" s="6">
        <v>0.13317688152441415</v>
      </c>
      <c r="G1054" s="3" t="s">
        <v>0</v>
      </c>
      <c r="H1054">
        <v>7.3260072999999995E-2</v>
      </c>
      <c r="I1054">
        <v>3.2840722000000003E-2</v>
      </c>
      <c r="J1054">
        <v>0.31746031699999999</v>
      </c>
      <c r="K1054">
        <v>0.26778242699999999</v>
      </c>
      <c r="L1054">
        <v>0.41099476400000001</v>
      </c>
      <c r="M1054">
        <v>6.4254522999999994E-2</v>
      </c>
      <c r="N1054" t="e">
        <v>#N/A</v>
      </c>
      <c r="O1054" t="e">
        <v>#N/A</v>
      </c>
    </row>
    <row r="1055" spans="1:15" x14ac:dyDescent="0.25">
      <c r="A1055" t="s">
        <v>14</v>
      </c>
      <c r="B1055" t="s">
        <v>24</v>
      </c>
      <c r="C1055" s="3" t="str">
        <f>IF($B1055="GW1",VLOOKUP($A1055,Matches!$A:$AC,2,FALSE),IF($B1055="GW2",VLOOKUP($A1055,Matches!$A:$AC,9,FALSE),IF($B1055="GW3",VLOOKUP($A1055,Matches!$A:$AC,16,FALSE))))</f>
        <v>Newcastle</v>
      </c>
      <c r="D1055" s="6">
        <v>0.44535494789347108</v>
      </c>
      <c r="E1055" s="6">
        <v>0.31217806636905693</v>
      </c>
      <c r="F1055" s="6">
        <v>0.13317688152441415</v>
      </c>
      <c r="G1055" s="3" t="s">
        <v>0</v>
      </c>
      <c r="H1055">
        <v>0.126984127</v>
      </c>
      <c r="I1055">
        <v>0.13605442200000001</v>
      </c>
      <c r="J1055">
        <v>0.39682539700000002</v>
      </c>
      <c r="K1055">
        <v>0.26778242699999999</v>
      </c>
      <c r="L1055">
        <v>0.41099476400000001</v>
      </c>
      <c r="M1055">
        <v>6.4254522999999994E-2</v>
      </c>
      <c r="N1055" t="e">
        <v>#N/A</v>
      </c>
      <c r="O1055" t="e">
        <v>#N/A</v>
      </c>
    </row>
    <row r="1056" spans="1:15" x14ac:dyDescent="0.25">
      <c r="A1056" t="s">
        <v>14</v>
      </c>
      <c r="B1056" t="s">
        <v>24</v>
      </c>
      <c r="C1056" s="3" t="str">
        <f>IF($B1056="GW1",VLOOKUP($A1056,Matches!$A:$AC,2,FALSE),IF($B1056="GW2",VLOOKUP($A1056,Matches!$A:$AC,9,FALSE),IF($B1056="GW3",VLOOKUP($A1056,Matches!$A:$AC,16,FALSE))))</f>
        <v>Newcastle</v>
      </c>
      <c r="D1056" s="6">
        <v>0.44535494789347108</v>
      </c>
      <c r="E1056" s="6">
        <v>0.31217806636905693</v>
      </c>
      <c r="F1056" s="6">
        <v>0.13317688152441415</v>
      </c>
      <c r="G1056" s="3" t="s">
        <v>0</v>
      </c>
      <c r="H1056">
        <v>0.10025062699999999</v>
      </c>
      <c r="I1056">
        <v>6.3492063000000001E-2</v>
      </c>
      <c r="J1056">
        <v>0.29304029300000001</v>
      </c>
      <c r="K1056">
        <v>0.26778242699999999</v>
      </c>
      <c r="L1056">
        <v>0.41099476400000001</v>
      </c>
      <c r="M1056">
        <v>6.4254522999999994E-2</v>
      </c>
      <c r="N1056" t="e">
        <v>#N/A</v>
      </c>
      <c r="O1056" t="e">
        <v>#N/A</v>
      </c>
    </row>
    <row r="1057" spans="1:15" x14ac:dyDescent="0.25">
      <c r="A1057" t="s">
        <v>14</v>
      </c>
      <c r="B1057" t="s">
        <v>24</v>
      </c>
      <c r="C1057" s="3" t="str">
        <f>IF($B1057="GW1",VLOOKUP($A1057,Matches!$A:$AC,2,FALSE),IF($B1057="GW2",VLOOKUP($A1057,Matches!$A:$AC,9,FALSE),IF($B1057="GW3",VLOOKUP($A1057,Matches!$A:$AC,16,FALSE))))</f>
        <v>Newcastle</v>
      </c>
      <c r="D1057" s="6">
        <v>0.44535494789347108</v>
      </c>
      <c r="E1057" s="6">
        <v>0.31217806636905693</v>
      </c>
      <c r="F1057" s="6">
        <v>0.13317688152441415</v>
      </c>
      <c r="G1057" s="3" t="s">
        <v>0</v>
      </c>
      <c r="H1057">
        <v>5.6022409000000002E-2</v>
      </c>
      <c r="I1057">
        <v>0.14652014699999999</v>
      </c>
      <c r="J1057">
        <v>0.29304029300000001</v>
      </c>
      <c r="K1057">
        <v>0.26778242699999999</v>
      </c>
      <c r="L1057">
        <v>0.41099476400000001</v>
      </c>
      <c r="M1057">
        <v>6.4254522999999994E-2</v>
      </c>
      <c r="N1057" t="e">
        <v>#N/A</v>
      </c>
      <c r="O1057" t="e">
        <v>#N/A</v>
      </c>
    </row>
    <row r="1058" spans="1:15" x14ac:dyDescent="0.25">
      <c r="A1058" t="s">
        <v>14</v>
      </c>
      <c r="B1058" t="s">
        <v>24</v>
      </c>
      <c r="C1058" s="3" t="str">
        <f>IF($B1058="GW1",VLOOKUP($A1058,Matches!$A:$AC,2,FALSE),IF($B1058="GW2",VLOOKUP($A1058,Matches!$A:$AC,9,FALSE),IF($B1058="GW3",VLOOKUP($A1058,Matches!$A:$AC,16,FALSE))))</f>
        <v>Newcastle</v>
      </c>
      <c r="D1058" s="6">
        <v>0.44535494789347108</v>
      </c>
      <c r="E1058" s="6">
        <v>0.31217806636905693</v>
      </c>
      <c r="F1058" s="6">
        <v>0.13317688152441415</v>
      </c>
      <c r="G1058" s="3" t="s">
        <v>0</v>
      </c>
      <c r="H1058" t="e">
        <v>#N/A</v>
      </c>
      <c r="I1058" t="e">
        <v>#N/A</v>
      </c>
      <c r="J1058" t="e">
        <v>#N/A</v>
      </c>
      <c r="K1058">
        <v>0.26778242699999999</v>
      </c>
      <c r="L1058">
        <v>0.41099476400000001</v>
      </c>
      <c r="M1058">
        <v>6.4254522999999994E-2</v>
      </c>
      <c r="N1058" t="e">
        <v>#N/A</v>
      </c>
      <c r="O1058" t="e">
        <v>#N/A</v>
      </c>
    </row>
    <row r="1059" spans="1:15" x14ac:dyDescent="0.25">
      <c r="A1059" t="s">
        <v>14</v>
      </c>
      <c r="B1059" t="s">
        <v>24</v>
      </c>
      <c r="C1059" s="3" t="str">
        <f>IF($B1059="GW1",VLOOKUP($A1059,Matches!$A:$AC,2,FALSE),IF($B1059="GW2",VLOOKUP($A1059,Matches!$A:$AC,9,FALSE),IF($B1059="GW3",VLOOKUP($A1059,Matches!$A:$AC,16,FALSE))))</f>
        <v>Newcastle</v>
      </c>
      <c r="D1059" s="6">
        <v>0.44535494789347108</v>
      </c>
      <c r="E1059" s="6">
        <v>0.31217806636905693</v>
      </c>
      <c r="F1059" s="6">
        <v>0.13317688152441415</v>
      </c>
      <c r="G1059" s="3" t="s">
        <v>0</v>
      </c>
      <c r="H1059" t="e">
        <v>#N/A</v>
      </c>
      <c r="I1059" t="e">
        <v>#N/A</v>
      </c>
      <c r="J1059" t="e">
        <v>#N/A</v>
      </c>
      <c r="K1059">
        <v>0.26778242699999999</v>
      </c>
      <c r="L1059">
        <v>0.41099476400000001</v>
      </c>
      <c r="M1059">
        <v>6.4254522999999994E-2</v>
      </c>
      <c r="N1059" t="e">
        <v>#N/A</v>
      </c>
      <c r="O1059" t="e">
        <v>#N/A</v>
      </c>
    </row>
    <row r="1060" spans="1:15" x14ac:dyDescent="0.25">
      <c r="A1060" t="s">
        <v>14</v>
      </c>
      <c r="B1060" t="s">
        <v>24</v>
      </c>
      <c r="C1060" s="3" t="str">
        <f>IF($B1060="GW1",VLOOKUP($A1060,Matches!$A:$AC,2,FALSE),IF($B1060="GW2",VLOOKUP($A1060,Matches!$A:$AC,9,FALSE),IF($B1060="GW3",VLOOKUP($A1060,Matches!$A:$AC,16,FALSE))))</f>
        <v>Newcastle</v>
      </c>
      <c r="D1060" s="6">
        <v>0.44535494789347108</v>
      </c>
      <c r="E1060" s="6">
        <v>0.31217806636905693</v>
      </c>
      <c r="F1060" s="6">
        <v>0.13317688152441415</v>
      </c>
      <c r="G1060" s="3" t="s">
        <v>0</v>
      </c>
      <c r="H1060" t="e">
        <v>#N/A</v>
      </c>
      <c r="I1060" t="e">
        <v>#N/A</v>
      </c>
      <c r="J1060" t="e">
        <v>#N/A</v>
      </c>
      <c r="K1060">
        <v>0.26778242699999999</v>
      </c>
      <c r="L1060">
        <v>0.41099476400000001</v>
      </c>
      <c r="M1060">
        <v>6.4254522999999994E-2</v>
      </c>
      <c r="N1060" t="e">
        <v>#N/A</v>
      </c>
      <c r="O1060" t="e">
        <v>#N/A</v>
      </c>
    </row>
    <row r="1061" spans="1:15" x14ac:dyDescent="0.25">
      <c r="A1061" t="s">
        <v>14</v>
      </c>
      <c r="B1061" t="s">
        <v>24</v>
      </c>
      <c r="C1061" s="3" t="str">
        <f>IF($B1061="GW1",VLOOKUP($A1061,Matches!$A:$AC,2,FALSE),IF($B1061="GW2",VLOOKUP($A1061,Matches!$A:$AC,9,FALSE),IF($B1061="GW3",VLOOKUP($A1061,Matches!$A:$AC,16,FALSE))))</f>
        <v>Newcastle</v>
      </c>
      <c r="D1061" s="6">
        <v>0.44535494789347108</v>
      </c>
      <c r="E1061" s="6">
        <v>0.31217806636905693</v>
      </c>
      <c r="F1061" s="6">
        <v>0.13317688152441415</v>
      </c>
      <c r="G1061" s="3" t="s">
        <v>0</v>
      </c>
      <c r="H1061">
        <v>0.453514739</v>
      </c>
      <c r="I1061">
        <v>0.253968254</v>
      </c>
      <c r="J1061">
        <v>0.126984127</v>
      </c>
      <c r="K1061">
        <v>0.26778242699999999</v>
      </c>
      <c r="L1061">
        <v>0.41099476400000001</v>
      </c>
      <c r="M1061">
        <v>6.4254522999999994E-2</v>
      </c>
      <c r="N1061" t="e">
        <v>#N/A</v>
      </c>
      <c r="O1061" t="e">
        <v>#N/A</v>
      </c>
    </row>
    <row r="1062" spans="1:15" x14ac:dyDescent="0.25">
      <c r="A1062" t="s">
        <v>14</v>
      </c>
      <c r="B1062" t="s">
        <v>24</v>
      </c>
      <c r="C1062" s="3" t="str">
        <f>IF($B1062="GW1",VLOOKUP($A1062,Matches!$A:$AC,2,FALSE),IF($B1062="GW2",VLOOKUP($A1062,Matches!$A:$AC,9,FALSE),IF($B1062="GW3",VLOOKUP($A1062,Matches!$A:$AC,16,FALSE))))</f>
        <v>Newcastle</v>
      </c>
      <c r="D1062" s="6">
        <v>0.44535494789347108</v>
      </c>
      <c r="E1062" s="6">
        <v>0.31217806636905693</v>
      </c>
      <c r="F1062" s="6">
        <v>0.13317688152441415</v>
      </c>
      <c r="G1062" s="3" t="s">
        <v>0</v>
      </c>
      <c r="H1062">
        <v>0.28011204499999998</v>
      </c>
      <c r="I1062">
        <v>0.21994941200000001</v>
      </c>
      <c r="J1062">
        <v>0.29304029300000001</v>
      </c>
      <c r="K1062">
        <v>0.26778242699999999</v>
      </c>
      <c r="L1062">
        <v>0.41099476400000001</v>
      </c>
      <c r="M1062">
        <v>6.4254522999999994E-2</v>
      </c>
      <c r="N1062" t="e">
        <v>#N/A</v>
      </c>
      <c r="O1062" t="e">
        <v>#N/A</v>
      </c>
    </row>
    <row r="1063" spans="1:15" x14ac:dyDescent="0.25">
      <c r="A1063" t="s">
        <v>14</v>
      </c>
      <c r="B1063" t="s">
        <v>24</v>
      </c>
      <c r="C1063" s="3" t="str">
        <f>IF($B1063="GW1",VLOOKUP($A1063,Matches!$A:$AC,2,FALSE),IF($B1063="GW2",VLOOKUP($A1063,Matches!$A:$AC,9,FALSE),IF($B1063="GW3",VLOOKUP($A1063,Matches!$A:$AC,16,FALSE))))</f>
        <v>Newcastle</v>
      </c>
      <c r="D1063" s="6">
        <v>0.44535494789347108</v>
      </c>
      <c r="E1063" s="6">
        <v>0.31217806636905693</v>
      </c>
      <c r="F1063" s="6">
        <v>0.13317688152441415</v>
      </c>
      <c r="G1063" s="3" t="s">
        <v>0</v>
      </c>
      <c r="H1063" t="e">
        <v>#N/A</v>
      </c>
      <c r="I1063" t="e">
        <v>#N/A</v>
      </c>
      <c r="J1063" t="e">
        <v>#N/A</v>
      </c>
      <c r="K1063">
        <v>0.26778242699999999</v>
      </c>
      <c r="L1063">
        <v>0.41099476400000001</v>
      </c>
      <c r="M1063">
        <v>6.4254522999999994E-2</v>
      </c>
      <c r="N1063" t="e">
        <v>#N/A</v>
      </c>
      <c r="O1063" t="e">
        <v>#N/A</v>
      </c>
    </row>
    <row r="1064" spans="1:15" x14ac:dyDescent="0.25">
      <c r="A1064" t="s">
        <v>14</v>
      </c>
      <c r="B1064" t="s">
        <v>24</v>
      </c>
      <c r="C1064" s="3" t="str">
        <f>IF($B1064="GW1",VLOOKUP($A1064,Matches!$A:$AC,2,FALSE),IF($B1064="GW2",VLOOKUP($A1064,Matches!$A:$AC,9,FALSE),IF($B1064="GW3",VLOOKUP($A1064,Matches!$A:$AC,16,FALSE))))</f>
        <v>Newcastle</v>
      </c>
      <c r="D1064" s="6">
        <v>0.44535494789347108</v>
      </c>
      <c r="E1064" s="6">
        <v>0.31217806636905693</v>
      </c>
      <c r="F1064" s="6">
        <v>0.13317688152441415</v>
      </c>
      <c r="G1064" s="3" t="s">
        <v>0</v>
      </c>
      <c r="H1064">
        <v>0.33184005300000002</v>
      </c>
      <c r="I1064">
        <v>0.14652014699999999</v>
      </c>
      <c r="J1064">
        <v>0.14652014699999999</v>
      </c>
      <c r="K1064">
        <v>0.26778242699999999</v>
      </c>
      <c r="L1064">
        <v>0.41099476400000001</v>
      </c>
      <c r="M1064">
        <v>6.4254522999999994E-2</v>
      </c>
      <c r="N1064" t="e">
        <v>#N/A</v>
      </c>
      <c r="O1064" t="e">
        <v>#N/A</v>
      </c>
    </row>
    <row r="1065" spans="1:15" x14ac:dyDescent="0.25">
      <c r="A1065" t="s">
        <v>14</v>
      </c>
      <c r="B1065" t="s">
        <v>24</v>
      </c>
      <c r="C1065" s="3" t="str">
        <f>IF($B1065="GW1",VLOOKUP($A1065,Matches!$A:$AC,2,FALSE),IF($B1065="GW2",VLOOKUP($A1065,Matches!$A:$AC,9,FALSE),IF($B1065="GW3",VLOOKUP($A1065,Matches!$A:$AC,16,FALSE))))</f>
        <v>Newcastle</v>
      </c>
      <c r="D1065" s="6">
        <v>0.44535494789347108</v>
      </c>
      <c r="E1065" s="6">
        <v>0.31217806636905693</v>
      </c>
      <c r="F1065" s="6">
        <v>0.13317688152441415</v>
      </c>
      <c r="G1065" s="3" t="s">
        <v>0</v>
      </c>
      <c r="H1065">
        <v>0.28011204499999998</v>
      </c>
      <c r="I1065">
        <v>0.173160173</v>
      </c>
      <c r="J1065">
        <v>0.15873015900000001</v>
      </c>
      <c r="K1065">
        <v>0.26778242699999999</v>
      </c>
      <c r="L1065">
        <v>0.41099476400000001</v>
      </c>
      <c r="M1065">
        <v>6.4254522999999994E-2</v>
      </c>
      <c r="N1065" t="e">
        <v>#N/A</v>
      </c>
      <c r="O1065" t="e">
        <v>#N/A</v>
      </c>
    </row>
    <row r="1066" spans="1:15" x14ac:dyDescent="0.25">
      <c r="A1066" t="s">
        <v>14</v>
      </c>
      <c r="B1066" t="s">
        <v>24</v>
      </c>
      <c r="C1066" s="3" t="str">
        <f>IF($B1066="GW1",VLOOKUP($A1066,Matches!$A:$AC,2,FALSE),IF($B1066="GW2",VLOOKUP($A1066,Matches!$A:$AC,9,FALSE),IF($B1066="GW3",VLOOKUP($A1066,Matches!$A:$AC,16,FALSE))))</f>
        <v>Newcastle</v>
      </c>
      <c r="D1066" s="6">
        <v>0.44535494789347108</v>
      </c>
      <c r="E1066" s="6">
        <v>0.31217806636905693</v>
      </c>
      <c r="F1066" s="6">
        <v>0.13317688152441415</v>
      </c>
      <c r="G1066" s="3" t="s">
        <v>0</v>
      </c>
      <c r="H1066">
        <v>0.14652014699999999</v>
      </c>
      <c r="I1066">
        <v>0.13605442200000001</v>
      </c>
      <c r="J1066">
        <v>0.29304029300000001</v>
      </c>
      <c r="K1066">
        <v>0.26778242699999999</v>
      </c>
      <c r="L1066">
        <v>0.41099476400000001</v>
      </c>
      <c r="M1066">
        <v>6.4254522999999994E-2</v>
      </c>
      <c r="N1066" t="e">
        <v>#N/A</v>
      </c>
      <c r="O1066" t="e">
        <v>#N/A</v>
      </c>
    </row>
    <row r="1067" spans="1:15" x14ac:dyDescent="0.25">
      <c r="A1067" t="s">
        <v>14</v>
      </c>
      <c r="B1067" t="s">
        <v>24</v>
      </c>
      <c r="C1067" s="3" t="str">
        <f>IF($B1067="GW1",VLOOKUP($A1067,Matches!$A:$AC,2,FALSE),IF($B1067="GW2",VLOOKUP($A1067,Matches!$A:$AC,9,FALSE),IF($B1067="GW3",VLOOKUP($A1067,Matches!$A:$AC,16,FALSE))))</f>
        <v>Newcastle</v>
      </c>
      <c r="D1067" s="6">
        <v>0.44535494789347108</v>
      </c>
      <c r="E1067" s="6">
        <v>0.31217806636905693</v>
      </c>
      <c r="F1067" s="6">
        <v>0.13317688152441415</v>
      </c>
      <c r="G1067" s="3" t="s">
        <v>0</v>
      </c>
      <c r="H1067">
        <v>0.14652014699999999</v>
      </c>
      <c r="I1067">
        <v>0.13605442200000001</v>
      </c>
      <c r="J1067">
        <v>0.21164021199999999</v>
      </c>
      <c r="K1067">
        <v>0.26778242699999999</v>
      </c>
      <c r="L1067">
        <v>0.41099476400000001</v>
      </c>
      <c r="M1067">
        <v>6.4254522999999994E-2</v>
      </c>
      <c r="N1067" t="e">
        <v>#N/A</v>
      </c>
      <c r="O1067" t="e">
        <v>#N/A</v>
      </c>
    </row>
    <row r="1068" spans="1:15" x14ac:dyDescent="0.25">
      <c r="A1068" t="s">
        <v>14</v>
      </c>
      <c r="B1068" t="s">
        <v>24</v>
      </c>
      <c r="C1068" s="3" t="str">
        <f>IF($B1068="GW1",VLOOKUP($A1068,Matches!$A:$AC,2,FALSE),IF($B1068="GW2",VLOOKUP($A1068,Matches!$A:$AC,9,FALSE),IF($B1068="GW3",VLOOKUP($A1068,Matches!$A:$AC,16,FALSE))))</f>
        <v>Newcastle</v>
      </c>
      <c r="D1068" s="6">
        <v>0.44535494789347108</v>
      </c>
      <c r="E1068" s="6">
        <v>0.31217806636905693</v>
      </c>
      <c r="F1068" s="6">
        <v>0.13317688152441415</v>
      </c>
      <c r="G1068" s="3" t="s">
        <v>0</v>
      </c>
      <c r="H1068">
        <v>0.21164021199999999</v>
      </c>
      <c r="I1068">
        <v>9.5238094999999995E-2</v>
      </c>
      <c r="J1068">
        <v>0.23809523799999999</v>
      </c>
      <c r="K1068">
        <v>0.26778242699999999</v>
      </c>
      <c r="L1068">
        <v>0.41099476400000001</v>
      </c>
      <c r="M1068">
        <v>6.4254522999999994E-2</v>
      </c>
      <c r="N1068" t="e">
        <v>#N/A</v>
      </c>
      <c r="O1068" t="e">
        <v>#N/A</v>
      </c>
    </row>
    <row r="1069" spans="1:15" x14ac:dyDescent="0.25">
      <c r="A1069" t="s">
        <v>14</v>
      </c>
      <c r="B1069" t="s">
        <v>24</v>
      </c>
      <c r="C1069" s="3" t="str">
        <f>IF($B1069="GW1",VLOOKUP($A1069,Matches!$A:$AC,2,FALSE),IF($B1069="GW2",VLOOKUP($A1069,Matches!$A:$AC,9,FALSE),IF($B1069="GW3",VLOOKUP($A1069,Matches!$A:$AC,16,FALSE))))</f>
        <v>Newcastle</v>
      </c>
      <c r="D1069" s="6">
        <v>0.44535494789347108</v>
      </c>
      <c r="E1069" s="6">
        <v>0.31217806636905693</v>
      </c>
      <c r="F1069" s="6">
        <v>0.13317688152441415</v>
      </c>
      <c r="G1069" s="3" t="s">
        <v>0</v>
      </c>
      <c r="H1069">
        <v>0.21164021199999999</v>
      </c>
      <c r="I1069">
        <v>0.13605442200000001</v>
      </c>
      <c r="J1069">
        <v>0.15873015900000001</v>
      </c>
      <c r="K1069">
        <v>0.26778242699999999</v>
      </c>
      <c r="L1069">
        <v>0.41099476400000001</v>
      </c>
      <c r="M1069">
        <v>6.4254522999999994E-2</v>
      </c>
      <c r="N1069" t="e">
        <v>#N/A</v>
      </c>
      <c r="O1069" t="e">
        <v>#N/A</v>
      </c>
    </row>
    <row r="1070" spans="1:15" x14ac:dyDescent="0.25">
      <c r="A1070" t="s">
        <v>14</v>
      </c>
      <c r="B1070" t="s">
        <v>24</v>
      </c>
      <c r="C1070" s="3" t="str">
        <f>IF($B1070="GW1",VLOOKUP($A1070,Matches!$A:$AC,2,FALSE),IF($B1070="GW2",VLOOKUP($A1070,Matches!$A:$AC,9,FALSE),IF($B1070="GW3",VLOOKUP($A1070,Matches!$A:$AC,16,FALSE))))</f>
        <v>Newcastle</v>
      </c>
      <c r="D1070" s="6">
        <v>0.44535494789347108</v>
      </c>
      <c r="E1070" s="6">
        <v>0.31217806636905693</v>
      </c>
      <c r="F1070" s="6">
        <v>0.13317688152441415</v>
      </c>
      <c r="G1070" s="3" t="s">
        <v>0</v>
      </c>
      <c r="H1070">
        <v>0.13605442200000001</v>
      </c>
      <c r="I1070">
        <v>8.6580087E-2</v>
      </c>
      <c r="J1070">
        <v>0.26455026500000001</v>
      </c>
      <c r="K1070">
        <v>0.26778242699999999</v>
      </c>
      <c r="L1070">
        <v>0.41099476400000001</v>
      </c>
      <c r="M1070">
        <v>6.4254522999999994E-2</v>
      </c>
      <c r="N1070" t="e">
        <v>#N/A</v>
      </c>
      <c r="O1070" t="e">
        <v>#N/A</v>
      </c>
    </row>
    <row r="1071" spans="1:15" x14ac:dyDescent="0.25">
      <c r="A1071" t="s">
        <v>14</v>
      </c>
      <c r="B1071" t="s">
        <v>24</v>
      </c>
      <c r="C1071" s="3" t="str">
        <f>IF($B1071="GW1",VLOOKUP($A1071,Matches!$A:$AC,2,FALSE),IF($B1071="GW2",VLOOKUP($A1071,Matches!$A:$AC,9,FALSE),IF($B1071="GW3",VLOOKUP($A1071,Matches!$A:$AC,16,FALSE))))</f>
        <v>Newcastle</v>
      </c>
      <c r="D1071" s="6">
        <v>0.44535494789347108</v>
      </c>
      <c r="E1071" s="6">
        <v>0.31217806636905693</v>
      </c>
      <c r="F1071" s="6">
        <v>0.13317688152441415</v>
      </c>
      <c r="G1071" s="3" t="s">
        <v>0</v>
      </c>
      <c r="H1071">
        <v>0.253968254</v>
      </c>
      <c r="I1071">
        <v>0.173160173</v>
      </c>
      <c r="J1071">
        <v>0.173160173</v>
      </c>
      <c r="K1071">
        <v>0.26778242699999999</v>
      </c>
      <c r="L1071">
        <v>0.41099476400000001</v>
      </c>
      <c r="M1071">
        <v>6.4254522999999994E-2</v>
      </c>
      <c r="N1071" t="e">
        <v>#N/A</v>
      </c>
      <c r="O1071" t="e">
        <v>#N/A</v>
      </c>
    </row>
    <row r="1072" spans="1:15" x14ac:dyDescent="0.25">
      <c r="A1072" t="s">
        <v>14</v>
      </c>
      <c r="B1072" t="s">
        <v>24</v>
      </c>
      <c r="C1072" s="3" t="str">
        <f>IF($B1072="GW1",VLOOKUP($A1072,Matches!$A:$AC,2,FALSE),IF($B1072="GW2",VLOOKUP($A1072,Matches!$A:$AC,9,FALSE),IF($B1072="GW3",VLOOKUP($A1072,Matches!$A:$AC,16,FALSE))))</f>
        <v>Newcastle</v>
      </c>
      <c r="D1072" s="6">
        <v>0.44535494789347108</v>
      </c>
      <c r="E1072" s="6">
        <v>0.31217806636905693</v>
      </c>
      <c r="F1072" s="6">
        <v>0.13317688152441415</v>
      </c>
      <c r="G1072" s="3" t="s">
        <v>0</v>
      </c>
      <c r="H1072" t="e">
        <v>#N/A</v>
      </c>
      <c r="I1072" t="e">
        <v>#N/A</v>
      </c>
      <c r="J1072" t="e">
        <v>#N/A</v>
      </c>
      <c r="K1072">
        <v>0.26778242699999999</v>
      </c>
      <c r="L1072">
        <v>0.41099476400000001</v>
      </c>
      <c r="M1072">
        <v>6.4254522999999994E-2</v>
      </c>
      <c r="N1072" t="e">
        <v>#N/A</v>
      </c>
      <c r="O1072" t="e">
        <v>#N/A</v>
      </c>
    </row>
    <row r="1073" spans="1:15" x14ac:dyDescent="0.25">
      <c r="A1073" t="s">
        <v>14</v>
      </c>
      <c r="B1073" t="s">
        <v>24</v>
      </c>
      <c r="C1073" s="3" t="str">
        <f>IF($B1073="GW1",VLOOKUP($A1073,Matches!$A:$AC,2,FALSE),IF($B1073="GW2",VLOOKUP($A1073,Matches!$A:$AC,9,FALSE),IF($B1073="GW3",VLOOKUP($A1073,Matches!$A:$AC,16,FALSE))))</f>
        <v>Newcastle</v>
      </c>
      <c r="D1073" s="6">
        <v>0.44535494789347108</v>
      </c>
      <c r="E1073" s="6">
        <v>0.31217806636905693</v>
      </c>
      <c r="F1073" s="6">
        <v>0.13317688152441415</v>
      </c>
      <c r="G1073" s="3" t="s">
        <v>0</v>
      </c>
      <c r="H1073" t="e">
        <v>#N/A</v>
      </c>
      <c r="I1073" t="e">
        <v>#N/A</v>
      </c>
      <c r="J1073" t="e">
        <v>#N/A</v>
      </c>
      <c r="K1073">
        <v>0.26778242699999999</v>
      </c>
      <c r="L1073">
        <v>0.41099476400000001</v>
      </c>
      <c r="M1073">
        <v>6.4254522999999994E-2</v>
      </c>
      <c r="N1073" t="e">
        <v>#N/A</v>
      </c>
      <c r="O1073" t="e">
        <v>#N/A</v>
      </c>
    </row>
    <row r="1074" spans="1:15" x14ac:dyDescent="0.25">
      <c r="A1074" t="s">
        <v>14</v>
      </c>
      <c r="B1074" t="s">
        <v>24</v>
      </c>
      <c r="C1074" s="3" t="str">
        <f>IF($B1074="GW1",VLOOKUP($A1074,Matches!$A:$AC,2,FALSE),IF($B1074="GW2",VLOOKUP($A1074,Matches!$A:$AC,9,FALSE),IF($B1074="GW3",VLOOKUP($A1074,Matches!$A:$AC,16,FALSE))))</f>
        <v>Newcastle</v>
      </c>
      <c r="D1074" s="6">
        <v>0.44535494789347108</v>
      </c>
      <c r="E1074" s="6">
        <v>0.31217806636905693</v>
      </c>
      <c r="F1074" s="6">
        <v>0.13317688152441415</v>
      </c>
      <c r="G1074" s="3" t="s">
        <v>0</v>
      </c>
      <c r="H1074" t="e">
        <v>#N/A</v>
      </c>
      <c r="I1074" t="e">
        <v>#N/A</v>
      </c>
      <c r="J1074" t="e">
        <v>#N/A</v>
      </c>
      <c r="K1074">
        <v>0.26778242699999999</v>
      </c>
      <c r="L1074">
        <v>0.41099476400000001</v>
      </c>
      <c r="M1074">
        <v>6.4254522999999994E-2</v>
      </c>
      <c r="N1074" t="e">
        <v>#N/A</v>
      </c>
      <c r="O1074" t="e">
        <v>#N/A</v>
      </c>
    </row>
    <row r="1075" spans="1:15" x14ac:dyDescent="0.25">
      <c r="A1075" t="s">
        <v>14</v>
      </c>
      <c r="B1075" t="s">
        <v>24</v>
      </c>
      <c r="C1075" s="3" t="str">
        <f>IF($B1075="GW1",VLOOKUP($A1075,Matches!$A:$AC,2,FALSE),IF($B1075="GW2",VLOOKUP($A1075,Matches!$A:$AC,9,FALSE),IF($B1075="GW3",VLOOKUP($A1075,Matches!$A:$AC,16,FALSE))))</f>
        <v>Newcastle</v>
      </c>
      <c r="D1075" s="6">
        <v>0.44535494789347108</v>
      </c>
      <c r="E1075" s="6">
        <v>0.31217806636905693</v>
      </c>
      <c r="F1075" s="6">
        <v>0.13317688152441415</v>
      </c>
      <c r="G1075" s="3" t="s">
        <v>0</v>
      </c>
      <c r="H1075" t="e">
        <v>#N/A</v>
      </c>
      <c r="I1075" t="e">
        <v>#N/A</v>
      </c>
      <c r="J1075" t="e">
        <v>#N/A</v>
      </c>
      <c r="K1075">
        <v>0.26778242699999999</v>
      </c>
      <c r="L1075">
        <v>0.41099476400000001</v>
      </c>
      <c r="M1075">
        <v>6.4254522999999994E-2</v>
      </c>
      <c r="N1075" t="e">
        <v>#N/A</v>
      </c>
      <c r="O1075" t="e">
        <v>#N/A</v>
      </c>
    </row>
    <row r="1076" spans="1:15" x14ac:dyDescent="0.25">
      <c r="A1076" t="s">
        <v>14</v>
      </c>
      <c r="B1076" t="s">
        <v>24</v>
      </c>
      <c r="C1076" s="3" t="str">
        <f>IF($B1076="GW1",VLOOKUP($A1076,Matches!$A:$AC,2,FALSE),IF($B1076="GW2",VLOOKUP($A1076,Matches!$A:$AC,9,FALSE),IF($B1076="GW3",VLOOKUP($A1076,Matches!$A:$AC,16,FALSE))))</f>
        <v>Newcastle</v>
      </c>
      <c r="D1076" s="6">
        <v>0.44535494789347108</v>
      </c>
      <c r="E1076" s="6">
        <v>0.31217806636905693</v>
      </c>
      <c r="F1076" s="6">
        <v>0.13317688152441415</v>
      </c>
      <c r="G1076" s="3" t="s">
        <v>0</v>
      </c>
      <c r="H1076">
        <v>0.14652014699999999</v>
      </c>
      <c r="I1076">
        <v>9.5238094999999995E-2</v>
      </c>
      <c r="J1076">
        <v>0.19047618999999999</v>
      </c>
      <c r="K1076">
        <v>0.26778242699999999</v>
      </c>
      <c r="L1076">
        <v>0.41099476400000001</v>
      </c>
      <c r="M1076">
        <v>6.4254522999999994E-2</v>
      </c>
      <c r="N1076" t="e">
        <v>#N/A</v>
      </c>
      <c r="O1076" t="e">
        <v>#N/A</v>
      </c>
    </row>
    <row r="1077" spans="1:15" x14ac:dyDescent="0.25">
      <c r="A1077" t="s">
        <v>14</v>
      </c>
      <c r="B1077" t="s">
        <v>24</v>
      </c>
      <c r="C1077" s="3" t="str">
        <f>IF($B1077="GW1",VLOOKUP($A1077,Matches!$A:$AC,2,FALSE),IF($B1077="GW2",VLOOKUP($A1077,Matches!$A:$AC,9,FALSE),IF($B1077="GW3",VLOOKUP($A1077,Matches!$A:$AC,16,FALSE))))</f>
        <v>Newcastle</v>
      </c>
      <c r="D1077" s="6">
        <v>0.44535494789347108</v>
      </c>
      <c r="E1077" s="6">
        <v>0.31217806636905693</v>
      </c>
      <c r="F1077" s="6">
        <v>0.13317688152441415</v>
      </c>
      <c r="G1077" s="3" t="s">
        <v>0</v>
      </c>
      <c r="H1077" t="e">
        <v>#N/A</v>
      </c>
      <c r="I1077" t="e">
        <v>#N/A</v>
      </c>
      <c r="J1077" t="e">
        <v>#N/A</v>
      </c>
      <c r="K1077">
        <v>0.26778242699999999</v>
      </c>
      <c r="L1077">
        <v>0.41099476400000001</v>
      </c>
      <c r="M1077">
        <v>6.4254522999999994E-2</v>
      </c>
      <c r="N1077" t="e">
        <v>#N/A</v>
      </c>
      <c r="O1077" t="e">
        <v>#N/A</v>
      </c>
    </row>
    <row r="1078" spans="1:15" x14ac:dyDescent="0.25">
      <c r="A1078" t="s">
        <v>14</v>
      </c>
      <c r="B1078" t="s">
        <v>24</v>
      </c>
      <c r="C1078" s="3" t="str">
        <f>IF($B1078="GW1",VLOOKUP($A1078,Matches!$A:$AC,2,FALSE),IF($B1078="GW2",VLOOKUP($A1078,Matches!$A:$AC,9,FALSE),IF($B1078="GW3",VLOOKUP($A1078,Matches!$A:$AC,16,FALSE))))</f>
        <v>Newcastle</v>
      </c>
      <c r="D1078" s="6">
        <v>0.44535494789347108</v>
      </c>
      <c r="E1078" s="6">
        <v>0.31217806636905693</v>
      </c>
      <c r="F1078" s="6">
        <v>0.13317688152441415</v>
      </c>
      <c r="G1078" s="3" t="s">
        <v>0</v>
      </c>
      <c r="H1078" t="e">
        <v>#N/A</v>
      </c>
      <c r="I1078" t="e">
        <v>#N/A</v>
      </c>
      <c r="J1078" t="e">
        <v>#N/A</v>
      </c>
      <c r="K1078">
        <v>0.26778242699999999</v>
      </c>
      <c r="L1078">
        <v>0.41099476400000001</v>
      </c>
      <c r="M1078">
        <v>6.4254522999999994E-2</v>
      </c>
      <c r="N1078" t="e">
        <v>#N/A</v>
      </c>
      <c r="O1078" t="e">
        <v>#N/A</v>
      </c>
    </row>
    <row r="1079" spans="1:15" x14ac:dyDescent="0.25">
      <c r="A1079" t="s">
        <v>14</v>
      </c>
      <c r="B1079" t="s">
        <v>24</v>
      </c>
      <c r="C1079" s="3" t="str">
        <f>IF($B1079="GW1",VLOOKUP($A1079,Matches!$A:$AC,2,FALSE),IF($B1079="GW2",VLOOKUP($A1079,Matches!$A:$AC,9,FALSE),IF($B1079="GW3",VLOOKUP($A1079,Matches!$A:$AC,16,FALSE))))</f>
        <v>Newcastle</v>
      </c>
      <c r="D1079" s="6">
        <v>0.44535494789347108</v>
      </c>
      <c r="E1079" s="6">
        <v>0.31217806636905693</v>
      </c>
      <c r="F1079" s="6">
        <v>0.13317688152441415</v>
      </c>
      <c r="G1079" s="3" t="s">
        <v>0</v>
      </c>
      <c r="H1079">
        <v>0.39682539700000002</v>
      </c>
      <c r="I1079">
        <v>0.23809523799999999</v>
      </c>
      <c r="J1079">
        <v>0.29304029300000001</v>
      </c>
      <c r="K1079">
        <v>0.26778242699999999</v>
      </c>
      <c r="L1079">
        <v>0.41099476400000001</v>
      </c>
      <c r="M1079">
        <v>6.4254522999999994E-2</v>
      </c>
      <c r="N1079" t="e">
        <v>#N/A</v>
      </c>
      <c r="O1079" t="e">
        <v>#N/A</v>
      </c>
    </row>
    <row r="1080" spans="1:15" x14ac:dyDescent="0.25">
      <c r="A1080" t="s">
        <v>15</v>
      </c>
      <c r="B1080" t="s">
        <v>24</v>
      </c>
      <c r="C1080" s="3" t="str">
        <f>IF($B1080="GW1",VLOOKUP($A1080,Matches!$A:$AC,2,FALSE),IF($B1080="GW2",VLOOKUP($A1080,Matches!$A:$AC,9,FALSE),IF($B1080="GW3",VLOOKUP($A1080,Matches!$A:$AC,16,FALSE))))</f>
        <v>Spurs</v>
      </c>
      <c r="D1080" s="6">
        <v>0.62637018477920448</v>
      </c>
      <c r="E1080" s="6">
        <v>0.1736804626847526</v>
      </c>
      <c r="F1080" s="6">
        <v>0.45268972209445191</v>
      </c>
      <c r="G1080" s="3" t="s">
        <v>1</v>
      </c>
      <c r="H1080" t="e">
        <v>#N/A</v>
      </c>
      <c r="I1080" t="e">
        <v>#N/A</v>
      </c>
      <c r="J1080">
        <v>0.10025062699999999</v>
      </c>
      <c r="K1080">
        <v>0.375</v>
      </c>
      <c r="L1080">
        <v>0.276595745</v>
      </c>
      <c r="M1080">
        <v>3.3526628000000003E-2</v>
      </c>
      <c r="N1080">
        <v>0.38095238100000001</v>
      </c>
      <c r="O1080">
        <v>0</v>
      </c>
    </row>
    <row r="1081" spans="1:15" x14ac:dyDescent="0.25">
      <c r="A1081" t="s">
        <v>15</v>
      </c>
      <c r="B1081" t="s">
        <v>24</v>
      </c>
      <c r="C1081" s="3" t="str">
        <f>IF($B1081="GW1",VLOOKUP($A1081,Matches!$A:$AC,2,FALSE),IF($B1081="GW2",VLOOKUP($A1081,Matches!$A:$AC,9,FALSE),IF($B1081="GW3",VLOOKUP($A1081,Matches!$A:$AC,16,FALSE))))</f>
        <v>Spurs</v>
      </c>
      <c r="D1081" s="6">
        <v>0.62637018477920448</v>
      </c>
      <c r="E1081" s="6">
        <v>0.1736804626847526</v>
      </c>
      <c r="F1081" s="6">
        <v>0.45268972209445191</v>
      </c>
      <c r="G1081" s="3" t="s">
        <v>1</v>
      </c>
      <c r="H1081" t="e">
        <v>#N/A</v>
      </c>
      <c r="I1081" t="e">
        <v>#N/A</v>
      </c>
      <c r="J1081">
        <v>0.10025062699999999</v>
      </c>
      <c r="K1081">
        <v>0.375</v>
      </c>
      <c r="L1081">
        <v>0.276595745</v>
      </c>
      <c r="M1081">
        <v>3.3526628000000003E-2</v>
      </c>
      <c r="N1081" t="e">
        <v>#N/A</v>
      </c>
      <c r="O1081" t="e">
        <v>#N/A</v>
      </c>
    </row>
    <row r="1082" spans="1:15" x14ac:dyDescent="0.25">
      <c r="A1082" t="s">
        <v>15</v>
      </c>
      <c r="B1082" t="s">
        <v>24</v>
      </c>
      <c r="C1082" s="3" t="str">
        <f>IF($B1082="GW1",VLOOKUP($A1082,Matches!$A:$AC,2,FALSE),IF($B1082="GW2",VLOOKUP($A1082,Matches!$A:$AC,9,FALSE),IF($B1082="GW3",VLOOKUP($A1082,Matches!$A:$AC,16,FALSE))))</f>
        <v>Spurs</v>
      </c>
      <c r="D1082" s="6">
        <v>0.62637018477920448</v>
      </c>
      <c r="E1082" s="6">
        <v>0.1736804626847526</v>
      </c>
      <c r="F1082" s="6">
        <v>0.45268972209445191</v>
      </c>
      <c r="G1082" s="3" t="s">
        <v>1</v>
      </c>
      <c r="H1082" t="e">
        <v>#N/A</v>
      </c>
      <c r="I1082" t="e">
        <v>#N/A</v>
      </c>
      <c r="J1082" t="e">
        <v>#N/A</v>
      </c>
      <c r="K1082">
        <v>0.375</v>
      </c>
      <c r="L1082">
        <v>0.276595745</v>
      </c>
      <c r="M1082">
        <v>3.3526628000000003E-2</v>
      </c>
      <c r="N1082" t="e">
        <v>#N/A</v>
      </c>
      <c r="O1082" t="e">
        <v>#N/A</v>
      </c>
    </row>
    <row r="1083" spans="1:15" x14ac:dyDescent="0.25">
      <c r="A1083" t="s">
        <v>15</v>
      </c>
      <c r="B1083" t="s">
        <v>24</v>
      </c>
      <c r="C1083" s="3" t="str">
        <f>IF($B1083="GW1",VLOOKUP($A1083,Matches!$A:$AC,2,FALSE),IF($B1083="GW2",VLOOKUP($A1083,Matches!$A:$AC,9,FALSE),IF($B1083="GW3",VLOOKUP($A1083,Matches!$A:$AC,16,FALSE))))</f>
        <v>Spurs</v>
      </c>
      <c r="D1083" s="6">
        <v>0.62637018477920448</v>
      </c>
      <c r="E1083" s="6">
        <v>0.1736804626847526</v>
      </c>
      <c r="F1083" s="6">
        <v>0.45268972209445191</v>
      </c>
      <c r="G1083" s="3" t="s">
        <v>1</v>
      </c>
      <c r="H1083" t="e">
        <v>#N/A</v>
      </c>
      <c r="I1083" t="e">
        <v>#N/A</v>
      </c>
      <c r="J1083">
        <v>0.10025062699999999</v>
      </c>
      <c r="K1083">
        <v>0.375</v>
      </c>
      <c r="L1083">
        <v>0.276595745</v>
      </c>
      <c r="M1083">
        <v>3.3526628000000003E-2</v>
      </c>
      <c r="N1083" t="e">
        <v>#N/A</v>
      </c>
      <c r="O1083" t="e">
        <v>#N/A</v>
      </c>
    </row>
    <row r="1084" spans="1:15" x14ac:dyDescent="0.25">
      <c r="A1084" t="s">
        <v>15</v>
      </c>
      <c r="B1084" t="s">
        <v>24</v>
      </c>
      <c r="C1084" s="3" t="str">
        <f>IF($B1084="GW1",VLOOKUP($A1084,Matches!$A:$AC,2,FALSE),IF($B1084="GW2",VLOOKUP($A1084,Matches!$A:$AC,9,FALSE),IF($B1084="GW3",VLOOKUP($A1084,Matches!$A:$AC,16,FALSE))))</f>
        <v>Spurs</v>
      </c>
      <c r="D1084" s="6">
        <v>0.62637018477920448</v>
      </c>
      <c r="E1084" s="6">
        <v>0.1736804626847526</v>
      </c>
      <c r="F1084" s="6">
        <v>0.45268972209445191</v>
      </c>
      <c r="G1084" s="3" t="s">
        <v>1</v>
      </c>
      <c r="H1084">
        <v>0.126984127</v>
      </c>
      <c r="I1084">
        <v>0.21994941200000001</v>
      </c>
      <c r="J1084">
        <v>0.15873015900000001</v>
      </c>
      <c r="K1084">
        <v>0.375</v>
      </c>
      <c r="L1084">
        <v>0.276595745</v>
      </c>
      <c r="M1084">
        <v>3.3526628000000003E-2</v>
      </c>
      <c r="N1084" t="e">
        <v>#N/A</v>
      </c>
      <c r="O1084" t="e">
        <v>#N/A</v>
      </c>
    </row>
    <row r="1085" spans="1:15" x14ac:dyDescent="0.25">
      <c r="A1085" t="s">
        <v>15</v>
      </c>
      <c r="B1085" t="s">
        <v>24</v>
      </c>
      <c r="C1085" s="3" t="str">
        <f>IF($B1085="GW1",VLOOKUP($A1085,Matches!$A:$AC,2,FALSE),IF($B1085="GW2",VLOOKUP($A1085,Matches!$A:$AC,9,FALSE),IF($B1085="GW3",VLOOKUP($A1085,Matches!$A:$AC,16,FALSE))))</f>
        <v>Spurs</v>
      </c>
      <c r="D1085" s="6">
        <v>0.62637018477920448</v>
      </c>
      <c r="E1085" s="6">
        <v>0.1736804626847526</v>
      </c>
      <c r="F1085" s="6">
        <v>0.45268972209445191</v>
      </c>
      <c r="G1085" s="3" t="s">
        <v>1</v>
      </c>
      <c r="H1085" t="e">
        <v>#N/A</v>
      </c>
      <c r="I1085" t="e">
        <v>#N/A</v>
      </c>
      <c r="J1085" t="e">
        <v>#N/A</v>
      </c>
      <c r="K1085">
        <v>0.375</v>
      </c>
      <c r="L1085">
        <v>0.276595745</v>
      </c>
      <c r="M1085">
        <v>3.3526628000000003E-2</v>
      </c>
      <c r="N1085" t="e">
        <v>#N/A</v>
      </c>
      <c r="O1085" t="e">
        <v>#N/A</v>
      </c>
    </row>
    <row r="1086" spans="1:15" x14ac:dyDescent="0.25">
      <c r="A1086" t="s">
        <v>15</v>
      </c>
      <c r="B1086" t="s">
        <v>24</v>
      </c>
      <c r="C1086" s="3" t="str">
        <f>IF($B1086="GW1",VLOOKUP($A1086,Matches!$A:$AC,2,FALSE),IF($B1086="GW2",VLOOKUP($A1086,Matches!$A:$AC,9,FALSE),IF($B1086="GW3",VLOOKUP($A1086,Matches!$A:$AC,16,FALSE))))</f>
        <v>Spurs</v>
      </c>
      <c r="D1086" s="6">
        <v>0.62637018477920448</v>
      </c>
      <c r="E1086" s="6">
        <v>0.1736804626847526</v>
      </c>
      <c r="F1086" s="6">
        <v>0.45268972209445191</v>
      </c>
      <c r="G1086" s="3" t="s">
        <v>1</v>
      </c>
      <c r="H1086">
        <v>8.6580087E-2</v>
      </c>
      <c r="I1086">
        <v>4.5351474000000003E-2</v>
      </c>
      <c r="J1086">
        <v>0.14652014699999999</v>
      </c>
      <c r="K1086">
        <v>0.375</v>
      </c>
      <c r="L1086">
        <v>0.276595745</v>
      </c>
      <c r="M1086">
        <v>3.3526628000000003E-2</v>
      </c>
      <c r="N1086" t="e">
        <v>#N/A</v>
      </c>
      <c r="O1086" t="e">
        <v>#N/A</v>
      </c>
    </row>
    <row r="1087" spans="1:15" x14ac:dyDescent="0.25">
      <c r="A1087" t="s">
        <v>15</v>
      </c>
      <c r="B1087" t="s">
        <v>24</v>
      </c>
      <c r="C1087" s="3" t="str">
        <f>IF($B1087="GW1",VLOOKUP($A1087,Matches!$A:$AC,2,FALSE),IF($B1087="GW2",VLOOKUP($A1087,Matches!$A:$AC,9,FALSE),IF($B1087="GW3",VLOOKUP($A1087,Matches!$A:$AC,16,FALSE))))</f>
        <v>Spurs</v>
      </c>
      <c r="D1087" s="6">
        <v>0.62637018477920448</v>
      </c>
      <c r="E1087" s="6">
        <v>0.1736804626847526</v>
      </c>
      <c r="F1087" s="6">
        <v>0.45268972209445191</v>
      </c>
      <c r="G1087" s="3" t="s">
        <v>1</v>
      </c>
      <c r="H1087">
        <v>8.6580087E-2</v>
      </c>
      <c r="I1087">
        <v>4.5351474000000003E-2</v>
      </c>
      <c r="J1087">
        <v>0.126984127</v>
      </c>
      <c r="K1087">
        <v>0.375</v>
      </c>
      <c r="L1087">
        <v>0.276595745</v>
      </c>
      <c r="M1087">
        <v>3.3526628000000003E-2</v>
      </c>
      <c r="N1087" t="e">
        <v>#N/A</v>
      </c>
      <c r="O1087" t="e">
        <v>#N/A</v>
      </c>
    </row>
    <row r="1088" spans="1:15" x14ac:dyDescent="0.25">
      <c r="A1088" t="s">
        <v>15</v>
      </c>
      <c r="B1088" t="s">
        <v>24</v>
      </c>
      <c r="C1088" s="3" t="str">
        <f>IF($B1088="GW1",VLOOKUP($A1088,Matches!$A:$AC,2,FALSE),IF($B1088="GW2",VLOOKUP($A1088,Matches!$A:$AC,9,FALSE),IF($B1088="GW3",VLOOKUP($A1088,Matches!$A:$AC,16,FALSE))))</f>
        <v>Spurs</v>
      </c>
      <c r="D1088" s="6">
        <v>0.62637018477920448</v>
      </c>
      <c r="E1088" s="6">
        <v>0.1736804626847526</v>
      </c>
      <c r="F1088" s="6">
        <v>0.45268972209445191</v>
      </c>
      <c r="G1088" s="3" t="s">
        <v>1</v>
      </c>
      <c r="H1088" t="e">
        <v>#N/A</v>
      </c>
      <c r="I1088" t="e">
        <v>#N/A</v>
      </c>
      <c r="J1088" t="e">
        <v>#N/A</v>
      </c>
      <c r="K1088">
        <v>0.375</v>
      </c>
      <c r="L1088">
        <v>0.276595745</v>
      </c>
      <c r="M1088">
        <v>3.3526628000000003E-2</v>
      </c>
      <c r="N1088" t="e">
        <v>#N/A</v>
      </c>
      <c r="O1088" t="e">
        <v>#N/A</v>
      </c>
    </row>
    <row r="1089" spans="1:15" x14ac:dyDescent="0.25">
      <c r="A1089" t="s">
        <v>15</v>
      </c>
      <c r="B1089" t="s">
        <v>24</v>
      </c>
      <c r="C1089" s="3" t="str">
        <f>IF($B1089="GW1",VLOOKUP($A1089,Matches!$A:$AC,2,FALSE),IF($B1089="GW2",VLOOKUP($A1089,Matches!$A:$AC,9,FALSE),IF($B1089="GW3",VLOOKUP($A1089,Matches!$A:$AC,16,FALSE))))</f>
        <v>Spurs</v>
      </c>
      <c r="D1089" s="6">
        <v>0.62637018477920448</v>
      </c>
      <c r="E1089" s="6">
        <v>0.1736804626847526</v>
      </c>
      <c r="F1089" s="6">
        <v>0.45268972209445191</v>
      </c>
      <c r="G1089" s="3" t="s">
        <v>1</v>
      </c>
      <c r="H1089">
        <v>0.15873015900000001</v>
      </c>
      <c r="I1089">
        <v>0.19047618999999999</v>
      </c>
      <c r="J1089">
        <v>0.14652014699999999</v>
      </c>
      <c r="K1089">
        <v>0.375</v>
      </c>
      <c r="L1089">
        <v>0.276595745</v>
      </c>
      <c r="M1089">
        <v>3.3526628000000003E-2</v>
      </c>
      <c r="N1089" t="e">
        <v>#N/A</v>
      </c>
      <c r="O1089" t="e">
        <v>#N/A</v>
      </c>
    </row>
    <row r="1090" spans="1:15" x14ac:dyDescent="0.25">
      <c r="A1090" t="s">
        <v>15</v>
      </c>
      <c r="B1090" t="s">
        <v>24</v>
      </c>
      <c r="C1090" s="3" t="str">
        <f>IF($B1090="GW1",VLOOKUP($A1090,Matches!$A:$AC,2,FALSE),IF($B1090="GW2",VLOOKUP($A1090,Matches!$A:$AC,9,FALSE),IF($B1090="GW3",VLOOKUP($A1090,Matches!$A:$AC,16,FALSE))))</f>
        <v>Spurs</v>
      </c>
      <c r="D1090" s="6">
        <v>0.62637018477920448</v>
      </c>
      <c r="E1090" s="6">
        <v>0.1736804626847526</v>
      </c>
      <c r="F1090" s="6">
        <v>0.45268972209445191</v>
      </c>
      <c r="G1090" s="3" t="s">
        <v>1</v>
      </c>
      <c r="H1090">
        <v>8.6580087E-2</v>
      </c>
      <c r="I1090">
        <v>3.6630036999999997E-2</v>
      </c>
      <c r="J1090">
        <v>0.14652014699999999</v>
      </c>
      <c r="K1090">
        <v>0.375</v>
      </c>
      <c r="L1090">
        <v>0.276595745</v>
      </c>
      <c r="M1090">
        <v>3.3526628000000003E-2</v>
      </c>
      <c r="N1090" t="e">
        <v>#N/A</v>
      </c>
      <c r="O1090" t="e">
        <v>#N/A</v>
      </c>
    </row>
    <row r="1091" spans="1:15" x14ac:dyDescent="0.25">
      <c r="A1091" t="s">
        <v>15</v>
      </c>
      <c r="B1091" t="s">
        <v>24</v>
      </c>
      <c r="C1091" s="3" t="str">
        <f>IF($B1091="GW1",VLOOKUP($A1091,Matches!$A:$AC,2,FALSE),IF($B1091="GW2",VLOOKUP($A1091,Matches!$A:$AC,9,FALSE),IF($B1091="GW3",VLOOKUP($A1091,Matches!$A:$AC,16,FALSE))))</f>
        <v>Spurs</v>
      </c>
      <c r="D1091" s="6">
        <v>0.62637018477920448</v>
      </c>
      <c r="E1091" s="6">
        <v>0.1736804626847526</v>
      </c>
      <c r="F1091" s="6">
        <v>0.45268972209445191</v>
      </c>
      <c r="G1091" s="3" t="s">
        <v>1</v>
      </c>
      <c r="H1091">
        <v>8.6580087E-2</v>
      </c>
      <c r="I1091">
        <v>7.3260072999999995E-2</v>
      </c>
      <c r="J1091">
        <v>0.14652014699999999</v>
      </c>
      <c r="K1091">
        <v>0.375</v>
      </c>
      <c r="L1091">
        <v>0.276595745</v>
      </c>
      <c r="M1091">
        <v>3.3526628000000003E-2</v>
      </c>
      <c r="N1091" t="e">
        <v>#N/A</v>
      </c>
      <c r="O1091" t="e">
        <v>#N/A</v>
      </c>
    </row>
    <row r="1092" spans="1:15" x14ac:dyDescent="0.25">
      <c r="A1092" t="s">
        <v>15</v>
      </c>
      <c r="B1092" t="s">
        <v>24</v>
      </c>
      <c r="C1092" s="3" t="str">
        <f>IF($B1092="GW1",VLOOKUP($A1092,Matches!$A:$AC,2,FALSE),IF($B1092="GW2",VLOOKUP($A1092,Matches!$A:$AC,9,FALSE),IF($B1092="GW3",VLOOKUP($A1092,Matches!$A:$AC,16,FALSE))))</f>
        <v>Spurs</v>
      </c>
      <c r="D1092" s="6">
        <v>0.62637018477920448</v>
      </c>
      <c r="E1092" s="6">
        <v>0.1736804626847526</v>
      </c>
      <c r="F1092" s="6">
        <v>0.45268972209445191</v>
      </c>
      <c r="G1092" s="3" t="s">
        <v>1</v>
      </c>
      <c r="H1092">
        <v>8.6580087E-2</v>
      </c>
      <c r="I1092">
        <v>9.5238094999999995E-2</v>
      </c>
      <c r="J1092">
        <v>0.11904761899999999</v>
      </c>
      <c r="K1092">
        <v>0.375</v>
      </c>
      <c r="L1092">
        <v>0.276595745</v>
      </c>
      <c r="M1092">
        <v>3.3526628000000003E-2</v>
      </c>
      <c r="N1092" t="e">
        <v>#N/A</v>
      </c>
      <c r="O1092" t="e">
        <v>#N/A</v>
      </c>
    </row>
    <row r="1093" spans="1:15" x14ac:dyDescent="0.25">
      <c r="A1093" t="s">
        <v>15</v>
      </c>
      <c r="B1093" t="s">
        <v>24</v>
      </c>
      <c r="C1093" s="3" t="str">
        <f>IF($B1093="GW1",VLOOKUP($A1093,Matches!$A:$AC,2,FALSE),IF($B1093="GW2",VLOOKUP($A1093,Matches!$A:$AC,9,FALSE),IF($B1093="GW3",VLOOKUP($A1093,Matches!$A:$AC,16,FALSE))))</f>
        <v>Spurs</v>
      </c>
      <c r="D1093" s="6">
        <v>0.62637018477920448</v>
      </c>
      <c r="E1093" s="6">
        <v>0.1736804626847526</v>
      </c>
      <c r="F1093" s="6">
        <v>0.45268972209445191</v>
      </c>
      <c r="G1093" s="3" t="s">
        <v>1</v>
      </c>
      <c r="H1093">
        <v>0.15873015900000001</v>
      </c>
      <c r="I1093">
        <v>0.13605442200000001</v>
      </c>
      <c r="J1093">
        <v>0.10025062699999999</v>
      </c>
      <c r="K1093">
        <v>0.375</v>
      </c>
      <c r="L1093">
        <v>0.276595745</v>
      </c>
      <c r="M1093">
        <v>3.3526628000000003E-2</v>
      </c>
      <c r="N1093" t="e">
        <v>#N/A</v>
      </c>
      <c r="O1093" t="e">
        <v>#N/A</v>
      </c>
    </row>
    <row r="1094" spans="1:15" x14ac:dyDescent="0.25">
      <c r="A1094" t="s">
        <v>15</v>
      </c>
      <c r="B1094" t="s">
        <v>24</v>
      </c>
      <c r="C1094" s="3" t="str">
        <f>IF($B1094="GW1",VLOOKUP($A1094,Matches!$A:$AC,2,FALSE),IF($B1094="GW2",VLOOKUP($A1094,Matches!$A:$AC,9,FALSE),IF($B1094="GW3",VLOOKUP($A1094,Matches!$A:$AC,16,FALSE))))</f>
        <v>Spurs</v>
      </c>
      <c r="D1094" s="6">
        <v>0.62637018477920448</v>
      </c>
      <c r="E1094" s="6">
        <v>0.1736804626847526</v>
      </c>
      <c r="F1094" s="6">
        <v>0.45268972209445191</v>
      </c>
      <c r="G1094" s="3" t="s">
        <v>1</v>
      </c>
      <c r="H1094" t="e">
        <v>#N/A</v>
      </c>
      <c r="I1094" t="e">
        <v>#N/A</v>
      </c>
      <c r="J1094" t="e">
        <v>#N/A</v>
      </c>
      <c r="K1094">
        <v>0.375</v>
      </c>
      <c r="L1094">
        <v>0.276595745</v>
      </c>
      <c r="M1094">
        <v>3.3526628000000003E-2</v>
      </c>
      <c r="N1094" t="e">
        <v>#N/A</v>
      </c>
      <c r="O1094" t="e">
        <v>#N/A</v>
      </c>
    </row>
    <row r="1095" spans="1:15" x14ac:dyDescent="0.25">
      <c r="A1095" t="s">
        <v>15</v>
      </c>
      <c r="B1095" t="s">
        <v>24</v>
      </c>
      <c r="C1095" s="3" t="str">
        <f>IF($B1095="GW1",VLOOKUP($A1095,Matches!$A:$AC,2,FALSE),IF($B1095="GW2",VLOOKUP($A1095,Matches!$A:$AC,9,FALSE),IF($B1095="GW3",VLOOKUP($A1095,Matches!$A:$AC,16,FALSE))))</f>
        <v>Spurs</v>
      </c>
      <c r="D1095" s="6">
        <v>0.62637018477920448</v>
      </c>
      <c r="E1095" s="6">
        <v>0.1736804626847526</v>
      </c>
      <c r="F1095" s="6">
        <v>0.45268972209445191</v>
      </c>
      <c r="G1095" s="3" t="s">
        <v>1</v>
      </c>
      <c r="H1095">
        <v>0.40184850300000002</v>
      </c>
      <c r="I1095">
        <v>0.28011204499999998</v>
      </c>
      <c r="J1095">
        <v>0.14652014699999999</v>
      </c>
      <c r="K1095">
        <v>0.375</v>
      </c>
      <c r="L1095">
        <v>0.276595745</v>
      </c>
      <c r="M1095">
        <v>3.3526628000000003E-2</v>
      </c>
      <c r="N1095" t="e">
        <v>#N/A</v>
      </c>
      <c r="O1095" t="e">
        <v>#N/A</v>
      </c>
    </row>
    <row r="1096" spans="1:15" x14ac:dyDescent="0.25">
      <c r="A1096" t="s">
        <v>15</v>
      </c>
      <c r="B1096" t="s">
        <v>24</v>
      </c>
      <c r="C1096" s="3" t="str">
        <f>IF($B1096="GW1",VLOOKUP($A1096,Matches!$A:$AC,2,FALSE),IF($B1096="GW2",VLOOKUP($A1096,Matches!$A:$AC,9,FALSE),IF($B1096="GW3",VLOOKUP($A1096,Matches!$A:$AC,16,FALSE))))</f>
        <v>Spurs</v>
      </c>
      <c r="D1096" s="6">
        <v>0.62637018477920448</v>
      </c>
      <c r="E1096" s="6">
        <v>0.1736804626847526</v>
      </c>
      <c r="F1096" s="6">
        <v>0.45268972209445191</v>
      </c>
      <c r="G1096" s="3" t="s">
        <v>1</v>
      </c>
      <c r="H1096">
        <v>0.38095238100000001</v>
      </c>
      <c r="I1096">
        <v>0.27210884400000002</v>
      </c>
      <c r="J1096">
        <v>8.6580087E-2</v>
      </c>
      <c r="K1096">
        <v>0.375</v>
      </c>
      <c r="L1096">
        <v>0.276595745</v>
      </c>
      <c r="M1096">
        <v>3.3526628000000003E-2</v>
      </c>
      <c r="N1096" t="e">
        <v>#N/A</v>
      </c>
      <c r="O1096" t="e">
        <v>#N/A</v>
      </c>
    </row>
    <row r="1097" spans="1:15" x14ac:dyDescent="0.25">
      <c r="A1097" t="s">
        <v>15</v>
      </c>
      <c r="B1097" t="s">
        <v>24</v>
      </c>
      <c r="C1097" s="3" t="str">
        <f>IF($B1097="GW1",VLOOKUP($A1097,Matches!$A:$AC,2,FALSE),IF($B1097="GW2",VLOOKUP($A1097,Matches!$A:$AC,9,FALSE),IF($B1097="GW3",VLOOKUP($A1097,Matches!$A:$AC,16,FALSE))))</f>
        <v>Spurs</v>
      </c>
      <c r="D1097" s="6">
        <v>0.62637018477920448</v>
      </c>
      <c r="E1097" s="6">
        <v>0.1736804626847526</v>
      </c>
      <c r="F1097" s="6">
        <v>0.45268972209445191</v>
      </c>
      <c r="G1097" s="3" t="s">
        <v>1</v>
      </c>
      <c r="H1097">
        <v>0.253968254</v>
      </c>
      <c r="I1097">
        <v>0.253968254</v>
      </c>
      <c r="J1097">
        <v>0.112044818</v>
      </c>
      <c r="K1097">
        <v>0.375</v>
      </c>
      <c r="L1097">
        <v>0.276595745</v>
      </c>
      <c r="M1097">
        <v>3.3526628000000003E-2</v>
      </c>
      <c r="N1097" t="e">
        <v>#N/A</v>
      </c>
      <c r="O1097" t="e">
        <v>#N/A</v>
      </c>
    </row>
    <row r="1098" spans="1:15" x14ac:dyDescent="0.25">
      <c r="A1098" t="s">
        <v>15</v>
      </c>
      <c r="B1098" t="s">
        <v>24</v>
      </c>
      <c r="C1098" s="3" t="str">
        <f>IF($B1098="GW1",VLOOKUP($A1098,Matches!$A:$AC,2,FALSE),IF($B1098="GW2",VLOOKUP($A1098,Matches!$A:$AC,9,FALSE),IF($B1098="GW3",VLOOKUP($A1098,Matches!$A:$AC,16,FALSE))))</f>
        <v>Spurs</v>
      </c>
      <c r="D1098" s="6">
        <v>0.62637018477920448</v>
      </c>
      <c r="E1098" s="6">
        <v>0.1736804626847526</v>
      </c>
      <c r="F1098" s="6">
        <v>0.45268972209445191</v>
      </c>
      <c r="G1098" s="3" t="s">
        <v>1</v>
      </c>
      <c r="H1098">
        <v>0.23809523799999999</v>
      </c>
      <c r="I1098">
        <v>0.21994941200000001</v>
      </c>
      <c r="J1098">
        <v>0.20050125299999999</v>
      </c>
      <c r="K1098">
        <v>0.375</v>
      </c>
      <c r="L1098">
        <v>0.276595745</v>
      </c>
      <c r="M1098">
        <v>3.3526628000000003E-2</v>
      </c>
      <c r="N1098" t="e">
        <v>#N/A</v>
      </c>
      <c r="O1098" t="e">
        <v>#N/A</v>
      </c>
    </row>
    <row r="1099" spans="1:15" x14ac:dyDescent="0.25">
      <c r="A1099" t="s">
        <v>15</v>
      </c>
      <c r="B1099" t="s">
        <v>24</v>
      </c>
      <c r="C1099" s="3" t="str">
        <f>IF($B1099="GW1",VLOOKUP($A1099,Matches!$A:$AC,2,FALSE),IF($B1099="GW2",VLOOKUP($A1099,Matches!$A:$AC,9,FALSE),IF($B1099="GW3",VLOOKUP($A1099,Matches!$A:$AC,16,FALSE))))</f>
        <v>Spurs</v>
      </c>
      <c r="D1099" s="6">
        <v>0.62637018477920448</v>
      </c>
      <c r="E1099" s="6">
        <v>0.1736804626847526</v>
      </c>
      <c r="F1099" s="6">
        <v>0.45268972209445191</v>
      </c>
      <c r="G1099" s="3" t="s">
        <v>1</v>
      </c>
      <c r="H1099">
        <v>0.29304029300000001</v>
      </c>
      <c r="I1099">
        <v>0.28011204499999998</v>
      </c>
      <c r="J1099">
        <v>0.126984127</v>
      </c>
      <c r="K1099">
        <v>0.375</v>
      </c>
      <c r="L1099">
        <v>0.276595745</v>
      </c>
      <c r="M1099">
        <v>3.3526628000000003E-2</v>
      </c>
      <c r="N1099" t="e">
        <v>#N/A</v>
      </c>
      <c r="O1099" t="e">
        <v>#N/A</v>
      </c>
    </row>
    <row r="1100" spans="1:15" x14ac:dyDescent="0.25">
      <c r="A1100" t="s">
        <v>15</v>
      </c>
      <c r="B1100" t="s">
        <v>24</v>
      </c>
      <c r="C1100" s="3" t="str">
        <f>IF($B1100="GW1",VLOOKUP($A1100,Matches!$A:$AC,2,FALSE),IF($B1100="GW2",VLOOKUP($A1100,Matches!$A:$AC,9,FALSE),IF($B1100="GW3",VLOOKUP($A1100,Matches!$A:$AC,16,FALSE))))</f>
        <v>Spurs</v>
      </c>
      <c r="D1100" s="6">
        <v>0.62637018477920448</v>
      </c>
      <c r="E1100" s="6">
        <v>0.1736804626847526</v>
      </c>
      <c r="F1100" s="6">
        <v>0.45268972209445191</v>
      </c>
      <c r="G1100" s="3" t="s">
        <v>1</v>
      </c>
      <c r="H1100">
        <v>0.253968254</v>
      </c>
      <c r="I1100">
        <v>0.21994941200000001</v>
      </c>
      <c r="J1100">
        <v>0.11904761899999999</v>
      </c>
      <c r="K1100">
        <v>0.375</v>
      </c>
      <c r="L1100">
        <v>0.276595745</v>
      </c>
      <c r="M1100">
        <v>3.3526628000000003E-2</v>
      </c>
      <c r="N1100" t="e">
        <v>#N/A</v>
      </c>
      <c r="O1100" t="e">
        <v>#N/A</v>
      </c>
    </row>
    <row r="1101" spans="1:15" x14ac:dyDescent="0.25">
      <c r="A1101" t="s">
        <v>15</v>
      </c>
      <c r="B1101" t="s">
        <v>24</v>
      </c>
      <c r="C1101" s="3" t="str">
        <f>IF($B1101="GW1",VLOOKUP($A1101,Matches!$A:$AC,2,FALSE),IF($B1101="GW2",VLOOKUP($A1101,Matches!$A:$AC,9,FALSE),IF($B1101="GW3",VLOOKUP($A1101,Matches!$A:$AC,16,FALSE))))</f>
        <v>Spurs</v>
      </c>
      <c r="D1101" s="6">
        <v>0.62637018477920448</v>
      </c>
      <c r="E1101" s="6">
        <v>0.1736804626847526</v>
      </c>
      <c r="F1101" s="6">
        <v>0.45268972209445191</v>
      </c>
      <c r="G1101" s="3" t="s">
        <v>1</v>
      </c>
      <c r="H1101">
        <v>0.19047618999999999</v>
      </c>
      <c r="I1101">
        <v>0.14652014699999999</v>
      </c>
      <c r="J1101">
        <v>0.21164021199999999</v>
      </c>
      <c r="K1101">
        <v>0.375</v>
      </c>
      <c r="L1101">
        <v>0.276595745</v>
      </c>
      <c r="M1101">
        <v>3.3526628000000003E-2</v>
      </c>
      <c r="N1101" t="e">
        <v>#N/A</v>
      </c>
      <c r="O1101" t="e">
        <v>#N/A</v>
      </c>
    </row>
    <row r="1102" spans="1:15" x14ac:dyDescent="0.25">
      <c r="A1102" t="s">
        <v>15</v>
      </c>
      <c r="B1102" t="s">
        <v>24</v>
      </c>
      <c r="C1102" s="3" t="str">
        <f>IF($B1102="GW1",VLOOKUP($A1102,Matches!$A:$AC,2,FALSE),IF($B1102="GW2",VLOOKUP($A1102,Matches!$A:$AC,9,FALSE),IF($B1102="GW3",VLOOKUP($A1102,Matches!$A:$AC,16,FALSE))))</f>
        <v>Spurs</v>
      </c>
      <c r="D1102" s="6">
        <v>0.62637018477920448</v>
      </c>
      <c r="E1102" s="6">
        <v>0.1736804626847526</v>
      </c>
      <c r="F1102" s="6">
        <v>0.45268972209445191</v>
      </c>
      <c r="G1102" s="3" t="s">
        <v>1</v>
      </c>
      <c r="H1102">
        <v>0.19047618999999999</v>
      </c>
      <c r="I1102">
        <v>0.15873015900000001</v>
      </c>
      <c r="J1102">
        <v>0.14652014699999999</v>
      </c>
      <c r="K1102">
        <v>0.375</v>
      </c>
      <c r="L1102">
        <v>0.276595745</v>
      </c>
      <c r="M1102">
        <v>3.3526628000000003E-2</v>
      </c>
      <c r="N1102" t="e">
        <v>#N/A</v>
      </c>
      <c r="O1102" t="e">
        <v>#N/A</v>
      </c>
    </row>
    <row r="1103" spans="1:15" x14ac:dyDescent="0.25">
      <c r="A1103" t="s">
        <v>15</v>
      </c>
      <c r="B1103" t="s">
        <v>24</v>
      </c>
      <c r="C1103" s="3" t="str">
        <f>IF($B1103="GW1",VLOOKUP($A1103,Matches!$A:$AC,2,FALSE),IF($B1103="GW2",VLOOKUP($A1103,Matches!$A:$AC,9,FALSE),IF($B1103="GW3",VLOOKUP($A1103,Matches!$A:$AC,16,FALSE))))</f>
        <v>Spurs</v>
      </c>
      <c r="D1103" s="6">
        <v>0.62637018477920448</v>
      </c>
      <c r="E1103" s="6">
        <v>0.1736804626847526</v>
      </c>
      <c r="F1103" s="6">
        <v>0.45268972209445191</v>
      </c>
      <c r="G1103" s="3" t="s">
        <v>1</v>
      </c>
      <c r="H1103" t="e">
        <v>#N/A</v>
      </c>
      <c r="I1103" t="e">
        <v>#N/A</v>
      </c>
      <c r="J1103" t="e">
        <v>#N/A</v>
      </c>
      <c r="K1103">
        <v>0.375</v>
      </c>
      <c r="L1103">
        <v>0.276595745</v>
      </c>
      <c r="M1103">
        <v>3.3526628000000003E-2</v>
      </c>
      <c r="N1103" t="e">
        <v>#N/A</v>
      </c>
      <c r="O1103" t="e">
        <v>#N/A</v>
      </c>
    </row>
    <row r="1104" spans="1:15" x14ac:dyDescent="0.25">
      <c r="A1104" t="s">
        <v>15</v>
      </c>
      <c r="B1104" t="s">
        <v>24</v>
      </c>
      <c r="C1104" s="3" t="str">
        <f>IF($B1104="GW1",VLOOKUP($A1104,Matches!$A:$AC,2,FALSE),IF($B1104="GW2",VLOOKUP($A1104,Matches!$A:$AC,9,FALSE),IF($B1104="GW3",VLOOKUP($A1104,Matches!$A:$AC,16,FALSE))))</f>
        <v>Spurs</v>
      </c>
      <c r="D1104" s="6">
        <v>0.62637018477920448</v>
      </c>
      <c r="E1104" s="6">
        <v>0.1736804626847526</v>
      </c>
      <c r="F1104" s="6">
        <v>0.45268972209445191</v>
      </c>
      <c r="G1104" s="3" t="s">
        <v>1</v>
      </c>
      <c r="H1104" t="e">
        <v>#N/A</v>
      </c>
      <c r="I1104" t="e">
        <v>#N/A</v>
      </c>
      <c r="J1104" t="e">
        <v>#N/A</v>
      </c>
      <c r="K1104">
        <v>0.375</v>
      </c>
      <c r="L1104">
        <v>0.276595745</v>
      </c>
      <c r="M1104">
        <v>3.3526628000000003E-2</v>
      </c>
      <c r="N1104" t="e">
        <v>#N/A</v>
      </c>
      <c r="O1104" t="e">
        <v>#N/A</v>
      </c>
    </row>
    <row r="1105" spans="1:15" x14ac:dyDescent="0.25">
      <c r="A1105" t="s">
        <v>15</v>
      </c>
      <c r="B1105" t="s">
        <v>24</v>
      </c>
      <c r="C1105" s="3" t="str">
        <f>IF($B1105="GW1",VLOOKUP($A1105,Matches!$A:$AC,2,FALSE),IF($B1105="GW2",VLOOKUP($A1105,Matches!$A:$AC,9,FALSE),IF($B1105="GW3",VLOOKUP($A1105,Matches!$A:$AC,16,FALSE))))</f>
        <v>Spurs</v>
      </c>
      <c r="D1105" s="6">
        <v>0.62637018477920448</v>
      </c>
      <c r="E1105" s="6">
        <v>0.1736804626847526</v>
      </c>
      <c r="F1105" s="6">
        <v>0.45268972209445191</v>
      </c>
      <c r="G1105" s="3" t="s">
        <v>1</v>
      </c>
      <c r="H1105" t="e">
        <v>#N/A</v>
      </c>
      <c r="I1105" t="e">
        <v>#N/A</v>
      </c>
      <c r="J1105" t="e">
        <v>#N/A</v>
      </c>
      <c r="K1105">
        <v>0.375</v>
      </c>
      <c r="L1105">
        <v>0.276595745</v>
      </c>
      <c r="M1105">
        <v>3.3526628000000003E-2</v>
      </c>
      <c r="N1105" t="e">
        <v>#N/A</v>
      </c>
      <c r="O1105" t="e">
        <v>#N/A</v>
      </c>
    </row>
    <row r="1106" spans="1:15" x14ac:dyDescent="0.25">
      <c r="A1106" t="s">
        <v>15</v>
      </c>
      <c r="B1106" t="s">
        <v>24</v>
      </c>
      <c r="C1106" s="3" t="str">
        <f>IF($B1106="GW1",VLOOKUP($A1106,Matches!$A:$AC,2,FALSE),IF($B1106="GW2",VLOOKUP($A1106,Matches!$A:$AC,9,FALSE),IF($B1106="GW3",VLOOKUP($A1106,Matches!$A:$AC,16,FALSE))))</f>
        <v>Spurs</v>
      </c>
      <c r="D1106" s="6">
        <v>0.62637018477920448</v>
      </c>
      <c r="E1106" s="6">
        <v>0.1736804626847526</v>
      </c>
      <c r="F1106" s="6">
        <v>0.45268972209445191</v>
      </c>
      <c r="G1106" s="3" t="s">
        <v>1</v>
      </c>
      <c r="H1106">
        <v>0.29304029300000001</v>
      </c>
      <c r="I1106">
        <v>0.21994941200000001</v>
      </c>
      <c r="J1106">
        <v>7.3260072999999995E-2</v>
      </c>
      <c r="K1106">
        <v>0.375</v>
      </c>
      <c r="L1106">
        <v>0.276595745</v>
      </c>
      <c r="M1106">
        <v>3.3526628000000003E-2</v>
      </c>
      <c r="N1106" t="e">
        <v>#N/A</v>
      </c>
      <c r="O1106" t="e">
        <v>#N/A</v>
      </c>
    </row>
    <row r="1107" spans="1:15" x14ac:dyDescent="0.25">
      <c r="A1107" t="s">
        <v>15</v>
      </c>
      <c r="B1107" t="s">
        <v>24</v>
      </c>
      <c r="C1107" s="3" t="str">
        <f>IF($B1107="GW1",VLOOKUP($A1107,Matches!$A:$AC,2,FALSE),IF($B1107="GW2",VLOOKUP($A1107,Matches!$A:$AC,9,FALSE),IF($B1107="GW3",VLOOKUP($A1107,Matches!$A:$AC,16,FALSE))))</f>
        <v>Spurs</v>
      </c>
      <c r="D1107" s="6">
        <v>0.62637018477920448</v>
      </c>
      <c r="E1107" s="6">
        <v>0.1736804626847526</v>
      </c>
      <c r="F1107" s="6">
        <v>0.45268972209445191</v>
      </c>
      <c r="G1107" s="3" t="s">
        <v>1</v>
      </c>
      <c r="H1107">
        <v>0.29304029300000001</v>
      </c>
      <c r="I1107">
        <v>0.253968254</v>
      </c>
      <c r="J1107">
        <v>0.10025062699999999</v>
      </c>
      <c r="K1107">
        <v>0.375</v>
      </c>
      <c r="L1107">
        <v>0.276595745</v>
      </c>
      <c r="M1107">
        <v>3.3526628000000003E-2</v>
      </c>
      <c r="N1107" t="e">
        <v>#N/A</v>
      </c>
      <c r="O1107" t="e">
        <v>#N/A</v>
      </c>
    </row>
    <row r="1108" spans="1:15" x14ac:dyDescent="0.25">
      <c r="A1108" t="s">
        <v>15</v>
      </c>
      <c r="B1108" t="s">
        <v>24</v>
      </c>
      <c r="C1108" s="3" t="str">
        <f>IF($B1108="GW1",VLOOKUP($A1108,Matches!$A:$AC,2,FALSE),IF($B1108="GW2",VLOOKUP($A1108,Matches!$A:$AC,9,FALSE),IF($B1108="GW3",VLOOKUP($A1108,Matches!$A:$AC,16,FALSE))))</f>
        <v>Spurs</v>
      </c>
      <c r="D1108" s="6">
        <v>0.62637018477920448</v>
      </c>
      <c r="E1108" s="6">
        <v>0.1736804626847526</v>
      </c>
      <c r="F1108" s="6">
        <v>0.45268972209445191</v>
      </c>
      <c r="G1108" s="3" t="s">
        <v>1</v>
      </c>
      <c r="H1108">
        <v>0.19047618999999999</v>
      </c>
      <c r="I1108">
        <v>0.11904761899999999</v>
      </c>
      <c r="J1108">
        <v>0.11904761899999999</v>
      </c>
      <c r="K1108">
        <v>0.375</v>
      </c>
      <c r="L1108">
        <v>0.276595745</v>
      </c>
      <c r="M1108">
        <v>3.3526628000000003E-2</v>
      </c>
      <c r="N1108" t="e">
        <v>#N/A</v>
      </c>
      <c r="O1108" t="e">
        <v>#N/A</v>
      </c>
    </row>
    <row r="1109" spans="1:15" x14ac:dyDescent="0.25">
      <c r="A1109" t="s">
        <v>15</v>
      </c>
      <c r="B1109" t="s">
        <v>24</v>
      </c>
      <c r="C1109" s="3" t="str">
        <f>IF($B1109="GW1",VLOOKUP($A1109,Matches!$A:$AC,2,FALSE),IF($B1109="GW2",VLOOKUP($A1109,Matches!$A:$AC,9,FALSE),IF($B1109="GW3",VLOOKUP($A1109,Matches!$A:$AC,16,FALSE))))</f>
        <v>Spurs</v>
      </c>
      <c r="D1109" s="6">
        <v>0.62637018477920448</v>
      </c>
      <c r="E1109" s="6">
        <v>0.1736804626847526</v>
      </c>
      <c r="F1109" s="6">
        <v>0.45268972209445191</v>
      </c>
      <c r="G1109" s="3" t="s">
        <v>1</v>
      </c>
      <c r="H1109">
        <v>0.23809523799999999</v>
      </c>
      <c r="I1109">
        <v>0.15873015900000001</v>
      </c>
      <c r="J1109">
        <v>0.15873015900000001</v>
      </c>
      <c r="K1109">
        <v>0.375</v>
      </c>
      <c r="L1109">
        <v>0.276595745</v>
      </c>
      <c r="M1109">
        <v>3.3526628000000003E-2</v>
      </c>
      <c r="N1109" t="e">
        <v>#N/A</v>
      </c>
      <c r="O1109" t="e">
        <v>#N/A</v>
      </c>
    </row>
    <row r="1110" spans="1:15" x14ac:dyDescent="0.25">
      <c r="A1110" t="s">
        <v>15</v>
      </c>
      <c r="B1110" t="s">
        <v>24</v>
      </c>
      <c r="C1110" s="3" t="str">
        <f>IF($B1110="GW1",VLOOKUP($A1110,Matches!$A:$AC,2,FALSE),IF($B1110="GW2",VLOOKUP($A1110,Matches!$A:$AC,9,FALSE),IF($B1110="GW3",VLOOKUP($A1110,Matches!$A:$AC,16,FALSE))))</f>
        <v>Spurs</v>
      </c>
      <c r="D1110" s="6">
        <v>0.62637018477920448</v>
      </c>
      <c r="E1110" s="6">
        <v>0.1736804626847526</v>
      </c>
      <c r="F1110" s="6">
        <v>0.45268972209445191</v>
      </c>
      <c r="G1110" s="3" t="s">
        <v>1</v>
      </c>
      <c r="H1110" t="e">
        <v>#N/A</v>
      </c>
      <c r="I1110" t="e">
        <v>#N/A</v>
      </c>
      <c r="J1110" t="e">
        <v>#N/A</v>
      </c>
      <c r="K1110">
        <v>0.375</v>
      </c>
      <c r="L1110">
        <v>0.276595745</v>
      </c>
      <c r="M1110">
        <v>3.3526628000000003E-2</v>
      </c>
      <c r="N1110" t="e">
        <v>#N/A</v>
      </c>
      <c r="O1110" t="e">
        <v>#N/A</v>
      </c>
    </row>
    <row r="1111" spans="1:15" x14ac:dyDescent="0.25">
      <c r="A1111" t="s">
        <v>15</v>
      </c>
      <c r="B1111" t="s">
        <v>24</v>
      </c>
      <c r="C1111" s="3" t="str">
        <f>IF($B1111="GW1",VLOOKUP($A1111,Matches!$A:$AC,2,FALSE),IF($B1111="GW2",VLOOKUP($A1111,Matches!$A:$AC,9,FALSE),IF($B1111="GW3",VLOOKUP($A1111,Matches!$A:$AC,16,FALSE))))</f>
        <v>Spurs</v>
      </c>
      <c r="D1111" s="6">
        <v>0.62637018477920448</v>
      </c>
      <c r="E1111" s="6">
        <v>0.1736804626847526</v>
      </c>
      <c r="F1111" s="6">
        <v>0.45268972209445191</v>
      </c>
      <c r="G1111" s="3" t="s">
        <v>1</v>
      </c>
      <c r="H1111" t="e">
        <v>#N/A</v>
      </c>
      <c r="I1111" t="e">
        <v>#N/A</v>
      </c>
      <c r="J1111" t="e">
        <v>#N/A</v>
      </c>
      <c r="K1111">
        <v>0.375</v>
      </c>
      <c r="L1111">
        <v>0.276595745</v>
      </c>
      <c r="M1111">
        <v>3.3526628000000003E-2</v>
      </c>
      <c r="N1111" t="e">
        <v>#N/A</v>
      </c>
      <c r="O1111" t="e">
        <v>#N/A</v>
      </c>
    </row>
    <row r="1112" spans="1:15" x14ac:dyDescent="0.25">
      <c r="A1112" t="s">
        <v>15</v>
      </c>
      <c r="B1112" t="s">
        <v>24</v>
      </c>
      <c r="C1112" s="3" t="str">
        <f>IF($B1112="GW1",VLOOKUP($A1112,Matches!$A:$AC,2,FALSE),IF($B1112="GW2",VLOOKUP($A1112,Matches!$A:$AC,9,FALSE),IF($B1112="GW3",VLOOKUP($A1112,Matches!$A:$AC,16,FALSE))))</f>
        <v>Spurs</v>
      </c>
      <c r="D1112" s="6">
        <v>0.62637018477920448</v>
      </c>
      <c r="E1112" s="6">
        <v>0.1736804626847526</v>
      </c>
      <c r="F1112" s="6">
        <v>0.45268972209445191</v>
      </c>
      <c r="G1112" s="3" t="s">
        <v>1</v>
      </c>
      <c r="H1112">
        <v>0.606612072</v>
      </c>
      <c r="I1112">
        <v>0.13605442200000001</v>
      </c>
      <c r="J1112">
        <v>0.11904761899999999</v>
      </c>
      <c r="K1112">
        <v>0.375</v>
      </c>
      <c r="L1112">
        <v>0.276595745</v>
      </c>
      <c r="M1112">
        <v>3.3526628000000003E-2</v>
      </c>
      <c r="N1112" t="e">
        <v>#N/A</v>
      </c>
      <c r="O1112" t="e">
        <v>#N/A</v>
      </c>
    </row>
    <row r="1113" spans="1:15" x14ac:dyDescent="0.25">
      <c r="A1113" t="s">
        <v>16</v>
      </c>
      <c r="B1113" t="s">
        <v>24</v>
      </c>
      <c r="C1113" s="3" t="str">
        <f>IF($B1113="GW1",VLOOKUP($A1113,Matches!$A:$AC,2,FALSE),IF($B1113="GW2",VLOOKUP($A1113,Matches!$A:$AC,9,FALSE),IF($B1113="GW3",VLOOKUP($A1113,Matches!$A:$AC,16,FALSE))))</f>
        <v>Fulham</v>
      </c>
      <c r="D1113" s="6">
        <v>0.46453291215682635</v>
      </c>
      <c r="E1113" s="6">
        <v>0.2750350669710388</v>
      </c>
      <c r="F1113" s="6">
        <v>0.18949784518578755</v>
      </c>
      <c r="G1113" s="3" t="s">
        <v>0</v>
      </c>
      <c r="H1113">
        <v>0.297619048</v>
      </c>
      <c r="I1113">
        <v>0.173160173</v>
      </c>
      <c r="J1113">
        <v>0.173160173</v>
      </c>
      <c r="K1113">
        <v>0.276595745</v>
      </c>
      <c r="L1113">
        <v>0.375</v>
      </c>
      <c r="M1113">
        <v>5.6865464999999997E-2</v>
      </c>
      <c r="N1113" t="e">
        <v>#N/A</v>
      </c>
      <c r="O1113" t="e">
        <v>#N/A</v>
      </c>
    </row>
    <row r="1114" spans="1:15" x14ac:dyDescent="0.25">
      <c r="A1114" t="s">
        <v>16</v>
      </c>
      <c r="B1114" t="s">
        <v>24</v>
      </c>
      <c r="C1114" s="3" t="str">
        <f>IF($B1114="GW1",VLOOKUP($A1114,Matches!$A:$AC,2,FALSE),IF($B1114="GW2",VLOOKUP($A1114,Matches!$A:$AC,9,FALSE),IF($B1114="GW3",VLOOKUP($A1114,Matches!$A:$AC,16,FALSE))))</f>
        <v>Fulham</v>
      </c>
      <c r="D1114" s="6">
        <v>0.46453291215682635</v>
      </c>
      <c r="E1114" s="6">
        <v>0.2750350669710388</v>
      </c>
      <c r="F1114" s="6">
        <v>0.18949784518578755</v>
      </c>
      <c r="G1114" s="3" t="s">
        <v>0</v>
      </c>
      <c r="H1114" t="e">
        <v>#N/A</v>
      </c>
      <c r="I1114" t="e">
        <v>#N/A</v>
      </c>
      <c r="J1114">
        <v>0.14652014699999999</v>
      </c>
      <c r="K1114">
        <v>0.276595745</v>
      </c>
      <c r="L1114">
        <v>0.375</v>
      </c>
      <c r="M1114">
        <v>5.6865464999999997E-2</v>
      </c>
      <c r="N1114">
        <v>0.70028011199999995</v>
      </c>
      <c r="O1114">
        <v>0.173160173</v>
      </c>
    </row>
    <row r="1115" spans="1:15" x14ac:dyDescent="0.25">
      <c r="A1115" t="s">
        <v>16</v>
      </c>
      <c r="B1115" t="s">
        <v>24</v>
      </c>
      <c r="C1115" s="3" t="str">
        <f>IF($B1115="GW1",VLOOKUP($A1115,Matches!$A:$AC,2,FALSE),IF($B1115="GW2",VLOOKUP($A1115,Matches!$A:$AC,9,FALSE),IF($B1115="GW3",VLOOKUP($A1115,Matches!$A:$AC,16,FALSE))))</f>
        <v>Fulham</v>
      </c>
      <c r="D1115" s="6">
        <v>0.46453291215682635</v>
      </c>
      <c r="E1115" s="6">
        <v>0.2750350669710388</v>
      </c>
      <c r="F1115" s="6">
        <v>0.18949784518578755</v>
      </c>
      <c r="G1115" s="3" t="s">
        <v>0</v>
      </c>
      <c r="H1115" t="e">
        <v>#N/A</v>
      </c>
      <c r="I1115" t="e">
        <v>#N/A</v>
      </c>
      <c r="J1115">
        <v>0.14652014699999999</v>
      </c>
      <c r="K1115">
        <v>0.276595745</v>
      </c>
      <c r="L1115">
        <v>0.375</v>
      </c>
      <c r="M1115">
        <v>5.6865464999999997E-2</v>
      </c>
      <c r="N1115" t="e">
        <v>#N/A</v>
      </c>
      <c r="O1115" t="e">
        <v>#N/A</v>
      </c>
    </row>
    <row r="1116" spans="1:15" x14ac:dyDescent="0.25">
      <c r="A1116" t="s">
        <v>16</v>
      </c>
      <c r="B1116" t="s">
        <v>24</v>
      </c>
      <c r="C1116" s="3" t="str">
        <f>IF($B1116="GW1",VLOOKUP($A1116,Matches!$A:$AC,2,FALSE),IF($B1116="GW2",VLOOKUP($A1116,Matches!$A:$AC,9,FALSE),IF($B1116="GW3",VLOOKUP($A1116,Matches!$A:$AC,16,FALSE))))</f>
        <v>Fulham</v>
      </c>
      <c r="D1116" s="6">
        <v>0.46453291215682635</v>
      </c>
      <c r="E1116" s="6">
        <v>0.2750350669710388</v>
      </c>
      <c r="F1116" s="6">
        <v>0.18949784518578755</v>
      </c>
      <c r="G1116" s="3" t="s">
        <v>0</v>
      </c>
      <c r="H1116" t="e">
        <v>#N/A</v>
      </c>
      <c r="I1116" t="e">
        <v>#N/A</v>
      </c>
      <c r="J1116" t="e">
        <v>#N/A</v>
      </c>
      <c r="K1116">
        <v>0.276595745</v>
      </c>
      <c r="L1116">
        <v>0.375</v>
      </c>
      <c r="M1116">
        <v>5.6865464999999997E-2</v>
      </c>
      <c r="N1116" t="e">
        <v>#N/A</v>
      </c>
      <c r="O1116" t="e">
        <v>#N/A</v>
      </c>
    </row>
    <row r="1117" spans="1:15" x14ac:dyDescent="0.25">
      <c r="A1117" t="s">
        <v>16</v>
      </c>
      <c r="B1117" t="s">
        <v>24</v>
      </c>
      <c r="C1117" s="3" t="str">
        <f>IF($B1117="GW1",VLOOKUP($A1117,Matches!$A:$AC,2,FALSE),IF($B1117="GW2",VLOOKUP($A1117,Matches!$A:$AC,9,FALSE),IF($B1117="GW3",VLOOKUP($A1117,Matches!$A:$AC,16,FALSE))))</f>
        <v>Fulham</v>
      </c>
      <c r="D1117" s="6">
        <v>0.46453291215682635</v>
      </c>
      <c r="E1117" s="6">
        <v>0.2750350669710388</v>
      </c>
      <c r="F1117" s="6">
        <v>0.18949784518578755</v>
      </c>
      <c r="G1117" s="3" t="s">
        <v>0</v>
      </c>
      <c r="H1117" t="e">
        <v>#N/A</v>
      </c>
      <c r="I1117" t="e">
        <v>#N/A</v>
      </c>
      <c r="J1117">
        <v>0.14652014699999999</v>
      </c>
      <c r="K1117">
        <v>0.276595745</v>
      </c>
      <c r="L1117">
        <v>0.375</v>
      </c>
      <c r="M1117">
        <v>5.6865464999999997E-2</v>
      </c>
      <c r="N1117" t="e">
        <v>#N/A</v>
      </c>
      <c r="O1117" t="e">
        <v>#N/A</v>
      </c>
    </row>
    <row r="1118" spans="1:15" x14ac:dyDescent="0.25">
      <c r="A1118" t="s">
        <v>16</v>
      </c>
      <c r="B1118" t="s">
        <v>24</v>
      </c>
      <c r="C1118" s="3" t="str">
        <f>IF($B1118="GW1",VLOOKUP($A1118,Matches!$A:$AC,2,FALSE),IF($B1118="GW2",VLOOKUP($A1118,Matches!$A:$AC,9,FALSE),IF($B1118="GW3",VLOOKUP($A1118,Matches!$A:$AC,16,FALSE))))</f>
        <v>Fulham</v>
      </c>
      <c r="D1118" s="6">
        <v>0.46453291215682635</v>
      </c>
      <c r="E1118" s="6">
        <v>0.2750350669710388</v>
      </c>
      <c r="F1118" s="6">
        <v>0.18949784518578755</v>
      </c>
      <c r="G1118" s="3" t="s">
        <v>0</v>
      </c>
      <c r="H1118" t="e">
        <v>#N/A</v>
      </c>
      <c r="I1118" t="e">
        <v>#N/A</v>
      </c>
      <c r="J1118">
        <v>0.14652014699999999</v>
      </c>
      <c r="K1118">
        <v>0.276595745</v>
      </c>
      <c r="L1118">
        <v>0.375</v>
      </c>
      <c r="M1118">
        <v>5.6865464999999997E-2</v>
      </c>
      <c r="N1118" t="e">
        <v>#N/A</v>
      </c>
      <c r="O1118" t="e">
        <v>#N/A</v>
      </c>
    </row>
    <row r="1119" spans="1:15" x14ac:dyDescent="0.25">
      <c r="A1119" t="s">
        <v>16</v>
      </c>
      <c r="B1119" t="s">
        <v>24</v>
      </c>
      <c r="C1119" s="3" t="str">
        <f>IF($B1119="GW1",VLOOKUP($A1119,Matches!$A:$AC,2,FALSE),IF($B1119="GW2",VLOOKUP($A1119,Matches!$A:$AC,9,FALSE),IF($B1119="GW3",VLOOKUP($A1119,Matches!$A:$AC,16,FALSE))))</f>
        <v>Fulham</v>
      </c>
      <c r="D1119" s="6">
        <v>0.46453291215682635</v>
      </c>
      <c r="E1119" s="6">
        <v>0.2750350669710388</v>
      </c>
      <c r="F1119" s="6">
        <v>0.18949784518578755</v>
      </c>
      <c r="G1119" s="3" t="s">
        <v>0</v>
      </c>
      <c r="H1119">
        <v>8.6580087E-2</v>
      </c>
      <c r="I1119">
        <v>2.8011204000000001E-2</v>
      </c>
      <c r="J1119">
        <v>0.173160173</v>
      </c>
      <c r="K1119">
        <v>0.276595745</v>
      </c>
      <c r="L1119">
        <v>0.375</v>
      </c>
      <c r="M1119">
        <v>5.6865464999999997E-2</v>
      </c>
      <c r="N1119" t="e">
        <v>#N/A</v>
      </c>
      <c r="O1119" t="e">
        <v>#N/A</v>
      </c>
    </row>
    <row r="1120" spans="1:15" x14ac:dyDescent="0.25">
      <c r="A1120" t="s">
        <v>16</v>
      </c>
      <c r="B1120" t="s">
        <v>24</v>
      </c>
      <c r="C1120" s="3" t="str">
        <f>IF($B1120="GW1",VLOOKUP($A1120,Matches!$A:$AC,2,FALSE),IF($B1120="GW2",VLOOKUP($A1120,Matches!$A:$AC,9,FALSE),IF($B1120="GW3",VLOOKUP($A1120,Matches!$A:$AC,16,FALSE))))</f>
        <v>Fulham</v>
      </c>
      <c r="D1120" s="6">
        <v>0.46453291215682635</v>
      </c>
      <c r="E1120" s="6">
        <v>0.2750350669710388</v>
      </c>
      <c r="F1120" s="6">
        <v>0.18949784518578755</v>
      </c>
      <c r="G1120" s="3" t="s">
        <v>0</v>
      </c>
      <c r="H1120" t="e">
        <v>#N/A</v>
      </c>
      <c r="I1120" t="e">
        <v>#N/A</v>
      </c>
      <c r="J1120" t="e">
        <v>#N/A</v>
      </c>
      <c r="K1120">
        <v>0.276595745</v>
      </c>
      <c r="L1120">
        <v>0.375</v>
      </c>
      <c r="M1120">
        <v>5.6865464999999997E-2</v>
      </c>
      <c r="N1120" t="e">
        <v>#N/A</v>
      </c>
      <c r="O1120" t="e">
        <v>#N/A</v>
      </c>
    </row>
    <row r="1121" spans="1:15" x14ac:dyDescent="0.25">
      <c r="A1121" t="s">
        <v>16</v>
      </c>
      <c r="B1121" t="s">
        <v>24</v>
      </c>
      <c r="C1121" s="3" t="str">
        <f>IF($B1121="GW1",VLOOKUP($A1121,Matches!$A:$AC,2,FALSE),IF($B1121="GW2",VLOOKUP($A1121,Matches!$A:$AC,9,FALSE),IF($B1121="GW3",VLOOKUP($A1121,Matches!$A:$AC,16,FALSE))))</f>
        <v>Fulham</v>
      </c>
      <c r="D1121" s="6">
        <v>0.46453291215682635</v>
      </c>
      <c r="E1121" s="6">
        <v>0.2750350669710388</v>
      </c>
      <c r="F1121" s="6">
        <v>0.18949784518578755</v>
      </c>
      <c r="G1121" s="3" t="s">
        <v>0</v>
      </c>
      <c r="H1121">
        <v>7.9365079000000005E-2</v>
      </c>
      <c r="I1121">
        <v>6.3492063000000001E-2</v>
      </c>
      <c r="J1121">
        <v>0.21994941200000001</v>
      </c>
      <c r="K1121">
        <v>0.276595745</v>
      </c>
      <c r="L1121">
        <v>0.375</v>
      </c>
      <c r="M1121">
        <v>5.6865464999999997E-2</v>
      </c>
      <c r="N1121" t="e">
        <v>#N/A</v>
      </c>
      <c r="O1121" t="e">
        <v>#N/A</v>
      </c>
    </row>
    <row r="1122" spans="1:15" x14ac:dyDescent="0.25">
      <c r="A1122" t="s">
        <v>16</v>
      </c>
      <c r="B1122" t="s">
        <v>24</v>
      </c>
      <c r="C1122" s="3" t="str">
        <f>IF($B1122="GW1",VLOOKUP($A1122,Matches!$A:$AC,2,FALSE),IF($B1122="GW2",VLOOKUP($A1122,Matches!$A:$AC,9,FALSE),IF($B1122="GW3",VLOOKUP($A1122,Matches!$A:$AC,16,FALSE))))</f>
        <v>Fulham</v>
      </c>
      <c r="D1122" s="6">
        <v>0.46453291215682635</v>
      </c>
      <c r="E1122" s="6">
        <v>0.2750350669710388</v>
      </c>
      <c r="F1122" s="6">
        <v>0.18949784518578755</v>
      </c>
      <c r="G1122" s="3" t="s">
        <v>0</v>
      </c>
      <c r="H1122" t="e">
        <v>#N/A</v>
      </c>
      <c r="I1122" t="e">
        <v>#N/A</v>
      </c>
      <c r="J1122" t="e">
        <v>#N/A</v>
      </c>
      <c r="K1122">
        <v>0.276595745</v>
      </c>
      <c r="L1122">
        <v>0.375</v>
      </c>
      <c r="M1122">
        <v>5.6865464999999997E-2</v>
      </c>
      <c r="N1122" t="e">
        <v>#N/A</v>
      </c>
      <c r="O1122" t="e">
        <v>#N/A</v>
      </c>
    </row>
    <row r="1123" spans="1:15" x14ac:dyDescent="0.25">
      <c r="A1123" t="s">
        <v>16</v>
      </c>
      <c r="B1123" t="s">
        <v>24</v>
      </c>
      <c r="C1123" s="3" t="str">
        <f>IF($B1123="GW1",VLOOKUP($A1123,Matches!$A:$AC,2,FALSE),IF($B1123="GW2",VLOOKUP($A1123,Matches!$A:$AC,9,FALSE),IF($B1123="GW3",VLOOKUP($A1123,Matches!$A:$AC,16,FALSE))))</f>
        <v>Fulham</v>
      </c>
      <c r="D1123" s="6">
        <v>0.46453291215682635</v>
      </c>
      <c r="E1123" s="6">
        <v>0.2750350669710388</v>
      </c>
      <c r="F1123" s="6">
        <v>0.18949784518578755</v>
      </c>
      <c r="G1123" s="3" t="s">
        <v>0</v>
      </c>
      <c r="H1123" t="e">
        <v>#N/A</v>
      </c>
      <c r="I1123" t="e">
        <v>#N/A</v>
      </c>
      <c r="J1123" t="e">
        <v>#N/A</v>
      </c>
      <c r="K1123">
        <v>0.276595745</v>
      </c>
      <c r="L1123">
        <v>0.375</v>
      </c>
      <c r="M1123">
        <v>5.6865464999999997E-2</v>
      </c>
      <c r="N1123" t="e">
        <v>#N/A</v>
      </c>
      <c r="O1123" t="e">
        <v>#N/A</v>
      </c>
    </row>
    <row r="1124" spans="1:15" x14ac:dyDescent="0.25">
      <c r="A1124" t="s">
        <v>16</v>
      </c>
      <c r="B1124" t="s">
        <v>24</v>
      </c>
      <c r="C1124" s="3" t="str">
        <f>IF($B1124="GW1",VLOOKUP($A1124,Matches!$A:$AC,2,FALSE),IF($B1124="GW2",VLOOKUP($A1124,Matches!$A:$AC,9,FALSE),IF($B1124="GW3",VLOOKUP($A1124,Matches!$A:$AC,16,FALSE))))</f>
        <v>Fulham</v>
      </c>
      <c r="D1124" s="6">
        <v>0.46453291215682635</v>
      </c>
      <c r="E1124" s="6">
        <v>0.2750350669710388</v>
      </c>
      <c r="F1124" s="6">
        <v>0.18949784518578755</v>
      </c>
      <c r="G1124" s="3" t="s">
        <v>0</v>
      </c>
      <c r="H1124">
        <v>0.112044818</v>
      </c>
      <c r="I1124">
        <v>0.11904761899999999</v>
      </c>
      <c r="J1124">
        <v>0.20050125299999999</v>
      </c>
      <c r="K1124">
        <v>0.276595745</v>
      </c>
      <c r="L1124">
        <v>0.375</v>
      </c>
      <c r="M1124">
        <v>5.6865464999999997E-2</v>
      </c>
      <c r="N1124" t="e">
        <v>#N/A</v>
      </c>
      <c r="O1124" t="e">
        <v>#N/A</v>
      </c>
    </row>
    <row r="1125" spans="1:15" x14ac:dyDescent="0.25">
      <c r="A1125" t="s">
        <v>16</v>
      </c>
      <c r="B1125" t="s">
        <v>24</v>
      </c>
      <c r="C1125" s="3" t="str">
        <f>IF($B1125="GW1",VLOOKUP($A1125,Matches!$A:$AC,2,FALSE),IF($B1125="GW2",VLOOKUP($A1125,Matches!$A:$AC,9,FALSE),IF($B1125="GW3",VLOOKUP($A1125,Matches!$A:$AC,16,FALSE))))</f>
        <v>Fulham</v>
      </c>
      <c r="D1125" s="6">
        <v>0.46453291215682635</v>
      </c>
      <c r="E1125" s="6">
        <v>0.2750350669710388</v>
      </c>
      <c r="F1125" s="6">
        <v>0.18949784518578755</v>
      </c>
      <c r="G1125" s="3" t="s">
        <v>0</v>
      </c>
      <c r="H1125">
        <v>8.6580087E-2</v>
      </c>
      <c r="I1125">
        <v>4.1407867000000001E-2</v>
      </c>
      <c r="J1125">
        <v>0.23809523799999999</v>
      </c>
      <c r="K1125">
        <v>0.276595745</v>
      </c>
      <c r="L1125">
        <v>0.375</v>
      </c>
      <c r="M1125">
        <v>5.6865464999999997E-2</v>
      </c>
      <c r="N1125" t="e">
        <v>#N/A</v>
      </c>
      <c r="O1125" t="e">
        <v>#N/A</v>
      </c>
    </row>
    <row r="1126" spans="1:15" x14ac:dyDescent="0.25">
      <c r="A1126" t="s">
        <v>16</v>
      </c>
      <c r="B1126" t="s">
        <v>24</v>
      </c>
      <c r="C1126" s="3" t="str">
        <f>IF($B1126="GW1",VLOOKUP($A1126,Matches!$A:$AC,2,FALSE),IF($B1126="GW2",VLOOKUP($A1126,Matches!$A:$AC,9,FALSE),IF($B1126="GW3",VLOOKUP($A1126,Matches!$A:$AC,16,FALSE))))</f>
        <v>Fulham</v>
      </c>
      <c r="D1126" s="6">
        <v>0.46453291215682635</v>
      </c>
      <c r="E1126" s="6">
        <v>0.2750350669710388</v>
      </c>
      <c r="F1126" s="6">
        <v>0.18949784518578755</v>
      </c>
      <c r="G1126" s="3" t="s">
        <v>0</v>
      </c>
      <c r="H1126">
        <v>7.9365079000000005E-2</v>
      </c>
      <c r="I1126">
        <v>9.5238094999999995E-2</v>
      </c>
      <c r="J1126">
        <v>0.346320346</v>
      </c>
      <c r="K1126">
        <v>0.276595745</v>
      </c>
      <c r="L1126">
        <v>0.375</v>
      </c>
      <c r="M1126">
        <v>5.6865464999999997E-2</v>
      </c>
      <c r="N1126" t="e">
        <v>#N/A</v>
      </c>
      <c r="O1126" t="e">
        <v>#N/A</v>
      </c>
    </row>
    <row r="1127" spans="1:15" x14ac:dyDescent="0.25">
      <c r="A1127" t="s">
        <v>16</v>
      </c>
      <c r="B1127" t="s">
        <v>24</v>
      </c>
      <c r="C1127" s="3" t="str">
        <f>IF($B1127="GW1",VLOOKUP($A1127,Matches!$A:$AC,2,FALSE),IF($B1127="GW2",VLOOKUP($A1127,Matches!$A:$AC,9,FALSE),IF($B1127="GW3",VLOOKUP($A1127,Matches!$A:$AC,16,FALSE))))</f>
        <v>Fulham</v>
      </c>
      <c r="D1127" s="6">
        <v>0.46453291215682635</v>
      </c>
      <c r="E1127" s="6">
        <v>0.2750350669710388</v>
      </c>
      <c r="F1127" s="6">
        <v>0.18949784518578755</v>
      </c>
      <c r="G1127" s="3" t="s">
        <v>0</v>
      </c>
      <c r="H1127">
        <v>8.6580087E-2</v>
      </c>
      <c r="I1127">
        <v>4.1407867000000001E-2</v>
      </c>
      <c r="J1127">
        <v>0.173160173</v>
      </c>
      <c r="K1127">
        <v>0.276595745</v>
      </c>
      <c r="L1127">
        <v>0.375</v>
      </c>
      <c r="M1127">
        <v>5.6865464999999997E-2</v>
      </c>
      <c r="N1127" t="e">
        <v>#N/A</v>
      </c>
      <c r="O1127" t="e">
        <v>#N/A</v>
      </c>
    </row>
    <row r="1128" spans="1:15" x14ac:dyDescent="0.25">
      <c r="A1128" t="s">
        <v>16</v>
      </c>
      <c r="B1128" t="s">
        <v>24</v>
      </c>
      <c r="C1128" s="3" t="str">
        <f>IF($B1128="GW1",VLOOKUP($A1128,Matches!$A:$AC,2,FALSE),IF($B1128="GW2",VLOOKUP($A1128,Matches!$A:$AC,9,FALSE),IF($B1128="GW3",VLOOKUP($A1128,Matches!$A:$AC,16,FALSE))))</f>
        <v>Fulham</v>
      </c>
      <c r="D1128" s="6">
        <v>0.46453291215682635</v>
      </c>
      <c r="E1128" s="6">
        <v>0.2750350669710388</v>
      </c>
      <c r="F1128" s="6">
        <v>0.18949784518578755</v>
      </c>
      <c r="G1128" s="3" t="s">
        <v>0</v>
      </c>
      <c r="H1128" t="e">
        <v>#N/A</v>
      </c>
      <c r="I1128" t="e">
        <v>#N/A</v>
      </c>
      <c r="J1128" t="e">
        <v>#N/A</v>
      </c>
      <c r="K1128">
        <v>0.276595745</v>
      </c>
      <c r="L1128">
        <v>0.375</v>
      </c>
      <c r="M1128">
        <v>5.6865464999999997E-2</v>
      </c>
      <c r="N1128" t="e">
        <v>#N/A</v>
      </c>
      <c r="O1128" t="e">
        <v>#N/A</v>
      </c>
    </row>
    <row r="1129" spans="1:15" x14ac:dyDescent="0.25">
      <c r="A1129" t="s">
        <v>16</v>
      </c>
      <c r="B1129" t="s">
        <v>24</v>
      </c>
      <c r="C1129" s="3" t="str">
        <f>IF($B1129="GW1",VLOOKUP($A1129,Matches!$A:$AC,2,FALSE),IF($B1129="GW2",VLOOKUP($A1129,Matches!$A:$AC,9,FALSE),IF($B1129="GW3",VLOOKUP($A1129,Matches!$A:$AC,16,FALSE))))</f>
        <v>Fulham</v>
      </c>
      <c r="D1129" s="6">
        <v>0.46453291215682635</v>
      </c>
      <c r="E1129" s="6">
        <v>0.2750350669710388</v>
      </c>
      <c r="F1129" s="6">
        <v>0.18949784518578755</v>
      </c>
      <c r="G1129" s="3" t="s">
        <v>0</v>
      </c>
      <c r="H1129" t="e">
        <v>#N/A</v>
      </c>
      <c r="I1129" t="e">
        <v>#N/A</v>
      </c>
      <c r="J1129">
        <v>0.27210884400000002</v>
      </c>
      <c r="K1129">
        <v>0.276595745</v>
      </c>
      <c r="L1129">
        <v>0.375</v>
      </c>
      <c r="M1129">
        <v>5.6865464999999997E-2</v>
      </c>
      <c r="N1129" t="e">
        <v>#N/A</v>
      </c>
      <c r="O1129" t="e">
        <v>#N/A</v>
      </c>
    </row>
    <row r="1130" spans="1:15" x14ac:dyDescent="0.25">
      <c r="A1130" t="s">
        <v>16</v>
      </c>
      <c r="B1130" t="s">
        <v>24</v>
      </c>
      <c r="C1130" s="3" t="str">
        <f>IF($B1130="GW1",VLOOKUP($A1130,Matches!$A:$AC,2,FALSE),IF($B1130="GW2",VLOOKUP($A1130,Matches!$A:$AC,9,FALSE),IF($B1130="GW3",VLOOKUP($A1130,Matches!$A:$AC,16,FALSE))))</f>
        <v>Fulham</v>
      </c>
      <c r="D1130" s="6">
        <v>0.46453291215682635</v>
      </c>
      <c r="E1130" s="6">
        <v>0.2750350669710388</v>
      </c>
      <c r="F1130" s="6">
        <v>0.18949784518578755</v>
      </c>
      <c r="G1130" s="3" t="s">
        <v>0</v>
      </c>
      <c r="H1130" t="e">
        <v>#N/A</v>
      </c>
      <c r="I1130" t="e">
        <v>#N/A</v>
      </c>
      <c r="J1130">
        <v>0.173160173</v>
      </c>
      <c r="K1130">
        <v>0.276595745</v>
      </c>
      <c r="L1130">
        <v>0.375</v>
      </c>
      <c r="M1130">
        <v>5.6865464999999997E-2</v>
      </c>
      <c r="N1130" t="e">
        <v>#N/A</v>
      </c>
      <c r="O1130" t="e">
        <v>#N/A</v>
      </c>
    </row>
    <row r="1131" spans="1:15" x14ac:dyDescent="0.25">
      <c r="A1131" t="s">
        <v>16</v>
      </c>
      <c r="B1131" t="s">
        <v>24</v>
      </c>
      <c r="C1131" s="3" t="str">
        <f>IF($B1131="GW1",VLOOKUP($A1131,Matches!$A:$AC,2,FALSE),IF($B1131="GW2",VLOOKUP($A1131,Matches!$A:$AC,9,FALSE),IF($B1131="GW3",VLOOKUP($A1131,Matches!$A:$AC,16,FALSE))))</f>
        <v>Fulham</v>
      </c>
      <c r="D1131" s="6">
        <v>0.46453291215682635</v>
      </c>
      <c r="E1131" s="6">
        <v>0.2750350669710388</v>
      </c>
      <c r="F1131" s="6">
        <v>0.18949784518578755</v>
      </c>
      <c r="G1131" s="3" t="s">
        <v>0</v>
      </c>
      <c r="H1131" t="e">
        <v>#N/A</v>
      </c>
      <c r="I1131" t="e">
        <v>#N/A</v>
      </c>
      <c r="J1131" t="e">
        <v>#N/A</v>
      </c>
      <c r="K1131">
        <v>0.276595745</v>
      </c>
      <c r="L1131">
        <v>0.375</v>
      </c>
      <c r="M1131">
        <v>5.6865464999999997E-2</v>
      </c>
      <c r="N1131" t="e">
        <v>#N/A</v>
      </c>
      <c r="O1131" t="e">
        <v>#N/A</v>
      </c>
    </row>
    <row r="1132" spans="1:15" x14ac:dyDescent="0.25">
      <c r="A1132" t="s">
        <v>16</v>
      </c>
      <c r="B1132" t="s">
        <v>24</v>
      </c>
      <c r="C1132" s="3" t="str">
        <f>IF($B1132="GW1",VLOOKUP($A1132,Matches!$A:$AC,2,FALSE),IF($B1132="GW2",VLOOKUP($A1132,Matches!$A:$AC,9,FALSE),IF($B1132="GW3",VLOOKUP($A1132,Matches!$A:$AC,16,FALSE))))</f>
        <v>Fulham</v>
      </c>
      <c r="D1132" s="6">
        <v>0.46453291215682635</v>
      </c>
      <c r="E1132" s="6">
        <v>0.2750350669710388</v>
      </c>
      <c r="F1132" s="6">
        <v>0.18949784518578755</v>
      </c>
      <c r="G1132" s="3" t="s">
        <v>0</v>
      </c>
      <c r="H1132">
        <v>0.297619048</v>
      </c>
      <c r="I1132">
        <v>0.21994941200000001</v>
      </c>
      <c r="J1132">
        <v>0.27210884400000002</v>
      </c>
      <c r="K1132">
        <v>0.276595745</v>
      </c>
      <c r="L1132">
        <v>0.375</v>
      </c>
      <c r="M1132">
        <v>5.6865464999999997E-2</v>
      </c>
      <c r="N1132" t="e">
        <v>#N/A</v>
      </c>
      <c r="O1132" t="e">
        <v>#N/A</v>
      </c>
    </row>
    <row r="1133" spans="1:15" x14ac:dyDescent="0.25">
      <c r="A1133" t="s">
        <v>16</v>
      </c>
      <c r="B1133" t="s">
        <v>24</v>
      </c>
      <c r="C1133" s="3" t="str">
        <f>IF($B1133="GW1",VLOOKUP($A1133,Matches!$A:$AC,2,FALSE),IF($B1133="GW2",VLOOKUP($A1133,Matches!$A:$AC,9,FALSE),IF($B1133="GW3",VLOOKUP($A1133,Matches!$A:$AC,16,FALSE))))</f>
        <v>Fulham</v>
      </c>
      <c r="D1133" s="6">
        <v>0.46453291215682635</v>
      </c>
      <c r="E1133" s="6">
        <v>0.2750350669710388</v>
      </c>
      <c r="F1133" s="6">
        <v>0.18949784518578755</v>
      </c>
      <c r="G1133" s="3" t="s">
        <v>0</v>
      </c>
      <c r="H1133">
        <v>0.297619048</v>
      </c>
      <c r="I1133">
        <v>0.23809523799999999</v>
      </c>
      <c r="J1133">
        <v>0.23809523799999999</v>
      </c>
      <c r="K1133">
        <v>0.276595745</v>
      </c>
      <c r="L1133">
        <v>0.375</v>
      </c>
      <c r="M1133">
        <v>5.6865464999999997E-2</v>
      </c>
      <c r="N1133" t="e">
        <v>#N/A</v>
      </c>
      <c r="O1133" t="e">
        <v>#N/A</v>
      </c>
    </row>
    <row r="1134" spans="1:15" x14ac:dyDescent="0.25">
      <c r="A1134" t="s">
        <v>16</v>
      </c>
      <c r="B1134" t="s">
        <v>24</v>
      </c>
      <c r="C1134" s="3" t="str">
        <f>IF($B1134="GW1",VLOOKUP($A1134,Matches!$A:$AC,2,FALSE),IF($B1134="GW2",VLOOKUP($A1134,Matches!$A:$AC,9,FALSE),IF($B1134="GW3",VLOOKUP($A1134,Matches!$A:$AC,16,FALSE))))</f>
        <v>Fulham</v>
      </c>
      <c r="D1134" s="6">
        <v>0.46453291215682635</v>
      </c>
      <c r="E1134" s="6">
        <v>0.2750350669710388</v>
      </c>
      <c r="F1134" s="6">
        <v>0.18949784518578755</v>
      </c>
      <c r="G1134" s="3" t="s">
        <v>0</v>
      </c>
      <c r="H1134" t="e">
        <v>#N/A</v>
      </c>
      <c r="I1134" t="e">
        <v>#N/A</v>
      </c>
      <c r="J1134" t="e">
        <v>#N/A</v>
      </c>
      <c r="K1134">
        <v>0.276595745</v>
      </c>
      <c r="L1134">
        <v>0.375</v>
      </c>
      <c r="M1134">
        <v>5.6865464999999997E-2</v>
      </c>
      <c r="N1134" t="e">
        <v>#N/A</v>
      </c>
      <c r="O1134" t="e">
        <v>#N/A</v>
      </c>
    </row>
    <row r="1135" spans="1:15" x14ac:dyDescent="0.25">
      <c r="A1135" t="s">
        <v>16</v>
      </c>
      <c r="B1135" t="s">
        <v>24</v>
      </c>
      <c r="C1135" s="3" t="str">
        <f>IF($B1135="GW1",VLOOKUP($A1135,Matches!$A:$AC,2,FALSE),IF($B1135="GW2",VLOOKUP($A1135,Matches!$A:$AC,9,FALSE),IF($B1135="GW3",VLOOKUP($A1135,Matches!$A:$AC,16,FALSE))))</f>
        <v>Fulham</v>
      </c>
      <c r="D1135" s="6">
        <v>0.46453291215682635</v>
      </c>
      <c r="E1135" s="6">
        <v>0.2750350669710388</v>
      </c>
      <c r="F1135" s="6">
        <v>0.18949784518578755</v>
      </c>
      <c r="G1135" s="3" t="s">
        <v>0</v>
      </c>
      <c r="H1135">
        <v>0.297619048</v>
      </c>
      <c r="I1135">
        <v>0.173160173</v>
      </c>
      <c r="J1135">
        <v>0.14652014699999999</v>
      </c>
      <c r="K1135">
        <v>0.276595745</v>
      </c>
      <c r="L1135">
        <v>0.375</v>
      </c>
      <c r="M1135">
        <v>5.6865464999999997E-2</v>
      </c>
      <c r="N1135" t="e">
        <v>#N/A</v>
      </c>
      <c r="O1135" t="e">
        <v>#N/A</v>
      </c>
    </row>
    <row r="1136" spans="1:15" x14ac:dyDescent="0.25">
      <c r="A1136" t="s">
        <v>16</v>
      </c>
      <c r="B1136" t="s">
        <v>24</v>
      </c>
      <c r="C1136" s="3" t="str">
        <f>IF($B1136="GW1",VLOOKUP($A1136,Matches!$A:$AC,2,FALSE),IF($B1136="GW2",VLOOKUP($A1136,Matches!$A:$AC,9,FALSE),IF($B1136="GW3",VLOOKUP($A1136,Matches!$A:$AC,16,FALSE))))</f>
        <v>Fulham</v>
      </c>
      <c r="D1136" s="6">
        <v>0.46453291215682635</v>
      </c>
      <c r="E1136" s="6">
        <v>0.2750350669710388</v>
      </c>
      <c r="F1136" s="6">
        <v>0.18949784518578755</v>
      </c>
      <c r="G1136" s="3" t="s">
        <v>0</v>
      </c>
      <c r="H1136" t="e">
        <v>#N/A</v>
      </c>
      <c r="I1136" t="e">
        <v>#N/A</v>
      </c>
      <c r="J1136" t="e">
        <v>#N/A</v>
      </c>
      <c r="K1136">
        <v>0.276595745</v>
      </c>
      <c r="L1136">
        <v>0.375</v>
      </c>
      <c r="M1136">
        <v>5.6865464999999997E-2</v>
      </c>
      <c r="N1136" t="e">
        <v>#N/A</v>
      </c>
      <c r="O1136" t="e">
        <v>#N/A</v>
      </c>
    </row>
    <row r="1137" spans="1:15" x14ac:dyDescent="0.25">
      <c r="A1137" t="s">
        <v>16</v>
      </c>
      <c r="B1137" t="s">
        <v>24</v>
      </c>
      <c r="C1137" s="3" t="str">
        <f>IF($B1137="GW1",VLOOKUP($A1137,Matches!$A:$AC,2,FALSE),IF($B1137="GW2",VLOOKUP($A1137,Matches!$A:$AC,9,FALSE),IF($B1137="GW3",VLOOKUP($A1137,Matches!$A:$AC,16,FALSE))))</f>
        <v>Fulham</v>
      </c>
      <c r="D1137" s="6">
        <v>0.46453291215682635</v>
      </c>
      <c r="E1137" s="6">
        <v>0.2750350669710388</v>
      </c>
      <c r="F1137" s="6">
        <v>0.18949784518578755</v>
      </c>
      <c r="G1137" s="3" t="s">
        <v>0</v>
      </c>
      <c r="H1137" t="e">
        <v>#N/A</v>
      </c>
      <c r="I1137" t="e">
        <v>#N/A</v>
      </c>
      <c r="J1137" t="e">
        <v>#N/A</v>
      </c>
      <c r="K1137">
        <v>0.276595745</v>
      </c>
      <c r="L1137">
        <v>0.375</v>
      </c>
      <c r="M1137">
        <v>5.6865464999999997E-2</v>
      </c>
      <c r="N1137" t="e">
        <v>#N/A</v>
      </c>
      <c r="O1137" t="e">
        <v>#N/A</v>
      </c>
    </row>
    <row r="1138" spans="1:15" x14ac:dyDescent="0.25">
      <c r="A1138" t="s">
        <v>16</v>
      </c>
      <c r="B1138" t="s">
        <v>24</v>
      </c>
      <c r="C1138" s="3" t="str">
        <f>IF($B1138="GW1",VLOOKUP($A1138,Matches!$A:$AC,2,FALSE),IF($B1138="GW2",VLOOKUP($A1138,Matches!$A:$AC,9,FALSE),IF($B1138="GW3",VLOOKUP($A1138,Matches!$A:$AC,16,FALSE))))</f>
        <v>Fulham</v>
      </c>
      <c r="D1138" s="6">
        <v>0.46453291215682635</v>
      </c>
      <c r="E1138" s="6">
        <v>0.2750350669710388</v>
      </c>
      <c r="F1138" s="6">
        <v>0.18949784518578755</v>
      </c>
      <c r="G1138" s="3" t="s">
        <v>0</v>
      </c>
      <c r="H1138">
        <v>0.173160173</v>
      </c>
      <c r="I1138">
        <v>0.11904761899999999</v>
      </c>
      <c r="J1138">
        <v>0.21994941200000001</v>
      </c>
      <c r="K1138">
        <v>0.276595745</v>
      </c>
      <c r="L1138">
        <v>0.375</v>
      </c>
      <c r="M1138">
        <v>5.6865464999999997E-2</v>
      </c>
      <c r="N1138" t="e">
        <v>#N/A</v>
      </c>
      <c r="O1138" t="e">
        <v>#N/A</v>
      </c>
    </row>
    <row r="1139" spans="1:15" x14ac:dyDescent="0.25">
      <c r="A1139" t="s">
        <v>16</v>
      </c>
      <c r="B1139" t="s">
        <v>24</v>
      </c>
      <c r="C1139" s="3" t="str">
        <f>IF($B1139="GW1",VLOOKUP($A1139,Matches!$A:$AC,2,FALSE),IF($B1139="GW2",VLOOKUP($A1139,Matches!$A:$AC,9,FALSE),IF($B1139="GW3",VLOOKUP($A1139,Matches!$A:$AC,16,FALSE))))</f>
        <v>Fulham</v>
      </c>
      <c r="D1139" s="6">
        <v>0.46453291215682635</v>
      </c>
      <c r="E1139" s="6">
        <v>0.2750350669710388</v>
      </c>
      <c r="F1139" s="6">
        <v>0.18949784518578755</v>
      </c>
      <c r="G1139" s="3" t="s">
        <v>0</v>
      </c>
      <c r="H1139" t="e">
        <v>#N/A</v>
      </c>
      <c r="I1139" t="e">
        <v>#N/A</v>
      </c>
      <c r="J1139" t="e">
        <v>#N/A</v>
      </c>
      <c r="K1139">
        <v>0.276595745</v>
      </c>
      <c r="L1139">
        <v>0.375</v>
      </c>
      <c r="M1139">
        <v>5.6865464999999997E-2</v>
      </c>
      <c r="N1139" t="e">
        <v>#N/A</v>
      </c>
      <c r="O1139" t="e">
        <v>#N/A</v>
      </c>
    </row>
    <row r="1140" spans="1:15" x14ac:dyDescent="0.25">
      <c r="A1140" t="s">
        <v>16</v>
      </c>
      <c r="B1140" t="s">
        <v>24</v>
      </c>
      <c r="C1140" s="3" t="str">
        <f>IF($B1140="GW1",VLOOKUP($A1140,Matches!$A:$AC,2,FALSE),IF($B1140="GW2",VLOOKUP($A1140,Matches!$A:$AC,9,FALSE),IF($B1140="GW3",VLOOKUP($A1140,Matches!$A:$AC,16,FALSE))))</f>
        <v>Fulham</v>
      </c>
      <c r="D1140" s="6">
        <v>0.46453291215682635</v>
      </c>
      <c r="E1140" s="6">
        <v>0.2750350669710388</v>
      </c>
      <c r="F1140" s="6">
        <v>0.18949784518578755</v>
      </c>
      <c r="G1140" s="3" t="s">
        <v>0</v>
      </c>
      <c r="H1140">
        <v>0.10025062699999999</v>
      </c>
      <c r="I1140">
        <v>0.13605442200000001</v>
      </c>
      <c r="J1140">
        <v>0.346320346</v>
      </c>
      <c r="K1140">
        <v>0.276595745</v>
      </c>
      <c r="L1140">
        <v>0.375</v>
      </c>
      <c r="M1140">
        <v>5.6865464999999997E-2</v>
      </c>
      <c r="N1140" t="e">
        <v>#N/A</v>
      </c>
      <c r="O1140" t="e">
        <v>#N/A</v>
      </c>
    </row>
    <row r="1141" spans="1:15" x14ac:dyDescent="0.25">
      <c r="A1141" t="s">
        <v>16</v>
      </c>
      <c r="B1141" t="s">
        <v>24</v>
      </c>
      <c r="C1141" s="3" t="str">
        <f>IF($B1141="GW1",VLOOKUP($A1141,Matches!$A:$AC,2,FALSE),IF($B1141="GW2",VLOOKUP($A1141,Matches!$A:$AC,9,FALSE),IF($B1141="GW3",VLOOKUP($A1141,Matches!$A:$AC,16,FALSE))))</f>
        <v>Fulham</v>
      </c>
      <c r="D1141" s="6">
        <v>0.46453291215682635</v>
      </c>
      <c r="E1141" s="6">
        <v>0.2750350669710388</v>
      </c>
      <c r="F1141" s="6">
        <v>0.18949784518578755</v>
      </c>
      <c r="G1141" s="3" t="s">
        <v>0</v>
      </c>
      <c r="H1141">
        <v>0.173160173</v>
      </c>
      <c r="I1141">
        <v>8.6580087E-2</v>
      </c>
      <c r="J1141">
        <v>0.23809523799999999</v>
      </c>
      <c r="K1141">
        <v>0.276595745</v>
      </c>
      <c r="L1141">
        <v>0.375</v>
      </c>
      <c r="M1141">
        <v>5.6865464999999997E-2</v>
      </c>
      <c r="N1141" t="e">
        <v>#N/A</v>
      </c>
      <c r="O1141" t="e">
        <v>#N/A</v>
      </c>
    </row>
    <row r="1142" spans="1:15" x14ac:dyDescent="0.25">
      <c r="A1142" t="s">
        <v>16</v>
      </c>
      <c r="B1142" t="s">
        <v>24</v>
      </c>
      <c r="C1142" s="3" t="str">
        <f>IF($B1142="GW1",VLOOKUP($A1142,Matches!$A:$AC,2,FALSE),IF($B1142="GW2",VLOOKUP($A1142,Matches!$A:$AC,9,FALSE),IF($B1142="GW3",VLOOKUP($A1142,Matches!$A:$AC,16,FALSE))))</f>
        <v>Fulham</v>
      </c>
      <c r="D1142" s="6">
        <v>0.46453291215682635</v>
      </c>
      <c r="E1142" s="6">
        <v>0.2750350669710388</v>
      </c>
      <c r="F1142" s="6">
        <v>0.18949784518578755</v>
      </c>
      <c r="G1142" s="3" t="s">
        <v>0</v>
      </c>
      <c r="H1142">
        <v>0.10025062699999999</v>
      </c>
      <c r="I1142">
        <v>8.6580087E-2</v>
      </c>
      <c r="J1142">
        <v>0.27210884400000002</v>
      </c>
      <c r="K1142">
        <v>0.276595745</v>
      </c>
      <c r="L1142">
        <v>0.375</v>
      </c>
      <c r="M1142">
        <v>5.6865464999999997E-2</v>
      </c>
      <c r="N1142" t="e">
        <v>#N/A</v>
      </c>
      <c r="O1142" t="e">
        <v>#N/A</v>
      </c>
    </row>
    <row r="1143" spans="1:15" x14ac:dyDescent="0.25">
      <c r="A1143" t="s">
        <v>16</v>
      </c>
      <c r="B1143" t="s">
        <v>24</v>
      </c>
      <c r="C1143" s="3" t="str">
        <f>IF($B1143="GW1",VLOOKUP($A1143,Matches!$A:$AC,2,FALSE),IF($B1143="GW2",VLOOKUP($A1143,Matches!$A:$AC,9,FALSE),IF($B1143="GW3",VLOOKUP($A1143,Matches!$A:$AC,16,FALSE))))</f>
        <v>Fulham</v>
      </c>
      <c r="D1143" s="6">
        <v>0.46453291215682635</v>
      </c>
      <c r="E1143" s="6">
        <v>0.2750350669710388</v>
      </c>
      <c r="F1143" s="6">
        <v>0.18949784518578755</v>
      </c>
      <c r="G1143" s="3" t="s">
        <v>0</v>
      </c>
      <c r="H1143" t="e">
        <v>#N/A</v>
      </c>
      <c r="I1143" t="e">
        <v>#N/A</v>
      </c>
      <c r="J1143" t="e">
        <v>#N/A</v>
      </c>
      <c r="K1143">
        <v>0.276595745</v>
      </c>
      <c r="L1143">
        <v>0.375</v>
      </c>
      <c r="M1143">
        <v>5.6865464999999997E-2</v>
      </c>
      <c r="N1143" t="e">
        <v>#N/A</v>
      </c>
      <c r="O1143" t="e">
        <v>#N/A</v>
      </c>
    </row>
    <row r="1144" spans="1:15" x14ac:dyDescent="0.25">
      <c r="A1144" t="s">
        <v>16</v>
      </c>
      <c r="B1144" t="s">
        <v>24</v>
      </c>
      <c r="C1144" s="3" t="str">
        <f>IF($B1144="GW1",VLOOKUP($A1144,Matches!$A:$AC,2,FALSE),IF($B1144="GW2",VLOOKUP($A1144,Matches!$A:$AC,9,FALSE),IF($B1144="GW3",VLOOKUP($A1144,Matches!$A:$AC,16,FALSE))))</f>
        <v>Fulham</v>
      </c>
      <c r="D1144" s="6">
        <v>0.46453291215682635</v>
      </c>
      <c r="E1144" s="6">
        <v>0.2750350669710388</v>
      </c>
      <c r="F1144" s="6">
        <v>0.18949784518578755</v>
      </c>
      <c r="G1144" s="3" t="s">
        <v>0</v>
      </c>
      <c r="H1144" t="e">
        <v>#N/A</v>
      </c>
      <c r="I1144" t="e">
        <v>#N/A</v>
      </c>
      <c r="J1144" t="e">
        <v>#N/A</v>
      </c>
      <c r="K1144">
        <v>0.276595745</v>
      </c>
      <c r="L1144">
        <v>0.375</v>
      </c>
      <c r="M1144">
        <v>5.6865464999999997E-2</v>
      </c>
      <c r="N1144" t="e">
        <v>#N/A</v>
      </c>
      <c r="O1144" t="e">
        <v>#N/A</v>
      </c>
    </row>
    <row r="1145" spans="1:15" x14ac:dyDescent="0.25">
      <c r="A1145" t="s">
        <v>16</v>
      </c>
      <c r="B1145" t="s">
        <v>24</v>
      </c>
      <c r="C1145" s="3" t="str">
        <f>IF($B1145="GW1",VLOOKUP($A1145,Matches!$A:$AC,2,FALSE),IF($B1145="GW2",VLOOKUP($A1145,Matches!$A:$AC,9,FALSE),IF($B1145="GW3",VLOOKUP($A1145,Matches!$A:$AC,16,FALSE))))</f>
        <v>Fulham</v>
      </c>
      <c r="D1145" s="6">
        <v>0.46453291215682635</v>
      </c>
      <c r="E1145" s="6">
        <v>0.2750350669710388</v>
      </c>
      <c r="F1145" s="6">
        <v>0.18949784518578755</v>
      </c>
      <c r="G1145" s="3" t="s">
        <v>0</v>
      </c>
      <c r="H1145">
        <v>0.13605442200000001</v>
      </c>
      <c r="I1145">
        <v>6.3492063000000001E-2</v>
      </c>
      <c r="J1145">
        <v>0.11904761899999999</v>
      </c>
      <c r="K1145">
        <v>0.276595745</v>
      </c>
      <c r="L1145">
        <v>0.375</v>
      </c>
      <c r="M1145">
        <v>5.6865464999999997E-2</v>
      </c>
      <c r="N1145" t="e">
        <v>#N/A</v>
      </c>
      <c r="O1145" t="e">
        <v>#N/A</v>
      </c>
    </row>
    <row r="1146" spans="1:15" x14ac:dyDescent="0.25">
      <c r="A1146" t="s">
        <v>16</v>
      </c>
      <c r="B1146" t="s">
        <v>24</v>
      </c>
      <c r="C1146" s="3" t="str">
        <f>IF($B1146="GW1",VLOOKUP($A1146,Matches!$A:$AC,2,FALSE),IF($B1146="GW2",VLOOKUP($A1146,Matches!$A:$AC,9,FALSE),IF($B1146="GW3",VLOOKUP($A1146,Matches!$A:$AC,16,FALSE))))</f>
        <v>Fulham</v>
      </c>
      <c r="D1146" s="6">
        <v>0.46453291215682635</v>
      </c>
      <c r="E1146" s="6">
        <v>0.2750350669710388</v>
      </c>
      <c r="F1146" s="6">
        <v>0.18949784518578755</v>
      </c>
      <c r="G1146" s="3" t="s">
        <v>0</v>
      </c>
      <c r="H1146" t="e">
        <v>#N/A</v>
      </c>
      <c r="I1146" t="e">
        <v>#N/A</v>
      </c>
      <c r="J1146" t="e">
        <v>#N/A</v>
      </c>
      <c r="K1146">
        <v>0.276595745</v>
      </c>
      <c r="L1146">
        <v>0.375</v>
      </c>
      <c r="M1146">
        <v>5.6865464999999997E-2</v>
      </c>
      <c r="N1146" t="e">
        <v>#N/A</v>
      </c>
      <c r="O1146" t="e">
        <v>#N/A</v>
      </c>
    </row>
    <row r="1147" spans="1:15" x14ac:dyDescent="0.25">
      <c r="A1147" t="s">
        <v>16</v>
      </c>
      <c r="B1147" t="s">
        <v>24</v>
      </c>
      <c r="C1147" s="3" t="str">
        <f>IF($B1147="GW1",VLOOKUP($A1147,Matches!$A:$AC,2,FALSE),IF($B1147="GW2",VLOOKUP($A1147,Matches!$A:$AC,9,FALSE),IF($B1147="GW3",VLOOKUP($A1147,Matches!$A:$AC,16,FALSE))))</f>
        <v>Fulham</v>
      </c>
      <c r="D1147" s="6">
        <v>0.46453291215682635</v>
      </c>
      <c r="E1147" s="6">
        <v>0.2750350669710388</v>
      </c>
      <c r="F1147" s="6">
        <v>0.18949784518578755</v>
      </c>
      <c r="G1147" s="3" t="s">
        <v>0</v>
      </c>
      <c r="H1147" t="e">
        <v>#N/A</v>
      </c>
      <c r="I1147" t="e">
        <v>#N/A</v>
      </c>
      <c r="J1147" t="e">
        <v>#N/A</v>
      </c>
      <c r="K1147">
        <v>0.276595745</v>
      </c>
      <c r="L1147">
        <v>0.375</v>
      </c>
      <c r="M1147">
        <v>5.6865464999999997E-2</v>
      </c>
      <c r="N1147" t="e">
        <v>#N/A</v>
      </c>
      <c r="O1147" t="e">
        <v>#N/A</v>
      </c>
    </row>
    <row r="1148" spans="1:15" x14ac:dyDescent="0.25">
      <c r="A1148" t="s">
        <v>16</v>
      </c>
      <c r="B1148" t="s">
        <v>24</v>
      </c>
      <c r="C1148" s="3" t="str">
        <f>IF($B1148="GW1",VLOOKUP($A1148,Matches!$A:$AC,2,FALSE),IF($B1148="GW2",VLOOKUP($A1148,Matches!$A:$AC,9,FALSE),IF($B1148="GW3",VLOOKUP($A1148,Matches!$A:$AC,16,FALSE))))</f>
        <v>Fulham</v>
      </c>
      <c r="D1148" s="6">
        <v>0.46453291215682635</v>
      </c>
      <c r="E1148" s="6">
        <v>0.2750350669710388</v>
      </c>
      <c r="F1148" s="6">
        <v>0.18949784518578755</v>
      </c>
      <c r="G1148" s="3" t="s">
        <v>0</v>
      </c>
      <c r="H1148" t="e">
        <v>#N/A</v>
      </c>
      <c r="I1148" t="e">
        <v>#N/A</v>
      </c>
      <c r="J1148" t="e">
        <v>#N/A</v>
      </c>
      <c r="K1148">
        <v>0.276595745</v>
      </c>
      <c r="L1148">
        <v>0.375</v>
      </c>
      <c r="M1148">
        <v>5.6865464999999997E-2</v>
      </c>
      <c r="N1148" t="e">
        <v>#N/A</v>
      </c>
      <c r="O1148" t="e">
        <v>#N/A</v>
      </c>
    </row>
    <row r="1149" spans="1:15" x14ac:dyDescent="0.25">
      <c r="A1149" t="s">
        <v>16</v>
      </c>
      <c r="B1149" t="s">
        <v>24</v>
      </c>
      <c r="C1149" s="3" t="str">
        <f>IF($B1149="GW1",VLOOKUP($A1149,Matches!$A:$AC,2,FALSE),IF($B1149="GW2",VLOOKUP($A1149,Matches!$A:$AC,9,FALSE),IF($B1149="GW3",VLOOKUP($A1149,Matches!$A:$AC,16,FALSE))))</f>
        <v>Fulham</v>
      </c>
      <c r="D1149" s="6">
        <v>0.46453291215682635</v>
      </c>
      <c r="E1149" s="6">
        <v>0.2750350669710388</v>
      </c>
      <c r="F1149" s="6">
        <v>0.18949784518578755</v>
      </c>
      <c r="G1149" s="3" t="s">
        <v>0</v>
      </c>
      <c r="H1149">
        <v>0.297619048</v>
      </c>
      <c r="I1149">
        <v>9.5238094999999995E-2</v>
      </c>
      <c r="J1149">
        <v>0.173160173</v>
      </c>
      <c r="K1149">
        <v>0.276595745</v>
      </c>
      <c r="L1149">
        <v>0.375</v>
      </c>
      <c r="M1149">
        <v>5.6865464999999997E-2</v>
      </c>
      <c r="N1149" t="e">
        <v>#N/A</v>
      </c>
      <c r="O1149" t="e">
        <v>#N/A</v>
      </c>
    </row>
    <row r="1150" spans="1:15" x14ac:dyDescent="0.25">
      <c r="A1150" t="s">
        <v>16</v>
      </c>
      <c r="B1150" t="s">
        <v>24</v>
      </c>
      <c r="C1150" s="3" t="str">
        <f>IF($B1150="GW1",VLOOKUP($A1150,Matches!$A:$AC,2,FALSE),IF($B1150="GW2",VLOOKUP($A1150,Matches!$A:$AC,9,FALSE),IF($B1150="GW3",VLOOKUP($A1150,Matches!$A:$AC,16,FALSE))))</f>
        <v>Fulham</v>
      </c>
      <c r="D1150" s="6">
        <v>0.46453291215682635</v>
      </c>
      <c r="E1150" s="6">
        <v>0.2750350669710388</v>
      </c>
      <c r="F1150" s="6">
        <v>0.18949784518578755</v>
      </c>
      <c r="G1150" s="3" t="s">
        <v>0</v>
      </c>
      <c r="H1150" t="e">
        <v>#N/A</v>
      </c>
      <c r="I1150" t="e">
        <v>#N/A</v>
      </c>
      <c r="J1150" t="e">
        <v>#N/A</v>
      </c>
      <c r="K1150">
        <v>0.276595745</v>
      </c>
      <c r="L1150">
        <v>0.375</v>
      </c>
      <c r="M1150">
        <v>5.6865464999999997E-2</v>
      </c>
      <c r="N1150" t="e">
        <v>#N/A</v>
      </c>
      <c r="O1150" t="e">
        <v>#N/A</v>
      </c>
    </row>
    <row r="1151" spans="1:15" x14ac:dyDescent="0.25">
      <c r="A1151" t="s">
        <v>16</v>
      </c>
      <c r="B1151" t="s">
        <v>24</v>
      </c>
      <c r="C1151" s="3" t="str">
        <f>IF($B1151="GW1",VLOOKUP($A1151,Matches!$A:$AC,2,FALSE),IF($B1151="GW2",VLOOKUP($A1151,Matches!$A:$AC,9,FALSE),IF($B1151="GW3",VLOOKUP($A1151,Matches!$A:$AC,16,FALSE))))</f>
        <v>Fulham</v>
      </c>
      <c r="D1151" s="6">
        <v>0.46453291215682635</v>
      </c>
      <c r="E1151" s="6">
        <v>0.2750350669710388</v>
      </c>
      <c r="F1151" s="6">
        <v>0.18949784518578755</v>
      </c>
      <c r="G1151" s="3" t="s">
        <v>0</v>
      </c>
      <c r="H1151" t="e">
        <v>#N/A</v>
      </c>
      <c r="I1151" t="e">
        <v>#N/A</v>
      </c>
      <c r="J1151" t="e">
        <v>#N/A</v>
      </c>
      <c r="K1151">
        <v>0.276595745</v>
      </c>
      <c r="L1151">
        <v>0.375</v>
      </c>
      <c r="M1151">
        <v>5.6865464999999997E-2</v>
      </c>
      <c r="N1151" t="e">
        <v>#N/A</v>
      </c>
      <c r="O1151" t="e">
        <v>#N/A</v>
      </c>
    </row>
    <row r="1152" spans="1:15" x14ac:dyDescent="0.25">
      <c r="A1152" t="s">
        <v>16</v>
      </c>
      <c r="B1152" t="s">
        <v>24</v>
      </c>
      <c r="C1152" s="3" t="str">
        <f>IF($B1152="GW1",VLOOKUP($A1152,Matches!$A:$AC,2,FALSE),IF($B1152="GW2",VLOOKUP($A1152,Matches!$A:$AC,9,FALSE),IF($B1152="GW3",VLOOKUP($A1152,Matches!$A:$AC,16,FALSE))))</f>
        <v>Fulham</v>
      </c>
      <c r="D1152" s="6">
        <v>0.46453291215682635</v>
      </c>
      <c r="E1152" s="6">
        <v>0.2750350669710388</v>
      </c>
      <c r="F1152" s="6">
        <v>0.18949784518578755</v>
      </c>
      <c r="G1152" s="3" t="s">
        <v>0</v>
      </c>
      <c r="H1152" t="e">
        <v>#N/A</v>
      </c>
      <c r="I1152" t="e">
        <v>#N/A</v>
      </c>
      <c r="J1152">
        <v>0.21994941200000001</v>
      </c>
      <c r="K1152">
        <v>0.171686747</v>
      </c>
      <c r="L1152">
        <v>0.53763440900000004</v>
      </c>
      <c r="M1152">
        <v>0.11923373299999999</v>
      </c>
      <c r="N1152">
        <v>0.74404761900000005</v>
      </c>
      <c r="O1152">
        <v>0.21994941200000001</v>
      </c>
    </row>
    <row r="1153" spans="1:15" x14ac:dyDescent="0.25">
      <c r="A1153" t="s">
        <v>18</v>
      </c>
      <c r="B1153" t="s">
        <v>24</v>
      </c>
      <c r="C1153" s="3" t="str">
        <f>IF($B1153="GW1",VLOOKUP($A1153,Matches!$A:$AC,2,FALSE),IF($B1153="GW2",VLOOKUP($A1153,Matches!$A:$AC,9,FALSE),IF($B1153="GW3",VLOOKUP($A1153,Matches!$A:$AC,16,FALSE))))</f>
        <v>Crystal Palace</v>
      </c>
      <c r="D1153" s="6">
        <v>0.31117749564351505</v>
      </c>
      <c r="E1153" s="6">
        <v>0.40622334159320794</v>
      </c>
      <c r="F1153" s="6">
        <v>-9.5045845949692898E-2</v>
      </c>
      <c r="G1153" s="3" t="s">
        <v>0</v>
      </c>
      <c r="H1153" t="e">
        <v>#N/A</v>
      </c>
      <c r="I1153" t="e">
        <v>#N/A</v>
      </c>
      <c r="J1153">
        <v>0.14652014699999999</v>
      </c>
      <c r="K1153" t="e">
        <v>#N/A</v>
      </c>
      <c r="L1153" t="e">
        <v>#N/A</v>
      </c>
      <c r="M1153" t="e">
        <v>#N/A</v>
      </c>
      <c r="N1153">
        <v>0.661375661</v>
      </c>
      <c r="O1153">
        <v>0.13605442200000001</v>
      </c>
    </row>
    <row r="1154" spans="1:15" x14ac:dyDescent="0.25">
      <c r="A1154" t="s">
        <v>18</v>
      </c>
      <c r="B1154" t="s">
        <v>24</v>
      </c>
      <c r="C1154" s="3" t="str">
        <f>IF($B1154="GW1",VLOOKUP($A1154,Matches!$A:$AC,2,FALSE),IF($B1154="GW2",VLOOKUP($A1154,Matches!$A:$AC,9,FALSE),IF($B1154="GW3",VLOOKUP($A1154,Matches!$A:$AC,16,FALSE))))</f>
        <v>Crystal Palace</v>
      </c>
      <c r="D1154" s="6">
        <v>0.31117749564351505</v>
      </c>
      <c r="E1154" s="6">
        <v>0.40622334159320794</v>
      </c>
      <c r="F1154" s="6">
        <v>-9.5045845949692898E-2</v>
      </c>
      <c r="G1154" s="3" t="s">
        <v>0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</row>
    <row r="1155" spans="1:15" x14ac:dyDescent="0.25">
      <c r="A1155" t="s">
        <v>18</v>
      </c>
      <c r="B1155" t="s">
        <v>24</v>
      </c>
      <c r="C1155" s="3" t="str">
        <f>IF($B1155="GW1",VLOOKUP($A1155,Matches!$A:$AC,2,FALSE),IF($B1155="GW2",VLOOKUP($A1155,Matches!$A:$AC,9,FALSE),IF($B1155="GW3",VLOOKUP($A1155,Matches!$A:$AC,16,FALSE))))</f>
        <v>Crystal Palace</v>
      </c>
      <c r="D1155" s="6">
        <v>0.31117749564351505</v>
      </c>
      <c r="E1155" s="6">
        <v>0.40622334159320794</v>
      </c>
      <c r="F1155" s="6">
        <v>-9.5045845949692898E-2</v>
      </c>
      <c r="G1155" s="3" t="s">
        <v>0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</row>
    <row r="1156" spans="1:15" x14ac:dyDescent="0.25">
      <c r="A1156" t="s">
        <v>18</v>
      </c>
      <c r="B1156" t="s">
        <v>24</v>
      </c>
      <c r="C1156" s="3" t="str">
        <f>IF($B1156="GW1",VLOOKUP($A1156,Matches!$A:$AC,2,FALSE),IF($B1156="GW2",VLOOKUP($A1156,Matches!$A:$AC,9,FALSE),IF($B1156="GW3",VLOOKUP($A1156,Matches!$A:$AC,16,FALSE))))</f>
        <v>Crystal Palace</v>
      </c>
      <c r="D1156" s="6">
        <v>0.31117749564351505</v>
      </c>
      <c r="E1156" s="6">
        <v>0.40622334159320794</v>
      </c>
      <c r="F1156" s="6">
        <v>-9.5045845949692898E-2</v>
      </c>
      <c r="G1156" s="3" t="s">
        <v>0</v>
      </c>
      <c r="H1156">
        <v>7.9365079000000005E-2</v>
      </c>
      <c r="I1156">
        <v>3.2840722000000003E-2</v>
      </c>
      <c r="J1156">
        <v>0.28011204499999998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</row>
    <row r="1157" spans="1:15" x14ac:dyDescent="0.25">
      <c r="A1157" t="s">
        <v>18</v>
      </c>
      <c r="B1157" t="s">
        <v>24</v>
      </c>
      <c r="C1157" s="3" t="str">
        <f>IF($B1157="GW1",VLOOKUP($A1157,Matches!$A:$AC,2,FALSE),IF($B1157="GW2",VLOOKUP($A1157,Matches!$A:$AC,9,FALSE),IF($B1157="GW3",VLOOKUP($A1157,Matches!$A:$AC,16,FALSE))))</f>
        <v>Crystal Palace</v>
      </c>
      <c r="D1157" s="6">
        <v>0.31117749564351505</v>
      </c>
      <c r="E1157" s="6">
        <v>0.40622334159320794</v>
      </c>
      <c r="F1157" s="6">
        <v>-9.5045845949692898E-2</v>
      </c>
      <c r="G1157" s="3" t="s">
        <v>0</v>
      </c>
      <c r="H1157">
        <v>7.3260072999999995E-2</v>
      </c>
      <c r="I1157">
        <v>7.3260072999999995E-2</v>
      </c>
      <c r="J1157">
        <v>0.19047618999999999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</row>
    <row r="1158" spans="1:15" x14ac:dyDescent="0.25">
      <c r="A1158" t="s">
        <v>18</v>
      </c>
      <c r="B1158" t="s">
        <v>24</v>
      </c>
      <c r="C1158" s="3" t="str">
        <f>IF($B1158="GW1",VLOOKUP($A1158,Matches!$A:$AC,2,FALSE),IF($B1158="GW2",VLOOKUP($A1158,Matches!$A:$AC,9,FALSE),IF($B1158="GW3",VLOOKUP($A1158,Matches!$A:$AC,16,FALSE))))</f>
        <v>Crystal Palace</v>
      </c>
      <c r="D1158" s="6">
        <v>0.31117749564351505</v>
      </c>
      <c r="E1158" s="6">
        <v>0.40622334159320794</v>
      </c>
      <c r="F1158" s="6">
        <v>-9.5045845949692898E-2</v>
      </c>
      <c r="G1158" s="3" t="s">
        <v>0</v>
      </c>
      <c r="H1158">
        <v>7.3260072999999995E-2</v>
      </c>
      <c r="I1158">
        <v>4.5351474000000003E-2</v>
      </c>
      <c r="J1158">
        <v>0.28011204499999998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</row>
    <row r="1159" spans="1:15" x14ac:dyDescent="0.25">
      <c r="A1159" t="s">
        <v>18</v>
      </c>
      <c r="B1159" t="s">
        <v>24</v>
      </c>
      <c r="C1159" s="3" t="str">
        <f>IF($B1159="GW1",VLOOKUP($A1159,Matches!$A:$AC,2,FALSE),IF($B1159="GW2",VLOOKUP($A1159,Matches!$A:$AC,9,FALSE),IF($B1159="GW3",VLOOKUP($A1159,Matches!$A:$AC,16,FALSE))))</f>
        <v>Crystal Palace</v>
      </c>
      <c r="D1159" s="6">
        <v>0.31117749564351505</v>
      </c>
      <c r="E1159" s="6">
        <v>0.40622334159320794</v>
      </c>
      <c r="F1159" s="6">
        <v>-9.5045845949692898E-2</v>
      </c>
      <c r="G1159" s="3" t="s">
        <v>0</v>
      </c>
      <c r="H1159">
        <v>9.5238094999999995E-2</v>
      </c>
      <c r="I1159">
        <v>7.3260072999999995E-2</v>
      </c>
      <c r="J1159">
        <v>0.28011204499999998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</row>
    <row r="1160" spans="1:15" x14ac:dyDescent="0.25">
      <c r="A1160" t="s">
        <v>18</v>
      </c>
      <c r="B1160" t="s">
        <v>24</v>
      </c>
      <c r="C1160" s="3" t="str">
        <f>IF($B1160="GW1",VLOOKUP($A1160,Matches!$A:$AC,2,FALSE),IF($B1160="GW2",VLOOKUP($A1160,Matches!$A:$AC,9,FALSE),IF($B1160="GW3",VLOOKUP($A1160,Matches!$A:$AC,16,FALSE))))</f>
        <v>Crystal Palace</v>
      </c>
      <c r="D1160" s="6">
        <v>0.31117749564351505</v>
      </c>
      <c r="E1160" s="6">
        <v>0.40622334159320794</v>
      </c>
      <c r="F1160" s="6">
        <v>-9.5045845949692898E-2</v>
      </c>
      <c r="G1160" s="3" t="s">
        <v>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</row>
    <row r="1161" spans="1:15" x14ac:dyDescent="0.25">
      <c r="A1161" t="s">
        <v>18</v>
      </c>
      <c r="B1161" t="s">
        <v>24</v>
      </c>
      <c r="C1161" s="3" t="str">
        <f>IF($B1161="GW1",VLOOKUP($A1161,Matches!$A:$AC,2,FALSE),IF($B1161="GW2",VLOOKUP($A1161,Matches!$A:$AC,9,FALSE),IF($B1161="GW3",VLOOKUP($A1161,Matches!$A:$AC,16,FALSE))))</f>
        <v>Crystal Palace</v>
      </c>
      <c r="D1161" s="6">
        <v>0.31117749564351505</v>
      </c>
      <c r="E1161" s="6">
        <v>0.40622334159320794</v>
      </c>
      <c r="F1161" s="6">
        <v>-9.5045845949692898E-2</v>
      </c>
      <c r="G1161" s="3" t="s">
        <v>0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</row>
    <row r="1162" spans="1:15" x14ac:dyDescent="0.25">
      <c r="A1162" t="s">
        <v>18</v>
      </c>
      <c r="B1162" t="s">
        <v>24</v>
      </c>
      <c r="C1162" s="3" t="str">
        <f>IF($B1162="GW1",VLOOKUP($A1162,Matches!$A:$AC,2,FALSE),IF($B1162="GW2",VLOOKUP($A1162,Matches!$A:$AC,9,FALSE),IF($B1162="GW3",VLOOKUP($A1162,Matches!$A:$AC,16,FALSE))))</f>
        <v>Crystal Palace</v>
      </c>
      <c r="D1162" s="6">
        <v>0.31117749564351505</v>
      </c>
      <c r="E1162" s="6">
        <v>0.40622334159320794</v>
      </c>
      <c r="F1162" s="6">
        <v>-9.5045845949692898E-2</v>
      </c>
      <c r="G1162" s="3" t="s">
        <v>0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</row>
    <row r="1163" spans="1:15" x14ac:dyDescent="0.25">
      <c r="A1163" t="s">
        <v>18</v>
      </c>
      <c r="B1163" t="s">
        <v>24</v>
      </c>
      <c r="C1163" s="3" t="str">
        <f>IF($B1163="GW1",VLOOKUP($A1163,Matches!$A:$AC,2,FALSE),IF($B1163="GW2",VLOOKUP($A1163,Matches!$A:$AC,9,FALSE),IF($B1163="GW3",VLOOKUP($A1163,Matches!$A:$AC,16,FALSE))))</f>
        <v>Crystal Palace</v>
      </c>
      <c r="D1163" s="6">
        <v>0.31117749564351505</v>
      </c>
      <c r="E1163" s="6">
        <v>0.40622334159320794</v>
      </c>
      <c r="F1163" s="6">
        <v>-9.5045845949692898E-2</v>
      </c>
      <c r="G1163" s="3" t="s">
        <v>0</v>
      </c>
      <c r="H1163">
        <v>7.3260072999999995E-2</v>
      </c>
      <c r="I1163">
        <v>3.6630036999999997E-2</v>
      </c>
      <c r="J1163">
        <v>0.19047618999999999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</row>
    <row r="1164" spans="1:15" x14ac:dyDescent="0.25">
      <c r="A1164" t="s">
        <v>18</v>
      </c>
      <c r="B1164" t="s">
        <v>24</v>
      </c>
      <c r="C1164" s="3" t="str">
        <f>IF($B1164="GW1",VLOOKUP($A1164,Matches!$A:$AC,2,FALSE),IF($B1164="GW2",VLOOKUP($A1164,Matches!$A:$AC,9,FALSE),IF($B1164="GW3",VLOOKUP($A1164,Matches!$A:$AC,16,FALSE))))</f>
        <v>Crystal Palace</v>
      </c>
      <c r="D1164" s="6">
        <v>0.31117749564351505</v>
      </c>
      <c r="E1164" s="6">
        <v>0.40622334159320794</v>
      </c>
      <c r="F1164" s="6">
        <v>-9.5045845949692898E-2</v>
      </c>
      <c r="G1164" s="3" t="s">
        <v>0</v>
      </c>
      <c r="H1164">
        <v>5.6022409000000002E-2</v>
      </c>
      <c r="I1164">
        <v>4.5351474000000003E-2</v>
      </c>
      <c r="J1164">
        <v>0.21994941200000001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</row>
    <row r="1165" spans="1:15" x14ac:dyDescent="0.25">
      <c r="A1165" t="s">
        <v>18</v>
      </c>
      <c r="B1165" t="s">
        <v>24</v>
      </c>
      <c r="C1165" s="3" t="str">
        <f>IF($B1165="GW1",VLOOKUP($A1165,Matches!$A:$AC,2,FALSE),IF($B1165="GW2",VLOOKUP($A1165,Matches!$A:$AC,9,FALSE),IF($B1165="GW3",VLOOKUP($A1165,Matches!$A:$AC,16,FALSE))))</f>
        <v>Crystal Palace</v>
      </c>
      <c r="D1165" s="6">
        <v>0.31117749564351505</v>
      </c>
      <c r="E1165" s="6">
        <v>0.40622334159320794</v>
      </c>
      <c r="F1165" s="6">
        <v>-9.5045845949692898E-2</v>
      </c>
      <c r="G1165" s="3" t="s">
        <v>0</v>
      </c>
      <c r="H1165">
        <v>7.3260072999999995E-2</v>
      </c>
      <c r="I1165">
        <v>4.5351474000000003E-2</v>
      </c>
      <c r="J1165">
        <v>0.19047618999999999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</row>
    <row r="1166" spans="1:15" x14ac:dyDescent="0.25">
      <c r="A1166" t="s">
        <v>18</v>
      </c>
      <c r="B1166" t="s">
        <v>24</v>
      </c>
      <c r="C1166" s="3" t="str">
        <f>IF($B1166="GW1",VLOOKUP($A1166,Matches!$A:$AC,2,FALSE),IF($B1166="GW2",VLOOKUP($A1166,Matches!$A:$AC,9,FALSE),IF($B1166="GW3",VLOOKUP($A1166,Matches!$A:$AC,16,FALSE))))</f>
        <v>Crystal Palace</v>
      </c>
      <c r="D1166" s="6">
        <v>0.31117749564351505</v>
      </c>
      <c r="E1166" s="6">
        <v>0.40622334159320794</v>
      </c>
      <c r="F1166" s="6">
        <v>-9.5045845949692898E-2</v>
      </c>
      <c r="G1166" s="3" t="s">
        <v>0</v>
      </c>
      <c r="H1166">
        <v>0.21164021199999999</v>
      </c>
      <c r="I1166">
        <v>0.15873015900000001</v>
      </c>
      <c r="J1166">
        <v>0.28011204499999998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</row>
    <row r="1167" spans="1:15" x14ac:dyDescent="0.25">
      <c r="A1167" t="s">
        <v>18</v>
      </c>
      <c r="B1167" t="s">
        <v>24</v>
      </c>
      <c r="C1167" s="3" t="str">
        <f>IF($B1167="GW1",VLOOKUP($A1167,Matches!$A:$AC,2,FALSE),IF($B1167="GW2",VLOOKUP($A1167,Matches!$A:$AC,9,FALSE),IF($B1167="GW3",VLOOKUP($A1167,Matches!$A:$AC,16,FALSE))))</f>
        <v>Crystal Palace</v>
      </c>
      <c r="D1167" s="6">
        <v>0.31117749564351505</v>
      </c>
      <c r="E1167" s="6">
        <v>0.40622334159320794</v>
      </c>
      <c r="F1167" s="6">
        <v>-9.5045845949692898E-2</v>
      </c>
      <c r="G1167" s="3" t="s">
        <v>0</v>
      </c>
      <c r="H1167">
        <v>0.19047618999999999</v>
      </c>
      <c r="I1167">
        <v>9.5238094999999995E-2</v>
      </c>
      <c r="J1167">
        <v>0.13605442200000001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</row>
    <row r="1168" spans="1:15" x14ac:dyDescent="0.25">
      <c r="A1168" t="s">
        <v>18</v>
      </c>
      <c r="B1168" t="s">
        <v>24</v>
      </c>
      <c r="C1168" s="3" t="str">
        <f>IF($B1168="GW1",VLOOKUP($A1168,Matches!$A:$AC,2,FALSE),IF($B1168="GW2",VLOOKUP($A1168,Matches!$A:$AC,9,FALSE),IF($B1168="GW3",VLOOKUP($A1168,Matches!$A:$AC,16,FALSE))))</f>
        <v>Crystal Palace</v>
      </c>
      <c r="D1168" s="6">
        <v>0.31117749564351505</v>
      </c>
      <c r="E1168" s="6">
        <v>0.40622334159320794</v>
      </c>
      <c r="F1168" s="6">
        <v>-9.5045845949692898E-2</v>
      </c>
      <c r="G1168" s="3" t="s">
        <v>0</v>
      </c>
      <c r="H1168">
        <v>0.105820106</v>
      </c>
      <c r="I1168">
        <v>0.15873015900000001</v>
      </c>
      <c r="J1168">
        <v>0.21994941200000001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</row>
    <row r="1169" spans="1:15" x14ac:dyDescent="0.25">
      <c r="A1169" t="s">
        <v>18</v>
      </c>
      <c r="B1169" t="s">
        <v>24</v>
      </c>
      <c r="C1169" s="3" t="str">
        <f>IF($B1169="GW1",VLOOKUP($A1169,Matches!$A:$AC,2,FALSE),IF($B1169="GW2",VLOOKUP($A1169,Matches!$A:$AC,9,FALSE),IF($B1169="GW3",VLOOKUP($A1169,Matches!$A:$AC,16,FALSE))))</f>
        <v>Crystal Palace</v>
      </c>
      <c r="D1169" s="6">
        <v>0.31117749564351505</v>
      </c>
      <c r="E1169" s="6">
        <v>0.40622334159320794</v>
      </c>
      <c r="F1169" s="6">
        <v>-9.5045845949692898E-2</v>
      </c>
      <c r="G1169" s="3" t="s">
        <v>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</row>
    <row r="1170" spans="1:15" x14ac:dyDescent="0.25">
      <c r="A1170" t="s">
        <v>18</v>
      </c>
      <c r="B1170" t="s">
        <v>24</v>
      </c>
      <c r="C1170" s="3" t="str">
        <f>IF($B1170="GW1",VLOOKUP($A1170,Matches!$A:$AC,2,FALSE),IF($B1170="GW2",VLOOKUP($A1170,Matches!$A:$AC,9,FALSE),IF($B1170="GW3",VLOOKUP($A1170,Matches!$A:$AC,16,FALSE))))</f>
        <v>Crystal Palace</v>
      </c>
      <c r="D1170" s="6">
        <v>0.31117749564351505</v>
      </c>
      <c r="E1170" s="6">
        <v>0.40622334159320794</v>
      </c>
      <c r="F1170" s="6">
        <v>-9.5045845949692898E-2</v>
      </c>
      <c r="G1170" s="3" t="s">
        <v>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</row>
    <row r="1171" spans="1:15" x14ac:dyDescent="0.25">
      <c r="A1171" t="s">
        <v>18</v>
      </c>
      <c r="B1171" t="s">
        <v>24</v>
      </c>
      <c r="C1171" s="3" t="str">
        <f>IF($B1171="GW1",VLOOKUP($A1171,Matches!$A:$AC,2,FALSE),IF($B1171="GW2",VLOOKUP($A1171,Matches!$A:$AC,9,FALSE),IF($B1171="GW3",VLOOKUP($A1171,Matches!$A:$AC,16,FALSE))))</f>
        <v>Crystal Palace</v>
      </c>
      <c r="D1171" s="6">
        <v>0.31117749564351505</v>
      </c>
      <c r="E1171" s="6">
        <v>0.40622334159320794</v>
      </c>
      <c r="F1171" s="6">
        <v>-9.5045845949692898E-2</v>
      </c>
      <c r="G1171" s="3" t="s">
        <v>0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</row>
    <row r="1172" spans="1:15" x14ac:dyDescent="0.25">
      <c r="A1172" t="s">
        <v>18</v>
      </c>
      <c r="B1172" t="s">
        <v>24</v>
      </c>
      <c r="C1172" s="3" t="str">
        <f>IF($B1172="GW1",VLOOKUP($A1172,Matches!$A:$AC,2,FALSE),IF($B1172="GW2",VLOOKUP($A1172,Matches!$A:$AC,9,FALSE),IF($B1172="GW3",VLOOKUP($A1172,Matches!$A:$AC,16,FALSE))))</f>
        <v>Crystal Palace</v>
      </c>
      <c r="D1172" s="6">
        <v>0.31117749564351505</v>
      </c>
      <c r="E1172" s="6">
        <v>0.40622334159320794</v>
      </c>
      <c r="F1172" s="6">
        <v>-9.5045845949692898E-2</v>
      </c>
      <c r="G1172" s="3" t="s">
        <v>0</v>
      </c>
      <c r="H1172">
        <v>9.5238094999999995E-2</v>
      </c>
      <c r="I1172">
        <v>7.3260072999999995E-2</v>
      </c>
      <c r="J1172">
        <v>0.28011204499999998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</row>
    <row r="1173" spans="1:15" x14ac:dyDescent="0.25">
      <c r="A1173" t="s">
        <v>18</v>
      </c>
      <c r="B1173" t="s">
        <v>24</v>
      </c>
      <c r="C1173" s="3" t="str">
        <f>IF($B1173="GW1",VLOOKUP($A1173,Matches!$A:$AC,2,FALSE),IF($B1173="GW2",VLOOKUP($A1173,Matches!$A:$AC,9,FALSE),IF($B1173="GW3",VLOOKUP($A1173,Matches!$A:$AC,16,FALSE))))</f>
        <v>Crystal Palace</v>
      </c>
      <c r="D1173" s="6">
        <v>0.31117749564351505</v>
      </c>
      <c r="E1173" s="6">
        <v>0.40622334159320794</v>
      </c>
      <c r="F1173" s="6">
        <v>-9.5045845949692898E-2</v>
      </c>
      <c r="G1173" s="3" t="s">
        <v>0</v>
      </c>
      <c r="H1173">
        <v>0.105820106</v>
      </c>
      <c r="I1173">
        <v>7.3260072999999995E-2</v>
      </c>
      <c r="J1173">
        <v>0.31746031699999999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</row>
    <row r="1174" spans="1:15" x14ac:dyDescent="0.25">
      <c r="A1174" t="s">
        <v>18</v>
      </c>
      <c r="B1174" t="s">
        <v>24</v>
      </c>
      <c r="C1174" s="3" t="str">
        <f>IF($B1174="GW1",VLOOKUP($A1174,Matches!$A:$AC,2,FALSE),IF($B1174="GW2",VLOOKUP($A1174,Matches!$A:$AC,9,FALSE),IF($B1174="GW3",VLOOKUP($A1174,Matches!$A:$AC,16,FALSE))))</f>
        <v>Crystal Palace</v>
      </c>
      <c r="D1174" s="6">
        <v>0.31117749564351505</v>
      </c>
      <c r="E1174" s="6">
        <v>0.40622334159320794</v>
      </c>
      <c r="F1174" s="6">
        <v>-9.5045845949692898E-2</v>
      </c>
      <c r="G1174" s="3" t="s">
        <v>0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</row>
    <row r="1175" spans="1:15" x14ac:dyDescent="0.25">
      <c r="A1175" t="s">
        <v>18</v>
      </c>
      <c r="B1175" t="s">
        <v>24</v>
      </c>
      <c r="C1175" s="3" t="str">
        <f>IF($B1175="GW1",VLOOKUP($A1175,Matches!$A:$AC,2,FALSE),IF($B1175="GW2",VLOOKUP($A1175,Matches!$A:$AC,9,FALSE),IF($B1175="GW3",VLOOKUP($A1175,Matches!$A:$AC,16,FALSE))))</f>
        <v>Crystal Palace</v>
      </c>
      <c r="D1175" s="6">
        <v>0.31117749564351505</v>
      </c>
      <c r="E1175" s="6">
        <v>0.40622334159320794</v>
      </c>
      <c r="F1175" s="6">
        <v>-9.5045845949692898E-2</v>
      </c>
      <c r="G1175" s="3" t="s">
        <v>0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</row>
    <row r="1176" spans="1:15" x14ac:dyDescent="0.25">
      <c r="A1176" t="s">
        <v>18</v>
      </c>
      <c r="B1176" t="s">
        <v>24</v>
      </c>
      <c r="C1176" s="3" t="str">
        <f>IF($B1176="GW1",VLOOKUP($A1176,Matches!$A:$AC,2,FALSE),IF($B1176="GW2",VLOOKUP($A1176,Matches!$A:$AC,9,FALSE),IF($B1176="GW3",VLOOKUP($A1176,Matches!$A:$AC,16,FALSE))))</f>
        <v>Crystal Palace</v>
      </c>
      <c r="D1176" s="6">
        <v>0.31117749564351505</v>
      </c>
      <c r="E1176" s="6">
        <v>0.40622334159320794</v>
      </c>
      <c r="F1176" s="6">
        <v>-9.5045845949692898E-2</v>
      </c>
      <c r="G1176" s="3" t="s">
        <v>0</v>
      </c>
      <c r="H1176">
        <v>0.28011204499999998</v>
      </c>
      <c r="I1176">
        <v>8.6580087E-2</v>
      </c>
      <c r="J1176">
        <v>0.11904761899999999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</row>
    <row r="1177" spans="1:15" x14ac:dyDescent="0.25">
      <c r="A1177" t="s">
        <v>18</v>
      </c>
      <c r="B1177" t="s">
        <v>24</v>
      </c>
      <c r="C1177" s="3" t="str">
        <f>IF($B1177="GW1",VLOOKUP($A1177,Matches!$A:$AC,2,FALSE),IF($B1177="GW2",VLOOKUP($A1177,Matches!$A:$AC,9,FALSE),IF($B1177="GW3",VLOOKUP($A1177,Matches!$A:$AC,16,FALSE))))</f>
        <v>Crystal Palace</v>
      </c>
      <c r="D1177" s="6">
        <v>0.31117749564351505</v>
      </c>
      <c r="E1177" s="6">
        <v>0.40622334159320794</v>
      </c>
      <c r="F1177" s="6">
        <v>-9.5045845949692898E-2</v>
      </c>
      <c r="G1177" s="3" t="s">
        <v>0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</row>
    <row r="1178" spans="1:15" x14ac:dyDescent="0.25">
      <c r="A1178" t="s">
        <v>18</v>
      </c>
      <c r="B1178" t="s">
        <v>24</v>
      </c>
      <c r="C1178" s="3" t="str">
        <f>IF($B1178="GW1",VLOOKUP($A1178,Matches!$A:$AC,2,FALSE),IF($B1178="GW2",VLOOKUP($A1178,Matches!$A:$AC,9,FALSE),IF($B1178="GW3",VLOOKUP($A1178,Matches!$A:$AC,16,FALSE))))</f>
        <v>Crystal Palace</v>
      </c>
      <c r="D1178" s="6">
        <v>0.31117749564351505</v>
      </c>
      <c r="E1178" s="6">
        <v>0.40622334159320794</v>
      </c>
      <c r="F1178" s="6">
        <v>-9.5045845949692898E-2</v>
      </c>
      <c r="G1178" s="3" t="s">
        <v>0</v>
      </c>
      <c r="H1178">
        <v>0.307219662</v>
      </c>
      <c r="I1178">
        <v>0.105820106</v>
      </c>
      <c r="J1178">
        <v>0.14652014699999999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</row>
    <row r="1179" spans="1:15" x14ac:dyDescent="0.25">
      <c r="A1179" t="s">
        <v>19</v>
      </c>
      <c r="B1179" t="s">
        <v>24</v>
      </c>
      <c r="C1179" s="3" t="str">
        <f>IF($B1179="GW1",VLOOKUP($A1179,Matches!$A:$AC,2,FALSE),IF($B1179="GW2",VLOOKUP($A1179,Matches!$A:$AC,9,FALSE),IF($B1179="GW3",VLOOKUP($A1179,Matches!$A:$AC,16,FALSE))))</f>
        <v>Burnley</v>
      </c>
      <c r="D1179" s="6">
        <v>0.30245289296192113</v>
      </c>
      <c r="E1179" s="6">
        <v>0.4045307443365696</v>
      </c>
      <c r="F1179" s="6">
        <v>-0.10207785137464848</v>
      </c>
      <c r="G1179" s="3" t="s">
        <v>0</v>
      </c>
      <c r="H1179" t="e">
        <v>#N/A</v>
      </c>
      <c r="I1179" t="e">
        <v>#N/A</v>
      </c>
      <c r="J1179">
        <v>0.13605442200000001</v>
      </c>
      <c r="K1179">
        <v>0.29039301299999998</v>
      </c>
      <c r="L1179">
        <v>0.35467980300000002</v>
      </c>
      <c r="M1179">
        <v>5.0949051000000002E-2</v>
      </c>
      <c r="N1179" t="e">
        <v>#N/A</v>
      </c>
      <c r="O1179" t="e">
        <v>#N/A</v>
      </c>
    </row>
    <row r="1180" spans="1:15" x14ac:dyDescent="0.25">
      <c r="A1180" t="s">
        <v>19</v>
      </c>
      <c r="B1180" t="s">
        <v>24</v>
      </c>
      <c r="C1180" s="3" t="str">
        <f>IF($B1180="GW1",VLOOKUP($A1180,Matches!$A:$AC,2,FALSE),IF($B1180="GW2",VLOOKUP($A1180,Matches!$A:$AC,9,FALSE),IF($B1180="GW3",VLOOKUP($A1180,Matches!$A:$AC,16,FALSE))))</f>
        <v>Burnley</v>
      </c>
      <c r="D1180" s="6">
        <v>0.30245289296192113</v>
      </c>
      <c r="E1180" s="6">
        <v>0.4045307443365696</v>
      </c>
      <c r="F1180" s="6">
        <v>-0.10207785137464848</v>
      </c>
      <c r="G1180" s="3" t="s">
        <v>0</v>
      </c>
      <c r="H1180" t="e">
        <v>#N/A</v>
      </c>
      <c r="I1180" t="e">
        <v>#N/A</v>
      </c>
      <c r="J1180">
        <v>0.13605442200000001</v>
      </c>
      <c r="K1180">
        <v>0.29039301299999998</v>
      </c>
      <c r="L1180">
        <v>0.35467980300000002</v>
      </c>
      <c r="M1180">
        <v>5.0949051000000002E-2</v>
      </c>
      <c r="N1180" t="e">
        <v>#N/A</v>
      </c>
      <c r="O1180" t="e">
        <v>#N/A</v>
      </c>
    </row>
    <row r="1181" spans="1:15" x14ac:dyDescent="0.25">
      <c r="A1181" t="s">
        <v>19</v>
      </c>
      <c r="B1181" t="s">
        <v>24</v>
      </c>
      <c r="C1181" s="3" t="str">
        <f>IF($B1181="GW1",VLOOKUP($A1181,Matches!$A:$AC,2,FALSE),IF($B1181="GW2",VLOOKUP($A1181,Matches!$A:$AC,9,FALSE),IF($B1181="GW3",VLOOKUP($A1181,Matches!$A:$AC,16,FALSE))))</f>
        <v>Burnley</v>
      </c>
      <c r="D1181" s="6">
        <v>0.30245289296192113</v>
      </c>
      <c r="E1181" s="6">
        <v>0.4045307443365696</v>
      </c>
      <c r="F1181" s="6">
        <v>-0.10207785137464848</v>
      </c>
      <c r="G1181" s="3" t="s">
        <v>0</v>
      </c>
      <c r="H1181" t="e">
        <v>#N/A</v>
      </c>
      <c r="I1181" t="e">
        <v>#N/A</v>
      </c>
      <c r="J1181">
        <v>0.13605442200000001</v>
      </c>
      <c r="K1181">
        <v>0.29039301299999998</v>
      </c>
      <c r="L1181">
        <v>0.35467980300000002</v>
      </c>
      <c r="M1181">
        <v>5.0949051000000002E-2</v>
      </c>
      <c r="N1181" t="e">
        <v>#N/A</v>
      </c>
      <c r="O1181" t="e">
        <v>#N/A</v>
      </c>
    </row>
    <row r="1182" spans="1:15" x14ac:dyDescent="0.25">
      <c r="A1182" t="s">
        <v>19</v>
      </c>
      <c r="B1182" t="s">
        <v>24</v>
      </c>
      <c r="C1182" s="3" t="str">
        <f>IF($B1182="GW1",VLOOKUP($A1182,Matches!$A:$AC,2,FALSE),IF($B1182="GW2",VLOOKUP($A1182,Matches!$A:$AC,9,FALSE),IF($B1182="GW3",VLOOKUP($A1182,Matches!$A:$AC,16,FALSE))))</f>
        <v>Burnley</v>
      </c>
      <c r="D1182" s="6">
        <v>0.30245289296192113</v>
      </c>
      <c r="E1182" s="6">
        <v>0.4045307443365696</v>
      </c>
      <c r="F1182" s="6">
        <v>-0.10207785137464848</v>
      </c>
      <c r="G1182" s="3" t="s">
        <v>0</v>
      </c>
      <c r="H1182">
        <v>6.3492063000000001E-2</v>
      </c>
      <c r="I1182">
        <v>3.6630036999999997E-2</v>
      </c>
      <c r="J1182">
        <v>0.21994941200000001</v>
      </c>
      <c r="K1182">
        <v>0.29039301299999998</v>
      </c>
      <c r="L1182">
        <v>0.35467980300000002</v>
      </c>
      <c r="M1182">
        <v>5.0949051000000002E-2</v>
      </c>
      <c r="N1182" t="e">
        <v>#N/A</v>
      </c>
      <c r="O1182" t="e">
        <v>#N/A</v>
      </c>
    </row>
    <row r="1183" spans="1:15" x14ac:dyDescent="0.25">
      <c r="A1183" t="s">
        <v>19</v>
      </c>
      <c r="B1183" t="s">
        <v>24</v>
      </c>
      <c r="C1183" s="3" t="str">
        <f>IF($B1183="GW1",VLOOKUP($A1183,Matches!$A:$AC,2,FALSE),IF($B1183="GW2",VLOOKUP($A1183,Matches!$A:$AC,9,FALSE),IF($B1183="GW3",VLOOKUP($A1183,Matches!$A:$AC,16,FALSE))))</f>
        <v>Burnley</v>
      </c>
      <c r="D1183" s="6">
        <v>0.30245289296192113</v>
      </c>
      <c r="E1183" s="6">
        <v>0.4045307443365696</v>
      </c>
      <c r="F1183" s="6">
        <v>-0.10207785137464848</v>
      </c>
      <c r="G1183" s="3" t="s">
        <v>0</v>
      </c>
      <c r="H1183">
        <v>6.3492063000000001E-2</v>
      </c>
      <c r="I1183">
        <v>8.6580087E-2</v>
      </c>
      <c r="J1183">
        <v>0.29304029300000001</v>
      </c>
      <c r="K1183">
        <v>0.29039301299999998</v>
      </c>
      <c r="L1183">
        <v>0.35467980300000002</v>
      </c>
      <c r="M1183">
        <v>5.0949051000000002E-2</v>
      </c>
      <c r="N1183" t="e">
        <v>#N/A</v>
      </c>
      <c r="O1183" t="e">
        <v>#N/A</v>
      </c>
    </row>
    <row r="1184" spans="1:15" x14ac:dyDescent="0.25">
      <c r="A1184" t="s">
        <v>19</v>
      </c>
      <c r="B1184" t="s">
        <v>24</v>
      </c>
      <c r="C1184" s="3" t="str">
        <f>IF($B1184="GW1",VLOOKUP($A1184,Matches!$A:$AC,2,FALSE),IF($B1184="GW2",VLOOKUP($A1184,Matches!$A:$AC,9,FALSE),IF($B1184="GW3",VLOOKUP($A1184,Matches!$A:$AC,16,FALSE))))</f>
        <v>Burnley</v>
      </c>
      <c r="D1184" s="6">
        <v>0.30245289296192113</v>
      </c>
      <c r="E1184" s="6">
        <v>0.4045307443365696</v>
      </c>
      <c r="F1184" s="6">
        <v>-0.10207785137464848</v>
      </c>
      <c r="G1184" s="3" t="s">
        <v>0</v>
      </c>
      <c r="H1184" t="e">
        <v>#N/A</v>
      </c>
      <c r="I1184" t="e">
        <v>#N/A</v>
      </c>
      <c r="J1184" t="e">
        <v>#N/A</v>
      </c>
      <c r="K1184">
        <v>0.29039301299999998</v>
      </c>
      <c r="L1184">
        <v>0.35467980300000002</v>
      </c>
      <c r="M1184">
        <v>5.0949051000000002E-2</v>
      </c>
      <c r="N1184" t="e">
        <v>#N/A</v>
      </c>
      <c r="O1184" t="e">
        <v>#N/A</v>
      </c>
    </row>
    <row r="1185" spans="1:15" x14ac:dyDescent="0.25">
      <c r="A1185" t="s">
        <v>19</v>
      </c>
      <c r="B1185" t="s">
        <v>24</v>
      </c>
      <c r="C1185" s="3" t="str">
        <f>IF($B1185="GW1",VLOOKUP($A1185,Matches!$A:$AC,2,FALSE),IF($B1185="GW2",VLOOKUP($A1185,Matches!$A:$AC,9,FALSE),IF($B1185="GW3",VLOOKUP($A1185,Matches!$A:$AC,16,FALSE))))</f>
        <v>Burnley</v>
      </c>
      <c r="D1185" s="6">
        <v>0.30245289296192113</v>
      </c>
      <c r="E1185" s="6">
        <v>0.4045307443365696</v>
      </c>
      <c r="F1185" s="6">
        <v>-0.10207785137464848</v>
      </c>
      <c r="G1185" s="3" t="s">
        <v>0</v>
      </c>
      <c r="H1185" t="e">
        <v>#N/A</v>
      </c>
      <c r="I1185" t="e">
        <v>#N/A</v>
      </c>
      <c r="J1185" t="e">
        <v>#N/A</v>
      </c>
      <c r="K1185">
        <v>0.29039301299999998</v>
      </c>
      <c r="L1185">
        <v>0.35467980300000002</v>
      </c>
      <c r="M1185">
        <v>5.0949051000000002E-2</v>
      </c>
      <c r="N1185" t="e">
        <v>#N/A</v>
      </c>
      <c r="O1185" t="e">
        <v>#N/A</v>
      </c>
    </row>
    <row r="1186" spans="1:15" x14ac:dyDescent="0.25">
      <c r="A1186" t="s">
        <v>19</v>
      </c>
      <c r="B1186" t="s">
        <v>24</v>
      </c>
      <c r="C1186" s="3" t="str">
        <f>IF($B1186="GW1",VLOOKUP($A1186,Matches!$A:$AC,2,FALSE),IF($B1186="GW2",VLOOKUP($A1186,Matches!$A:$AC,9,FALSE),IF($B1186="GW3",VLOOKUP($A1186,Matches!$A:$AC,16,FALSE))))</f>
        <v>Burnley</v>
      </c>
      <c r="D1186" s="6">
        <v>0.30245289296192113</v>
      </c>
      <c r="E1186" s="6">
        <v>0.4045307443365696</v>
      </c>
      <c r="F1186" s="6">
        <v>-0.10207785137464848</v>
      </c>
      <c r="G1186" s="3" t="s">
        <v>0</v>
      </c>
      <c r="H1186">
        <v>6.3492063000000001E-2</v>
      </c>
      <c r="I1186">
        <v>9.5238094999999995E-2</v>
      </c>
      <c r="J1186">
        <v>0.27210884400000002</v>
      </c>
      <c r="K1186">
        <v>0.29039301299999998</v>
      </c>
      <c r="L1186">
        <v>0.35467980300000002</v>
      </c>
      <c r="M1186">
        <v>5.0949051000000002E-2</v>
      </c>
      <c r="N1186" t="e">
        <v>#N/A</v>
      </c>
      <c r="O1186" t="e">
        <v>#N/A</v>
      </c>
    </row>
    <row r="1187" spans="1:15" x14ac:dyDescent="0.25">
      <c r="A1187" t="s">
        <v>19</v>
      </c>
      <c r="B1187" t="s">
        <v>24</v>
      </c>
      <c r="C1187" s="3" t="str">
        <f>IF($B1187="GW1",VLOOKUP($A1187,Matches!$A:$AC,2,FALSE),IF($B1187="GW2",VLOOKUP($A1187,Matches!$A:$AC,9,FALSE),IF($B1187="GW3",VLOOKUP($A1187,Matches!$A:$AC,16,FALSE))))</f>
        <v>Burnley</v>
      </c>
      <c r="D1187" s="6">
        <v>0.30245289296192113</v>
      </c>
      <c r="E1187" s="6">
        <v>0.4045307443365696</v>
      </c>
      <c r="F1187" s="6">
        <v>-0.10207785137464848</v>
      </c>
      <c r="G1187" s="3" t="s">
        <v>0</v>
      </c>
      <c r="H1187" t="e">
        <v>#N/A</v>
      </c>
      <c r="I1187" t="e">
        <v>#N/A</v>
      </c>
      <c r="J1187" t="e">
        <v>#N/A</v>
      </c>
      <c r="K1187">
        <v>0.29039301299999998</v>
      </c>
      <c r="L1187">
        <v>0.35467980300000002</v>
      </c>
      <c r="M1187">
        <v>5.0949051000000002E-2</v>
      </c>
      <c r="N1187" t="e">
        <v>#N/A</v>
      </c>
      <c r="O1187" t="e">
        <v>#N/A</v>
      </c>
    </row>
    <row r="1188" spans="1:15" x14ac:dyDescent="0.25">
      <c r="A1188" t="s">
        <v>19</v>
      </c>
      <c r="B1188" t="s">
        <v>24</v>
      </c>
      <c r="C1188" s="3" t="str">
        <f>IF($B1188="GW1",VLOOKUP($A1188,Matches!$A:$AC,2,FALSE),IF($B1188="GW2",VLOOKUP($A1188,Matches!$A:$AC,9,FALSE),IF($B1188="GW3",VLOOKUP($A1188,Matches!$A:$AC,16,FALSE))))</f>
        <v>Burnley</v>
      </c>
      <c r="D1188" s="6">
        <v>0.30245289296192113</v>
      </c>
      <c r="E1188" s="6">
        <v>0.4045307443365696</v>
      </c>
      <c r="F1188" s="6">
        <v>-0.10207785137464848</v>
      </c>
      <c r="G1188" s="3" t="s">
        <v>0</v>
      </c>
      <c r="H1188">
        <v>4.5351474000000003E-2</v>
      </c>
      <c r="I1188">
        <v>4.1407867000000001E-2</v>
      </c>
      <c r="J1188">
        <v>0.13605442200000001</v>
      </c>
      <c r="K1188">
        <v>0.29039301299999998</v>
      </c>
      <c r="L1188">
        <v>0.35467980300000002</v>
      </c>
      <c r="M1188">
        <v>5.0949051000000002E-2</v>
      </c>
      <c r="N1188" t="e">
        <v>#N/A</v>
      </c>
      <c r="O1188" t="e">
        <v>#N/A</v>
      </c>
    </row>
    <row r="1189" spans="1:15" x14ac:dyDescent="0.25">
      <c r="A1189" t="s">
        <v>19</v>
      </c>
      <c r="B1189" t="s">
        <v>24</v>
      </c>
      <c r="C1189" s="3" t="str">
        <f>IF($B1189="GW1",VLOOKUP($A1189,Matches!$A:$AC,2,FALSE),IF($B1189="GW2",VLOOKUP($A1189,Matches!$A:$AC,9,FALSE),IF($B1189="GW3",VLOOKUP($A1189,Matches!$A:$AC,16,FALSE))))</f>
        <v>Burnley</v>
      </c>
      <c r="D1189" s="6">
        <v>0.30245289296192113</v>
      </c>
      <c r="E1189" s="6">
        <v>0.4045307443365696</v>
      </c>
      <c r="F1189" s="6">
        <v>-0.10207785137464848</v>
      </c>
      <c r="G1189" s="3" t="s">
        <v>0</v>
      </c>
      <c r="H1189" t="e">
        <v>#N/A</v>
      </c>
      <c r="I1189" t="e">
        <v>#N/A</v>
      </c>
      <c r="J1189" t="e">
        <v>#N/A</v>
      </c>
      <c r="K1189">
        <v>0.29039301299999998</v>
      </c>
      <c r="L1189">
        <v>0.35467980300000002</v>
      </c>
      <c r="M1189">
        <v>5.0949051000000002E-2</v>
      </c>
      <c r="N1189" t="e">
        <v>#N/A</v>
      </c>
      <c r="O1189" t="e">
        <v>#N/A</v>
      </c>
    </row>
    <row r="1190" spans="1:15" x14ac:dyDescent="0.25">
      <c r="A1190" t="s">
        <v>19</v>
      </c>
      <c r="B1190" t="s">
        <v>24</v>
      </c>
      <c r="C1190" s="3" t="str">
        <f>IF($B1190="GW1",VLOOKUP($A1190,Matches!$A:$AC,2,FALSE),IF($B1190="GW2",VLOOKUP($A1190,Matches!$A:$AC,9,FALSE),IF($B1190="GW3",VLOOKUP($A1190,Matches!$A:$AC,16,FALSE))))</f>
        <v>Burnley</v>
      </c>
      <c r="D1190" s="6">
        <v>0.30245289296192113</v>
      </c>
      <c r="E1190" s="6">
        <v>0.4045307443365696</v>
      </c>
      <c r="F1190" s="6">
        <v>-0.10207785137464848</v>
      </c>
      <c r="G1190" s="3" t="s">
        <v>0</v>
      </c>
      <c r="H1190">
        <v>6.3492063000000001E-2</v>
      </c>
      <c r="I1190">
        <v>4.1407867000000001E-2</v>
      </c>
      <c r="J1190">
        <v>0.29304029300000001</v>
      </c>
      <c r="K1190">
        <v>0.29039301299999998</v>
      </c>
      <c r="L1190">
        <v>0.35467980300000002</v>
      </c>
      <c r="M1190">
        <v>5.0949051000000002E-2</v>
      </c>
      <c r="N1190" t="e">
        <v>#N/A</v>
      </c>
      <c r="O1190" t="e">
        <v>#N/A</v>
      </c>
    </row>
    <row r="1191" spans="1:15" x14ac:dyDescent="0.25">
      <c r="A1191" t="s">
        <v>19</v>
      </c>
      <c r="B1191" t="s">
        <v>24</v>
      </c>
      <c r="C1191" s="3" t="str">
        <f>IF($B1191="GW1",VLOOKUP($A1191,Matches!$A:$AC,2,FALSE),IF($B1191="GW2",VLOOKUP($A1191,Matches!$A:$AC,9,FALSE),IF($B1191="GW3",VLOOKUP($A1191,Matches!$A:$AC,16,FALSE))))</f>
        <v>Burnley</v>
      </c>
      <c r="D1191" s="6">
        <v>0.30245289296192113</v>
      </c>
      <c r="E1191" s="6">
        <v>0.4045307443365696</v>
      </c>
      <c r="F1191" s="6">
        <v>-0.10207785137464848</v>
      </c>
      <c r="G1191" s="3" t="s">
        <v>0</v>
      </c>
      <c r="H1191" t="e">
        <v>#N/A</v>
      </c>
      <c r="I1191" t="e">
        <v>#N/A</v>
      </c>
      <c r="J1191" t="e">
        <v>#N/A</v>
      </c>
      <c r="K1191">
        <v>0.29039301299999998</v>
      </c>
      <c r="L1191">
        <v>0.35467980300000002</v>
      </c>
      <c r="M1191">
        <v>5.0949051000000002E-2</v>
      </c>
      <c r="N1191" t="e">
        <v>#N/A</v>
      </c>
      <c r="O1191" t="e">
        <v>#N/A</v>
      </c>
    </row>
    <row r="1192" spans="1:15" x14ac:dyDescent="0.25">
      <c r="A1192" t="s">
        <v>19</v>
      </c>
      <c r="B1192" t="s">
        <v>24</v>
      </c>
      <c r="C1192" s="3" t="str">
        <f>IF($B1192="GW1",VLOOKUP($A1192,Matches!$A:$AC,2,FALSE),IF($B1192="GW2",VLOOKUP($A1192,Matches!$A:$AC,9,FALSE),IF($B1192="GW3",VLOOKUP($A1192,Matches!$A:$AC,16,FALSE))))</f>
        <v>Burnley</v>
      </c>
      <c r="D1192" s="6">
        <v>0.30245289296192113</v>
      </c>
      <c r="E1192" s="6">
        <v>0.4045307443365696</v>
      </c>
      <c r="F1192" s="6">
        <v>-0.10207785137464848</v>
      </c>
      <c r="G1192" s="3" t="s">
        <v>0</v>
      </c>
      <c r="H1192">
        <v>5.6022409000000002E-2</v>
      </c>
      <c r="I1192">
        <v>3.6630036999999997E-2</v>
      </c>
      <c r="J1192">
        <v>0.253968254</v>
      </c>
      <c r="K1192">
        <v>0.29039301299999998</v>
      </c>
      <c r="L1192">
        <v>0.35467980300000002</v>
      </c>
      <c r="M1192">
        <v>5.0949051000000002E-2</v>
      </c>
      <c r="N1192" t="e">
        <v>#N/A</v>
      </c>
      <c r="O1192" t="e">
        <v>#N/A</v>
      </c>
    </row>
    <row r="1193" spans="1:15" x14ac:dyDescent="0.25">
      <c r="A1193" t="s">
        <v>19</v>
      </c>
      <c r="B1193" t="s">
        <v>24</v>
      </c>
      <c r="C1193" s="3" t="str">
        <f>IF($B1193="GW1",VLOOKUP($A1193,Matches!$A:$AC,2,FALSE),IF($B1193="GW2",VLOOKUP($A1193,Matches!$A:$AC,9,FALSE),IF($B1193="GW3",VLOOKUP($A1193,Matches!$A:$AC,16,FALSE))))</f>
        <v>Burnley</v>
      </c>
      <c r="D1193" s="6">
        <v>0.30245289296192113</v>
      </c>
      <c r="E1193" s="6">
        <v>0.4045307443365696</v>
      </c>
      <c r="F1193" s="6">
        <v>-0.10207785137464848</v>
      </c>
      <c r="G1193" s="3" t="s">
        <v>0</v>
      </c>
      <c r="H1193">
        <v>6.3492063000000001E-2</v>
      </c>
      <c r="I1193">
        <v>3.6630036999999997E-2</v>
      </c>
      <c r="J1193">
        <v>0.21994941200000001</v>
      </c>
      <c r="K1193">
        <v>0.29039301299999998</v>
      </c>
      <c r="L1193">
        <v>0.35467980300000002</v>
      </c>
      <c r="M1193">
        <v>5.0949051000000002E-2</v>
      </c>
      <c r="N1193" t="e">
        <v>#N/A</v>
      </c>
      <c r="O1193" t="e">
        <v>#N/A</v>
      </c>
    </row>
    <row r="1194" spans="1:15" x14ac:dyDescent="0.25">
      <c r="A1194" t="s">
        <v>19</v>
      </c>
      <c r="B1194" t="s">
        <v>24</v>
      </c>
      <c r="C1194" s="3" t="str">
        <f>IF($B1194="GW1",VLOOKUP($A1194,Matches!$A:$AC,2,FALSE),IF($B1194="GW2",VLOOKUP($A1194,Matches!$A:$AC,9,FALSE),IF($B1194="GW3",VLOOKUP($A1194,Matches!$A:$AC,16,FALSE))))</f>
        <v>Burnley</v>
      </c>
      <c r="D1194" s="6">
        <v>0.30245289296192113</v>
      </c>
      <c r="E1194" s="6">
        <v>0.4045307443365696</v>
      </c>
      <c r="F1194" s="6">
        <v>-0.10207785137464848</v>
      </c>
      <c r="G1194" s="3" t="s">
        <v>0</v>
      </c>
      <c r="H1194">
        <v>0.20050125299999999</v>
      </c>
      <c r="I1194">
        <v>0.11904761899999999</v>
      </c>
      <c r="J1194">
        <v>0.15873015900000001</v>
      </c>
      <c r="K1194">
        <v>0.29039301299999998</v>
      </c>
      <c r="L1194">
        <v>0.35467980300000002</v>
      </c>
      <c r="M1194">
        <v>5.0949051000000002E-2</v>
      </c>
      <c r="N1194" t="e">
        <v>#N/A</v>
      </c>
      <c r="O1194" t="e">
        <v>#N/A</v>
      </c>
    </row>
    <row r="1195" spans="1:15" x14ac:dyDescent="0.25">
      <c r="A1195" t="s">
        <v>19</v>
      </c>
      <c r="B1195" t="s">
        <v>24</v>
      </c>
      <c r="C1195" s="3" t="str">
        <f>IF($B1195="GW1",VLOOKUP($A1195,Matches!$A:$AC,2,FALSE),IF($B1195="GW2",VLOOKUP($A1195,Matches!$A:$AC,9,FALSE),IF($B1195="GW3",VLOOKUP($A1195,Matches!$A:$AC,16,FALSE))))</f>
        <v>Burnley</v>
      </c>
      <c r="D1195" s="6">
        <v>0.30245289296192113</v>
      </c>
      <c r="E1195" s="6">
        <v>0.4045307443365696</v>
      </c>
      <c r="F1195" s="6">
        <v>-0.10207785137464848</v>
      </c>
      <c r="G1195" s="3" t="s">
        <v>0</v>
      </c>
      <c r="H1195">
        <v>0.126984127</v>
      </c>
      <c r="I1195">
        <v>7.3260072999999995E-2</v>
      </c>
      <c r="J1195">
        <v>0.20050125299999999</v>
      </c>
      <c r="K1195">
        <v>0.29039301299999998</v>
      </c>
      <c r="L1195">
        <v>0.35467980300000002</v>
      </c>
      <c r="M1195">
        <v>5.0949051000000002E-2</v>
      </c>
      <c r="N1195" t="e">
        <v>#N/A</v>
      </c>
      <c r="O1195" t="e">
        <v>#N/A</v>
      </c>
    </row>
    <row r="1196" spans="1:15" x14ac:dyDescent="0.25">
      <c r="A1196" t="s">
        <v>19</v>
      </c>
      <c r="B1196" t="s">
        <v>24</v>
      </c>
      <c r="C1196" s="3" t="str">
        <f>IF($B1196="GW1",VLOOKUP($A1196,Matches!$A:$AC,2,FALSE),IF($B1196="GW2",VLOOKUP($A1196,Matches!$A:$AC,9,FALSE),IF($B1196="GW3",VLOOKUP($A1196,Matches!$A:$AC,16,FALSE))))</f>
        <v>Burnley</v>
      </c>
      <c r="D1196" s="6">
        <v>0.30245289296192113</v>
      </c>
      <c r="E1196" s="6">
        <v>0.4045307443365696</v>
      </c>
      <c r="F1196" s="6">
        <v>-0.10207785137464848</v>
      </c>
      <c r="G1196" s="3" t="s">
        <v>0</v>
      </c>
      <c r="H1196">
        <v>0.14652014699999999</v>
      </c>
      <c r="I1196">
        <v>0.14652014699999999</v>
      </c>
      <c r="J1196">
        <v>0.20050125299999999</v>
      </c>
      <c r="K1196">
        <v>0.29039301299999998</v>
      </c>
      <c r="L1196">
        <v>0.35467980300000002</v>
      </c>
      <c r="M1196">
        <v>5.0949051000000002E-2</v>
      </c>
      <c r="N1196" t="e">
        <v>#N/A</v>
      </c>
      <c r="O1196" t="e">
        <v>#N/A</v>
      </c>
    </row>
    <row r="1197" spans="1:15" x14ac:dyDescent="0.25">
      <c r="A1197" t="s">
        <v>19</v>
      </c>
      <c r="B1197" t="s">
        <v>24</v>
      </c>
      <c r="C1197" s="3" t="str">
        <f>IF($B1197="GW1",VLOOKUP($A1197,Matches!$A:$AC,2,FALSE),IF($B1197="GW2",VLOOKUP($A1197,Matches!$A:$AC,9,FALSE),IF($B1197="GW3",VLOOKUP($A1197,Matches!$A:$AC,16,FALSE))))</f>
        <v>Burnley</v>
      </c>
      <c r="D1197" s="6">
        <v>0.30245289296192113</v>
      </c>
      <c r="E1197" s="6">
        <v>0.4045307443365696</v>
      </c>
      <c r="F1197" s="6">
        <v>-0.10207785137464848</v>
      </c>
      <c r="G1197" s="3" t="s">
        <v>0</v>
      </c>
      <c r="H1197" t="e">
        <v>#N/A</v>
      </c>
      <c r="I1197" t="e">
        <v>#N/A</v>
      </c>
      <c r="J1197" t="e">
        <v>#N/A</v>
      </c>
      <c r="K1197">
        <v>0.29039301299999998</v>
      </c>
      <c r="L1197">
        <v>0.35467980300000002</v>
      </c>
      <c r="M1197">
        <v>5.0949051000000002E-2</v>
      </c>
      <c r="N1197" t="e">
        <v>#N/A</v>
      </c>
      <c r="O1197" t="e">
        <v>#N/A</v>
      </c>
    </row>
    <row r="1198" spans="1:15" x14ac:dyDescent="0.25">
      <c r="A1198" t="s">
        <v>19</v>
      </c>
      <c r="B1198" t="s">
        <v>24</v>
      </c>
      <c r="C1198" s="3" t="str">
        <f>IF($B1198="GW1",VLOOKUP($A1198,Matches!$A:$AC,2,FALSE),IF($B1198="GW2",VLOOKUP($A1198,Matches!$A:$AC,9,FALSE),IF($B1198="GW3",VLOOKUP($A1198,Matches!$A:$AC,16,FALSE))))</f>
        <v>Burnley</v>
      </c>
      <c r="D1198" s="6">
        <v>0.30245289296192113</v>
      </c>
      <c r="E1198" s="6">
        <v>0.4045307443365696</v>
      </c>
      <c r="F1198" s="6">
        <v>-0.10207785137464848</v>
      </c>
      <c r="G1198" s="3" t="s">
        <v>0</v>
      </c>
      <c r="H1198" t="e">
        <v>#N/A</v>
      </c>
      <c r="I1198" t="e">
        <v>#N/A</v>
      </c>
      <c r="J1198" t="e">
        <v>#N/A</v>
      </c>
      <c r="K1198">
        <v>0.29039301299999998</v>
      </c>
      <c r="L1198">
        <v>0.35467980300000002</v>
      </c>
      <c r="M1198">
        <v>5.0949051000000002E-2</v>
      </c>
      <c r="N1198" t="e">
        <v>#N/A</v>
      </c>
      <c r="O1198" t="e">
        <v>#N/A</v>
      </c>
    </row>
    <row r="1199" spans="1:15" x14ac:dyDescent="0.25">
      <c r="A1199" t="s">
        <v>19</v>
      </c>
      <c r="B1199" t="s">
        <v>24</v>
      </c>
      <c r="C1199" s="3" t="str">
        <f>IF($B1199="GW1",VLOOKUP($A1199,Matches!$A:$AC,2,FALSE),IF($B1199="GW2",VLOOKUP($A1199,Matches!$A:$AC,9,FALSE),IF($B1199="GW3",VLOOKUP($A1199,Matches!$A:$AC,16,FALSE))))</f>
        <v>Burnley</v>
      </c>
      <c r="D1199" s="6">
        <v>0.30245289296192113</v>
      </c>
      <c r="E1199" s="6">
        <v>0.4045307443365696</v>
      </c>
      <c r="F1199" s="6">
        <v>-0.10207785137464848</v>
      </c>
      <c r="G1199" s="3" t="s">
        <v>0</v>
      </c>
      <c r="H1199" t="e">
        <v>#N/A</v>
      </c>
      <c r="I1199" t="e">
        <v>#N/A</v>
      </c>
      <c r="J1199" t="e">
        <v>#N/A</v>
      </c>
      <c r="K1199">
        <v>0.29039301299999998</v>
      </c>
      <c r="L1199">
        <v>0.35467980300000002</v>
      </c>
      <c r="M1199">
        <v>5.0949051000000002E-2</v>
      </c>
      <c r="N1199" t="e">
        <v>#N/A</v>
      </c>
      <c r="O1199" t="e">
        <v>#N/A</v>
      </c>
    </row>
    <row r="1200" spans="1:15" x14ac:dyDescent="0.25">
      <c r="A1200" t="s">
        <v>19</v>
      </c>
      <c r="B1200" t="s">
        <v>24</v>
      </c>
      <c r="C1200" s="3" t="str">
        <f>IF($B1200="GW1",VLOOKUP($A1200,Matches!$A:$AC,2,FALSE),IF($B1200="GW2",VLOOKUP($A1200,Matches!$A:$AC,9,FALSE),IF($B1200="GW3",VLOOKUP($A1200,Matches!$A:$AC,16,FALSE))))</f>
        <v>Burnley</v>
      </c>
      <c r="D1200" s="6">
        <v>0.30245289296192113</v>
      </c>
      <c r="E1200" s="6">
        <v>0.4045307443365696</v>
      </c>
      <c r="F1200" s="6">
        <v>-0.10207785137464848</v>
      </c>
      <c r="G1200" s="3" t="s">
        <v>0</v>
      </c>
      <c r="H1200">
        <v>6.3492063000000001E-2</v>
      </c>
      <c r="I1200">
        <v>5.6022409000000002E-2</v>
      </c>
      <c r="J1200">
        <v>0.15873015900000001</v>
      </c>
      <c r="K1200">
        <v>0.29039301299999998</v>
      </c>
      <c r="L1200">
        <v>0.35467980300000002</v>
      </c>
      <c r="M1200">
        <v>5.0949051000000002E-2</v>
      </c>
      <c r="N1200" t="e">
        <v>#N/A</v>
      </c>
      <c r="O1200" t="e">
        <v>#N/A</v>
      </c>
    </row>
    <row r="1201" spans="1:15" x14ac:dyDescent="0.25">
      <c r="A1201" t="s">
        <v>19</v>
      </c>
      <c r="B1201" t="s">
        <v>24</v>
      </c>
      <c r="C1201" s="3" t="str">
        <f>IF($B1201="GW1",VLOOKUP($A1201,Matches!$A:$AC,2,FALSE),IF($B1201="GW2",VLOOKUP($A1201,Matches!$A:$AC,9,FALSE),IF($B1201="GW3",VLOOKUP($A1201,Matches!$A:$AC,16,FALSE))))</f>
        <v>Burnley</v>
      </c>
      <c r="D1201" s="6">
        <v>0.30245289296192113</v>
      </c>
      <c r="E1201" s="6">
        <v>0.4045307443365696</v>
      </c>
      <c r="F1201" s="6">
        <v>-0.10207785137464848</v>
      </c>
      <c r="G1201" s="3" t="s">
        <v>0</v>
      </c>
      <c r="H1201">
        <v>0.126984127</v>
      </c>
      <c r="I1201">
        <v>9.5238094999999995E-2</v>
      </c>
      <c r="J1201">
        <v>0.13605442200000001</v>
      </c>
      <c r="K1201">
        <v>0.29039301299999998</v>
      </c>
      <c r="L1201">
        <v>0.35467980300000002</v>
      </c>
      <c r="M1201">
        <v>5.0949051000000002E-2</v>
      </c>
      <c r="N1201" t="e">
        <v>#N/A</v>
      </c>
      <c r="O1201" t="e">
        <v>#N/A</v>
      </c>
    </row>
    <row r="1202" spans="1:15" x14ac:dyDescent="0.25">
      <c r="A1202" t="s">
        <v>19</v>
      </c>
      <c r="B1202" t="s">
        <v>24</v>
      </c>
      <c r="C1202" s="3" t="str">
        <f>IF($B1202="GW1",VLOOKUP($A1202,Matches!$A:$AC,2,FALSE),IF($B1202="GW2",VLOOKUP($A1202,Matches!$A:$AC,9,FALSE),IF($B1202="GW3",VLOOKUP($A1202,Matches!$A:$AC,16,FALSE))))</f>
        <v>Burnley</v>
      </c>
      <c r="D1202" s="6">
        <v>0.30245289296192113</v>
      </c>
      <c r="E1202" s="6">
        <v>0.4045307443365696</v>
      </c>
      <c r="F1202" s="6">
        <v>-0.10207785137464848</v>
      </c>
      <c r="G1202" s="3" t="s">
        <v>0</v>
      </c>
      <c r="H1202">
        <v>0.14652014699999999</v>
      </c>
      <c r="I1202">
        <v>0.105820106</v>
      </c>
      <c r="J1202">
        <v>0.21994941200000001</v>
      </c>
      <c r="K1202">
        <v>0.29039301299999998</v>
      </c>
      <c r="L1202">
        <v>0.35467980300000002</v>
      </c>
      <c r="M1202">
        <v>5.0949051000000002E-2</v>
      </c>
      <c r="N1202" t="e">
        <v>#N/A</v>
      </c>
      <c r="O1202" t="e">
        <v>#N/A</v>
      </c>
    </row>
    <row r="1203" spans="1:15" x14ac:dyDescent="0.25">
      <c r="A1203" t="s">
        <v>19</v>
      </c>
      <c r="B1203" t="s">
        <v>24</v>
      </c>
      <c r="C1203" s="3" t="str">
        <f>IF($B1203="GW1",VLOOKUP($A1203,Matches!$A:$AC,2,FALSE),IF($B1203="GW2",VLOOKUP($A1203,Matches!$A:$AC,9,FALSE),IF($B1203="GW3",VLOOKUP($A1203,Matches!$A:$AC,16,FALSE))))</f>
        <v>Burnley</v>
      </c>
      <c r="D1203" s="6">
        <v>0.30245289296192113</v>
      </c>
      <c r="E1203" s="6">
        <v>0.4045307443365696</v>
      </c>
      <c r="F1203" s="6">
        <v>-0.10207785137464848</v>
      </c>
      <c r="G1203" s="3" t="s">
        <v>0</v>
      </c>
      <c r="H1203">
        <v>0.11904761899999999</v>
      </c>
      <c r="I1203">
        <v>0.105820106</v>
      </c>
      <c r="J1203">
        <v>0.21994941200000001</v>
      </c>
      <c r="K1203">
        <v>0.29039301299999998</v>
      </c>
      <c r="L1203">
        <v>0.35467980300000002</v>
      </c>
      <c r="M1203">
        <v>5.0949051000000002E-2</v>
      </c>
      <c r="N1203" t="e">
        <v>#N/A</v>
      </c>
      <c r="O1203" t="e">
        <v>#N/A</v>
      </c>
    </row>
    <row r="1204" spans="1:15" x14ac:dyDescent="0.25">
      <c r="A1204" t="s">
        <v>19</v>
      </c>
      <c r="B1204" t="s">
        <v>24</v>
      </c>
      <c r="C1204" s="3" t="str">
        <f>IF($B1204="GW1",VLOOKUP($A1204,Matches!$A:$AC,2,FALSE),IF($B1204="GW2",VLOOKUP($A1204,Matches!$A:$AC,9,FALSE),IF($B1204="GW3",VLOOKUP($A1204,Matches!$A:$AC,16,FALSE))))</f>
        <v>Burnley</v>
      </c>
      <c r="D1204" s="6">
        <v>0.30245289296192113</v>
      </c>
      <c r="E1204" s="6">
        <v>0.4045307443365696</v>
      </c>
      <c r="F1204" s="6">
        <v>-0.10207785137464848</v>
      </c>
      <c r="G1204" s="3" t="s">
        <v>0</v>
      </c>
      <c r="H1204">
        <v>0.14652014699999999</v>
      </c>
      <c r="I1204">
        <v>0.14652014699999999</v>
      </c>
      <c r="J1204">
        <v>0.13605442200000001</v>
      </c>
      <c r="K1204">
        <v>0.29039301299999998</v>
      </c>
      <c r="L1204">
        <v>0.35467980300000002</v>
      </c>
      <c r="M1204">
        <v>5.0949051000000002E-2</v>
      </c>
      <c r="N1204" t="e">
        <v>#N/A</v>
      </c>
      <c r="O1204" t="e">
        <v>#N/A</v>
      </c>
    </row>
    <row r="1205" spans="1:15" x14ac:dyDescent="0.25">
      <c r="A1205" t="s">
        <v>19</v>
      </c>
      <c r="B1205" t="s">
        <v>24</v>
      </c>
      <c r="C1205" s="3" t="str">
        <f>IF($B1205="GW1",VLOOKUP($A1205,Matches!$A:$AC,2,FALSE),IF($B1205="GW2",VLOOKUP($A1205,Matches!$A:$AC,9,FALSE),IF($B1205="GW3",VLOOKUP($A1205,Matches!$A:$AC,16,FALSE))))</f>
        <v>Burnley</v>
      </c>
      <c r="D1205" s="6">
        <v>0.30245289296192113</v>
      </c>
      <c r="E1205" s="6">
        <v>0.4045307443365696</v>
      </c>
      <c r="F1205" s="6">
        <v>-0.10207785137464848</v>
      </c>
      <c r="G1205" s="3" t="s">
        <v>0</v>
      </c>
      <c r="H1205" t="e">
        <v>#N/A</v>
      </c>
      <c r="I1205" t="e">
        <v>#N/A</v>
      </c>
      <c r="J1205" t="e">
        <v>#N/A</v>
      </c>
      <c r="K1205">
        <v>0.29039301299999998</v>
      </c>
      <c r="L1205">
        <v>0.35467980300000002</v>
      </c>
      <c r="M1205">
        <v>5.0949051000000002E-2</v>
      </c>
      <c r="N1205" t="e">
        <v>#N/A</v>
      </c>
      <c r="O1205" t="e">
        <v>#N/A</v>
      </c>
    </row>
    <row r="1206" spans="1:15" x14ac:dyDescent="0.25">
      <c r="A1206" t="s">
        <v>19</v>
      </c>
      <c r="B1206" t="s">
        <v>24</v>
      </c>
      <c r="C1206" s="3" t="str">
        <f>IF($B1206="GW1",VLOOKUP($A1206,Matches!$A:$AC,2,FALSE),IF($B1206="GW2",VLOOKUP($A1206,Matches!$A:$AC,9,FALSE),IF($B1206="GW3",VLOOKUP($A1206,Matches!$A:$AC,16,FALSE))))</f>
        <v>Burnley</v>
      </c>
      <c r="D1206" s="6">
        <v>0.30245289296192113</v>
      </c>
      <c r="E1206" s="6">
        <v>0.4045307443365696</v>
      </c>
      <c r="F1206" s="6">
        <v>-0.10207785137464848</v>
      </c>
      <c r="G1206" s="3" t="s">
        <v>0</v>
      </c>
      <c r="H1206">
        <v>0.105820106</v>
      </c>
      <c r="I1206">
        <v>6.3492063000000001E-2</v>
      </c>
      <c r="J1206">
        <v>0.15873015900000001</v>
      </c>
      <c r="K1206">
        <v>0.29039301299999998</v>
      </c>
      <c r="L1206">
        <v>0.35467980300000002</v>
      </c>
      <c r="M1206">
        <v>5.0949051000000002E-2</v>
      </c>
      <c r="N1206" t="e">
        <v>#N/A</v>
      </c>
      <c r="O1206" t="e">
        <v>#N/A</v>
      </c>
    </row>
    <row r="1207" spans="1:15" x14ac:dyDescent="0.25">
      <c r="A1207" t="s">
        <v>19</v>
      </c>
      <c r="B1207" t="s">
        <v>24</v>
      </c>
      <c r="C1207" s="3" t="str">
        <f>IF($B1207="GW1",VLOOKUP($A1207,Matches!$A:$AC,2,FALSE),IF($B1207="GW2",VLOOKUP($A1207,Matches!$A:$AC,9,FALSE),IF($B1207="GW3",VLOOKUP($A1207,Matches!$A:$AC,16,FALSE))))</f>
        <v>Burnley</v>
      </c>
      <c r="D1207" s="6">
        <v>0.30245289296192113</v>
      </c>
      <c r="E1207" s="6">
        <v>0.4045307443365696</v>
      </c>
      <c r="F1207" s="6">
        <v>-0.10207785137464848</v>
      </c>
      <c r="G1207" s="3" t="s">
        <v>0</v>
      </c>
      <c r="H1207" t="e">
        <v>#N/A</v>
      </c>
      <c r="I1207" t="e">
        <v>#N/A</v>
      </c>
      <c r="J1207" t="e">
        <v>#N/A</v>
      </c>
      <c r="K1207">
        <v>0.29039301299999998</v>
      </c>
      <c r="L1207">
        <v>0.35467980300000002</v>
      </c>
      <c r="M1207">
        <v>5.0949051000000002E-2</v>
      </c>
      <c r="N1207" t="e">
        <v>#N/A</v>
      </c>
      <c r="O1207" t="e">
        <v>#N/A</v>
      </c>
    </row>
    <row r="1208" spans="1:15" x14ac:dyDescent="0.25">
      <c r="A1208" t="s">
        <v>19</v>
      </c>
      <c r="B1208" t="s">
        <v>24</v>
      </c>
      <c r="C1208" s="3" t="str">
        <f>IF($B1208="GW1",VLOOKUP($A1208,Matches!$A:$AC,2,FALSE),IF($B1208="GW2",VLOOKUP($A1208,Matches!$A:$AC,9,FALSE),IF($B1208="GW3",VLOOKUP($A1208,Matches!$A:$AC,16,FALSE))))</f>
        <v>Burnley</v>
      </c>
      <c r="D1208" s="6">
        <v>0.30245289296192113</v>
      </c>
      <c r="E1208" s="6">
        <v>0.4045307443365696</v>
      </c>
      <c r="F1208" s="6">
        <v>-0.10207785137464848</v>
      </c>
      <c r="G1208" s="3" t="s">
        <v>0</v>
      </c>
      <c r="H1208">
        <v>0.14652014699999999</v>
      </c>
      <c r="I1208">
        <v>0.11904761899999999</v>
      </c>
      <c r="J1208">
        <v>0.253968254</v>
      </c>
      <c r="K1208">
        <v>0.29039301299999998</v>
      </c>
      <c r="L1208">
        <v>0.35467980300000002</v>
      </c>
      <c r="M1208">
        <v>5.0949051000000002E-2</v>
      </c>
      <c r="N1208" t="e">
        <v>#N/A</v>
      </c>
      <c r="O1208" t="e">
        <v>#N/A</v>
      </c>
    </row>
    <row r="1209" spans="1:15" x14ac:dyDescent="0.25">
      <c r="A1209" t="s">
        <v>19</v>
      </c>
      <c r="B1209" t="s">
        <v>24</v>
      </c>
      <c r="C1209" s="3" t="str">
        <f>IF($B1209="GW1",VLOOKUP($A1209,Matches!$A:$AC,2,FALSE),IF($B1209="GW2",VLOOKUP($A1209,Matches!$A:$AC,9,FALSE),IF($B1209="GW3",VLOOKUP($A1209,Matches!$A:$AC,16,FALSE))))</f>
        <v>Burnley</v>
      </c>
      <c r="D1209" s="6">
        <v>0.30245289296192113</v>
      </c>
      <c r="E1209" s="6">
        <v>0.4045307443365696</v>
      </c>
      <c r="F1209" s="6">
        <v>-0.10207785137464848</v>
      </c>
      <c r="G1209" s="3" t="s">
        <v>0</v>
      </c>
      <c r="H1209" t="e">
        <v>#N/A</v>
      </c>
      <c r="I1209" t="e">
        <v>#N/A</v>
      </c>
      <c r="J1209" t="e">
        <v>#N/A</v>
      </c>
      <c r="K1209">
        <v>0.29039301299999998</v>
      </c>
      <c r="L1209">
        <v>0.35467980300000002</v>
      </c>
      <c r="M1209">
        <v>5.0949051000000002E-2</v>
      </c>
      <c r="N1209" t="e">
        <v>#N/A</v>
      </c>
      <c r="O1209" t="e">
        <v>#N/A</v>
      </c>
    </row>
    <row r="1210" spans="1:15" x14ac:dyDescent="0.25">
      <c r="A1210" t="s">
        <v>19</v>
      </c>
      <c r="B1210" t="s">
        <v>24</v>
      </c>
      <c r="C1210" s="3" t="str">
        <f>IF($B1210="GW1",VLOOKUP($A1210,Matches!$A:$AC,2,FALSE),IF($B1210="GW2",VLOOKUP($A1210,Matches!$A:$AC,9,FALSE),IF($B1210="GW3",VLOOKUP($A1210,Matches!$A:$AC,16,FALSE))))</f>
        <v>Burnley</v>
      </c>
      <c r="D1210" s="6">
        <v>0.30245289296192113</v>
      </c>
      <c r="E1210" s="6">
        <v>0.4045307443365696</v>
      </c>
      <c r="F1210" s="6">
        <v>-0.10207785137464848</v>
      </c>
      <c r="G1210" s="3" t="s">
        <v>0</v>
      </c>
      <c r="H1210" t="e">
        <v>#N/A</v>
      </c>
      <c r="I1210" t="e">
        <v>#N/A</v>
      </c>
      <c r="J1210" t="e">
        <v>#N/A</v>
      </c>
      <c r="K1210">
        <v>0.29039301299999998</v>
      </c>
      <c r="L1210">
        <v>0.35467980300000002</v>
      </c>
      <c r="M1210">
        <v>5.0949051000000002E-2</v>
      </c>
      <c r="N1210" t="e">
        <v>#N/A</v>
      </c>
      <c r="O1210" t="e">
        <v>#N/A</v>
      </c>
    </row>
    <row r="1211" spans="1:15" x14ac:dyDescent="0.25">
      <c r="A1211" t="s">
        <v>19</v>
      </c>
      <c r="B1211" t="s">
        <v>24</v>
      </c>
      <c r="C1211" s="3" t="str">
        <f>IF($B1211="GW1",VLOOKUP($A1211,Matches!$A:$AC,2,FALSE),IF($B1211="GW2",VLOOKUP($A1211,Matches!$A:$AC,9,FALSE),IF($B1211="GW3",VLOOKUP($A1211,Matches!$A:$AC,16,FALSE))))</f>
        <v>Burnley</v>
      </c>
      <c r="D1211" s="6">
        <v>0.30245289296192113</v>
      </c>
      <c r="E1211" s="6">
        <v>0.4045307443365696</v>
      </c>
      <c r="F1211" s="6">
        <v>-0.10207785137464848</v>
      </c>
      <c r="G1211" s="3" t="s">
        <v>0</v>
      </c>
      <c r="H1211">
        <v>0.253968254</v>
      </c>
      <c r="I1211">
        <v>7.3260072999999995E-2</v>
      </c>
      <c r="J1211">
        <v>0.20050125299999999</v>
      </c>
      <c r="K1211">
        <v>0.29039301299999998</v>
      </c>
      <c r="L1211">
        <v>0.35467980300000002</v>
      </c>
      <c r="M1211">
        <v>5.0949051000000002E-2</v>
      </c>
      <c r="N1211" t="e">
        <v>#N/A</v>
      </c>
      <c r="O1211" t="e">
        <v>#N/A</v>
      </c>
    </row>
    <row r="1212" spans="1:15" x14ac:dyDescent="0.25">
      <c r="A1212" t="s">
        <v>19</v>
      </c>
      <c r="B1212" t="s">
        <v>24</v>
      </c>
      <c r="C1212" s="3" t="str">
        <f>IF($B1212="GW1",VLOOKUP($A1212,Matches!$A:$AC,2,FALSE),IF($B1212="GW2",VLOOKUP($A1212,Matches!$A:$AC,9,FALSE),IF($B1212="GW3",VLOOKUP($A1212,Matches!$A:$AC,16,FALSE))))</f>
        <v>Burnley</v>
      </c>
      <c r="D1212" s="6">
        <v>0.30245289296192113</v>
      </c>
      <c r="E1212" s="6">
        <v>0.4045307443365696</v>
      </c>
      <c r="F1212" s="6">
        <v>-0.10207785137464848</v>
      </c>
      <c r="G1212" s="3" t="s">
        <v>0</v>
      </c>
      <c r="H1212" t="e">
        <v>#N/A</v>
      </c>
      <c r="I1212" t="e">
        <v>#N/A</v>
      </c>
      <c r="J1212" t="e">
        <v>#N/A</v>
      </c>
      <c r="K1212">
        <v>0.29039301299999998</v>
      </c>
      <c r="L1212">
        <v>0.35467980300000002</v>
      </c>
      <c r="M1212">
        <v>5.0949051000000002E-2</v>
      </c>
      <c r="N1212" t="e">
        <v>#N/A</v>
      </c>
      <c r="O1212" t="e">
        <v>#N/A</v>
      </c>
    </row>
    <row r="1213" spans="1:15" x14ac:dyDescent="0.25">
      <c r="A1213" t="s">
        <v>19</v>
      </c>
      <c r="B1213" t="s">
        <v>24</v>
      </c>
      <c r="C1213" s="3" t="str">
        <f>IF($B1213="GW1",VLOOKUP($A1213,Matches!$A:$AC,2,FALSE),IF($B1213="GW2",VLOOKUP($A1213,Matches!$A:$AC,9,FALSE),IF($B1213="GW3",VLOOKUP($A1213,Matches!$A:$AC,16,FALSE))))</f>
        <v>Burnley</v>
      </c>
      <c r="D1213" s="6">
        <v>0.30245289296192113</v>
      </c>
      <c r="E1213" s="6">
        <v>0.4045307443365696</v>
      </c>
      <c r="F1213" s="6">
        <v>-0.10207785137464848</v>
      </c>
      <c r="G1213" s="3" t="s">
        <v>0</v>
      </c>
      <c r="H1213" t="e">
        <v>#N/A</v>
      </c>
      <c r="I1213" t="e">
        <v>#N/A</v>
      </c>
      <c r="J1213" t="e">
        <v>#N/A</v>
      </c>
      <c r="K1213">
        <v>0.29039301299999998</v>
      </c>
      <c r="L1213">
        <v>0.35467980300000002</v>
      </c>
      <c r="M1213">
        <v>5.0949051000000002E-2</v>
      </c>
      <c r="N1213" t="e">
        <v>#N/A</v>
      </c>
      <c r="O1213" t="e">
        <v>#N/A</v>
      </c>
    </row>
    <row r="1214" spans="1:15" x14ac:dyDescent="0.25">
      <c r="A1214" t="s">
        <v>19</v>
      </c>
      <c r="B1214" t="s">
        <v>24</v>
      </c>
      <c r="C1214" s="3" t="str">
        <f>IF($B1214="GW1",VLOOKUP($A1214,Matches!$A:$AC,2,FALSE),IF($B1214="GW2",VLOOKUP($A1214,Matches!$A:$AC,9,FALSE),IF($B1214="GW3",VLOOKUP($A1214,Matches!$A:$AC,16,FALSE))))</f>
        <v>Burnley</v>
      </c>
      <c r="D1214" s="6">
        <v>0.30245289296192113</v>
      </c>
      <c r="E1214" s="6">
        <v>0.4045307443365696</v>
      </c>
      <c r="F1214" s="6">
        <v>-0.10207785137464848</v>
      </c>
      <c r="G1214" s="3" t="s">
        <v>0</v>
      </c>
      <c r="H1214" t="e">
        <v>#N/A</v>
      </c>
      <c r="I1214" t="e">
        <v>#N/A</v>
      </c>
      <c r="J1214" t="e">
        <v>#N/A</v>
      </c>
      <c r="K1214">
        <v>0.29039301299999998</v>
      </c>
      <c r="L1214">
        <v>0.35467980300000002</v>
      </c>
      <c r="M1214">
        <v>5.0949051000000002E-2</v>
      </c>
      <c r="N1214" t="e">
        <v>#N/A</v>
      </c>
      <c r="O1214" t="e">
        <v>#N/A</v>
      </c>
    </row>
    <row r="1215" spans="1:15" x14ac:dyDescent="0.25">
      <c r="A1215" t="s">
        <v>19</v>
      </c>
      <c r="B1215" t="s">
        <v>24</v>
      </c>
      <c r="C1215" s="3" t="str">
        <f>IF($B1215="GW1",VLOOKUP($A1215,Matches!$A:$AC,2,FALSE),IF($B1215="GW2",VLOOKUP($A1215,Matches!$A:$AC,9,FALSE),IF($B1215="GW3",VLOOKUP($A1215,Matches!$A:$AC,16,FALSE))))</f>
        <v>Burnley</v>
      </c>
      <c r="D1215" s="6">
        <v>0.30245289296192113</v>
      </c>
      <c r="E1215" s="6">
        <v>0.4045307443365696</v>
      </c>
      <c r="F1215" s="6">
        <v>-0.10207785137464848</v>
      </c>
      <c r="G1215" s="3" t="s">
        <v>0</v>
      </c>
      <c r="H1215" t="e">
        <v>#N/A</v>
      </c>
      <c r="I1215" t="e">
        <v>#N/A</v>
      </c>
      <c r="J1215" t="e">
        <v>#N/A</v>
      </c>
      <c r="K1215">
        <v>0.29039301299999998</v>
      </c>
      <c r="L1215">
        <v>0.35467980300000002</v>
      </c>
      <c r="M1215">
        <v>5.0949051000000002E-2</v>
      </c>
      <c r="N1215" t="e">
        <v>#N/A</v>
      </c>
      <c r="O1215" t="e">
        <v>#N/A</v>
      </c>
    </row>
    <row r="1216" spans="1:15" x14ac:dyDescent="0.25">
      <c r="A1216" t="s">
        <v>19</v>
      </c>
      <c r="B1216" t="s">
        <v>24</v>
      </c>
      <c r="C1216" s="3" t="str">
        <f>IF($B1216="GW1",VLOOKUP($A1216,Matches!$A:$AC,2,FALSE),IF($B1216="GW2",VLOOKUP($A1216,Matches!$A:$AC,9,FALSE),IF($B1216="GW3",VLOOKUP($A1216,Matches!$A:$AC,16,FALSE))))</f>
        <v>Burnley</v>
      </c>
      <c r="D1216" s="6">
        <v>0.30245289296192113</v>
      </c>
      <c r="E1216" s="6">
        <v>0.4045307443365696</v>
      </c>
      <c r="F1216" s="6">
        <v>-0.10207785137464848</v>
      </c>
      <c r="G1216" s="3" t="s">
        <v>0</v>
      </c>
      <c r="H1216">
        <v>0.105820106</v>
      </c>
      <c r="I1216">
        <v>9.5238094999999995E-2</v>
      </c>
      <c r="J1216">
        <v>0.20050125299999999</v>
      </c>
      <c r="K1216">
        <v>0.29039301299999998</v>
      </c>
      <c r="L1216">
        <v>0.35467980300000002</v>
      </c>
      <c r="M1216">
        <v>5.0949051000000002E-2</v>
      </c>
      <c r="N1216" t="e">
        <v>#N/A</v>
      </c>
      <c r="O1216" t="e">
        <v>#N/A</v>
      </c>
    </row>
    <row r="1217" spans="1:15" x14ac:dyDescent="0.25">
      <c r="A1217" t="s">
        <v>20</v>
      </c>
      <c r="B1217" t="s">
        <v>24</v>
      </c>
      <c r="C1217" s="3" t="str">
        <f>IF($B1217="GW1",VLOOKUP($A1217,Matches!$A:$AC,2,FALSE),IF($B1217="GW2",VLOOKUP($A1217,Matches!$A:$AC,9,FALSE),IF($B1217="GW3",VLOOKUP($A1217,Matches!$A:$AC,16,FALSE))))</f>
        <v>Man City</v>
      </c>
      <c r="D1217" s="6">
        <v>0.1736804626847526</v>
      </c>
      <c r="E1217" s="6">
        <v>0.62637018477920448</v>
      </c>
      <c r="F1217" s="6">
        <v>-0.45268972209445191</v>
      </c>
      <c r="G1217" s="3" t="s">
        <v>0</v>
      </c>
      <c r="H1217" t="e">
        <v>#N/A</v>
      </c>
      <c r="I1217" t="e">
        <v>#N/A</v>
      </c>
      <c r="J1217">
        <v>0.253968254</v>
      </c>
      <c r="K1217" t="e">
        <v>#N/A</v>
      </c>
      <c r="L1217" t="e">
        <v>#N/A</v>
      </c>
      <c r="M1217" t="e">
        <v>#N/A</v>
      </c>
      <c r="N1217">
        <v>0.807102502</v>
      </c>
      <c r="O1217">
        <v>0.28011204499999998</v>
      </c>
    </row>
    <row r="1218" spans="1:15" x14ac:dyDescent="0.25">
      <c r="A1218" t="s">
        <v>20</v>
      </c>
      <c r="B1218" t="s">
        <v>24</v>
      </c>
      <c r="C1218" s="3" t="str">
        <f>IF($B1218="GW1",VLOOKUP($A1218,Matches!$A:$AC,2,FALSE),IF($B1218="GW2",VLOOKUP($A1218,Matches!$A:$AC,9,FALSE),IF($B1218="GW3",VLOOKUP($A1218,Matches!$A:$AC,16,FALSE))))</f>
        <v>Man City</v>
      </c>
      <c r="D1218" s="6">
        <v>0.1736804626847526</v>
      </c>
      <c r="E1218" s="6">
        <v>0.62637018477920448</v>
      </c>
      <c r="F1218" s="6">
        <v>-0.45268972209445191</v>
      </c>
      <c r="G1218" s="3" t="s">
        <v>0</v>
      </c>
      <c r="H1218" t="e">
        <v>#N/A</v>
      </c>
      <c r="I1218" t="e">
        <v>#N/A</v>
      </c>
      <c r="J1218">
        <v>0.173160173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</row>
    <row r="1219" spans="1:15" x14ac:dyDescent="0.25">
      <c r="A1219" t="s">
        <v>20</v>
      </c>
      <c r="B1219" t="s">
        <v>24</v>
      </c>
      <c r="C1219" s="3" t="str">
        <f>IF($B1219="GW1",VLOOKUP($A1219,Matches!$A:$AC,2,FALSE),IF($B1219="GW2",VLOOKUP($A1219,Matches!$A:$AC,9,FALSE),IF($B1219="GW3",VLOOKUP($A1219,Matches!$A:$AC,16,FALSE))))</f>
        <v>Man City</v>
      </c>
      <c r="D1219" s="6">
        <v>0.1736804626847526</v>
      </c>
      <c r="E1219" s="6">
        <v>0.62637018477920448</v>
      </c>
      <c r="F1219" s="6">
        <v>-0.45268972209445191</v>
      </c>
      <c r="G1219" s="3" t="s">
        <v>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</row>
    <row r="1220" spans="1:15" x14ac:dyDescent="0.25">
      <c r="A1220" t="s">
        <v>20</v>
      </c>
      <c r="B1220" t="s">
        <v>24</v>
      </c>
      <c r="C1220" s="3" t="str">
        <f>IF($B1220="GW1",VLOOKUP($A1220,Matches!$A:$AC,2,FALSE),IF($B1220="GW2",VLOOKUP($A1220,Matches!$A:$AC,9,FALSE),IF($B1220="GW3",VLOOKUP($A1220,Matches!$A:$AC,16,FALSE))))</f>
        <v>Man City</v>
      </c>
      <c r="D1220" s="6">
        <v>0.1736804626847526</v>
      </c>
      <c r="E1220" s="6">
        <v>0.62637018477920448</v>
      </c>
      <c r="F1220" s="6">
        <v>-0.45268972209445191</v>
      </c>
      <c r="G1220" s="3" t="s">
        <v>0</v>
      </c>
      <c r="H1220">
        <v>8.6580087E-2</v>
      </c>
      <c r="I1220">
        <v>0.105820106</v>
      </c>
      <c r="J1220">
        <v>0.253968254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</row>
    <row r="1221" spans="1:15" x14ac:dyDescent="0.25">
      <c r="A1221" t="s">
        <v>20</v>
      </c>
      <c r="B1221" t="s">
        <v>24</v>
      </c>
      <c r="C1221" s="3" t="str">
        <f>IF($B1221="GW1",VLOOKUP($A1221,Matches!$A:$AC,2,FALSE),IF($B1221="GW2",VLOOKUP($A1221,Matches!$A:$AC,9,FALSE),IF($B1221="GW3",VLOOKUP($A1221,Matches!$A:$AC,16,FALSE))))</f>
        <v>Man City</v>
      </c>
      <c r="D1221" s="6">
        <v>0.1736804626847526</v>
      </c>
      <c r="E1221" s="6">
        <v>0.62637018477920448</v>
      </c>
      <c r="F1221" s="6">
        <v>-0.45268972209445191</v>
      </c>
      <c r="G1221" s="3" t="s">
        <v>0</v>
      </c>
      <c r="H1221">
        <v>7.3260072999999995E-2</v>
      </c>
      <c r="I1221">
        <v>1.8674136000000001E-2</v>
      </c>
      <c r="J1221">
        <v>0.33184005300000002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</row>
    <row r="1222" spans="1:15" x14ac:dyDescent="0.25">
      <c r="A1222" t="s">
        <v>20</v>
      </c>
      <c r="B1222" t="s">
        <v>24</v>
      </c>
      <c r="C1222" s="3" t="str">
        <f>IF($B1222="GW1",VLOOKUP($A1222,Matches!$A:$AC,2,FALSE),IF($B1222="GW2",VLOOKUP($A1222,Matches!$A:$AC,9,FALSE),IF($B1222="GW3",VLOOKUP($A1222,Matches!$A:$AC,16,FALSE))))</f>
        <v>Man City</v>
      </c>
      <c r="D1222" s="6">
        <v>0.1736804626847526</v>
      </c>
      <c r="E1222" s="6">
        <v>0.62637018477920448</v>
      </c>
      <c r="F1222" s="6">
        <v>-0.45268972209445191</v>
      </c>
      <c r="G1222" s="3" t="s">
        <v>0</v>
      </c>
      <c r="H1222">
        <v>7.3260072999999995E-2</v>
      </c>
      <c r="I1222">
        <v>4.1407867000000001E-2</v>
      </c>
      <c r="J1222">
        <v>0.27210884400000002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</row>
    <row r="1223" spans="1:15" x14ac:dyDescent="0.25">
      <c r="A1223" t="s">
        <v>20</v>
      </c>
      <c r="B1223" t="s">
        <v>24</v>
      </c>
      <c r="C1223" s="3" t="str">
        <f>IF($B1223="GW1",VLOOKUP($A1223,Matches!$A:$AC,2,FALSE),IF($B1223="GW2",VLOOKUP($A1223,Matches!$A:$AC,9,FALSE),IF($B1223="GW3",VLOOKUP($A1223,Matches!$A:$AC,16,FALSE))))</f>
        <v>Man City</v>
      </c>
      <c r="D1223" s="6">
        <v>0.1736804626847526</v>
      </c>
      <c r="E1223" s="6">
        <v>0.62637018477920448</v>
      </c>
      <c r="F1223" s="6">
        <v>-0.45268972209445191</v>
      </c>
      <c r="G1223" s="3" t="s">
        <v>0</v>
      </c>
      <c r="H1223">
        <v>4.5351474000000003E-2</v>
      </c>
      <c r="I1223">
        <v>3.2840722000000003E-2</v>
      </c>
      <c r="J1223">
        <v>0.253968254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</row>
    <row r="1224" spans="1:15" x14ac:dyDescent="0.25">
      <c r="A1224" t="s">
        <v>20</v>
      </c>
      <c r="B1224" t="s">
        <v>24</v>
      </c>
      <c r="C1224" s="3" t="str">
        <f>IF($B1224="GW1",VLOOKUP($A1224,Matches!$A:$AC,2,FALSE),IF($B1224="GW2",VLOOKUP($A1224,Matches!$A:$AC,9,FALSE),IF($B1224="GW3",VLOOKUP($A1224,Matches!$A:$AC,16,FALSE))))</f>
        <v>Man City</v>
      </c>
      <c r="D1224" s="6">
        <v>0.1736804626847526</v>
      </c>
      <c r="E1224" s="6">
        <v>0.62637018477920448</v>
      </c>
      <c r="F1224" s="6">
        <v>-0.45268972209445191</v>
      </c>
      <c r="G1224" s="3" t="s">
        <v>0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</row>
    <row r="1225" spans="1:15" x14ac:dyDescent="0.25">
      <c r="A1225" t="s">
        <v>20</v>
      </c>
      <c r="B1225" t="s">
        <v>24</v>
      </c>
      <c r="C1225" s="3" t="str">
        <f>IF($B1225="GW1",VLOOKUP($A1225,Matches!$A:$AC,2,FALSE),IF($B1225="GW2",VLOOKUP($A1225,Matches!$A:$AC,9,FALSE),IF($B1225="GW3",VLOOKUP($A1225,Matches!$A:$AC,16,FALSE))))</f>
        <v>Man City</v>
      </c>
      <c r="D1225" s="6">
        <v>0.1736804626847526</v>
      </c>
      <c r="E1225" s="6">
        <v>0.62637018477920448</v>
      </c>
      <c r="F1225" s="6">
        <v>-0.45268972209445191</v>
      </c>
      <c r="G1225" s="3" t="s">
        <v>0</v>
      </c>
      <c r="H1225">
        <v>6.3492063000000001E-2</v>
      </c>
      <c r="I1225">
        <v>7.3260072999999995E-2</v>
      </c>
      <c r="J1225">
        <v>0.21994941200000001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</row>
    <row r="1226" spans="1:15" x14ac:dyDescent="0.25">
      <c r="A1226" t="s">
        <v>20</v>
      </c>
      <c r="B1226" t="s">
        <v>24</v>
      </c>
      <c r="C1226" s="3" t="str">
        <f>IF($B1226="GW1",VLOOKUP($A1226,Matches!$A:$AC,2,FALSE),IF($B1226="GW2",VLOOKUP($A1226,Matches!$A:$AC,9,FALSE),IF($B1226="GW3",VLOOKUP($A1226,Matches!$A:$AC,16,FALSE))))</f>
        <v>Man City</v>
      </c>
      <c r="D1226" s="6">
        <v>0.1736804626847526</v>
      </c>
      <c r="E1226" s="6">
        <v>0.62637018477920448</v>
      </c>
      <c r="F1226" s="6">
        <v>-0.45268972209445191</v>
      </c>
      <c r="G1226" s="3" t="s">
        <v>0</v>
      </c>
      <c r="H1226">
        <v>7.3260072999999995E-2</v>
      </c>
      <c r="I1226">
        <v>7.3260072999999995E-2</v>
      </c>
      <c r="J1226">
        <v>0.307219662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</row>
    <row r="1227" spans="1:15" x14ac:dyDescent="0.25">
      <c r="A1227" t="s">
        <v>20</v>
      </c>
      <c r="B1227" t="s">
        <v>24</v>
      </c>
      <c r="C1227" s="3" t="str">
        <f>IF($B1227="GW1",VLOOKUP($A1227,Matches!$A:$AC,2,FALSE),IF($B1227="GW2",VLOOKUP($A1227,Matches!$A:$AC,9,FALSE),IF($B1227="GW3",VLOOKUP($A1227,Matches!$A:$AC,16,FALSE))))</f>
        <v>Man City</v>
      </c>
      <c r="D1227" s="6">
        <v>0.1736804626847526</v>
      </c>
      <c r="E1227" s="6">
        <v>0.62637018477920448</v>
      </c>
      <c r="F1227" s="6">
        <v>-0.45268972209445191</v>
      </c>
      <c r="G1227" s="3" t="s">
        <v>0</v>
      </c>
      <c r="H1227">
        <v>4.5351474000000003E-2</v>
      </c>
      <c r="I1227">
        <v>1.8674136000000001E-2</v>
      </c>
      <c r="J1227">
        <v>0.253968254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</row>
    <row r="1228" spans="1:15" x14ac:dyDescent="0.25">
      <c r="A1228" t="s">
        <v>20</v>
      </c>
      <c r="B1228" t="s">
        <v>24</v>
      </c>
      <c r="C1228" s="3" t="str">
        <f>IF($B1228="GW1",VLOOKUP($A1228,Matches!$A:$AC,2,FALSE),IF($B1228="GW2",VLOOKUP($A1228,Matches!$A:$AC,9,FALSE),IF($B1228="GW3",VLOOKUP($A1228,Matches!$A:$AC,16,FALSE))))</f>
        <v>Man City</v>
      </c>
      <c r="D1228" s="6">
        <v>0.1736804626847526</v>
      </c>
      <c r="E1228" s="6">
        <v>0.62637018477920448</v>
      </c>
      <c r="F1228" s="6">
        <v>-0.45268972209445191</v>
      </c>
      <c r="G1228" s="3" t="s">
        <v>0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</row>
    <row r="1229" spans="1:15" x14ac:dyDescent="0.25">
      <c r="A1229" t="s">
        <v>20</v>
      </c>
      <c r="B1229" t="s">
        <v>24</v>
      </c>
      <c r="C1229" s="3" t="str">
        <f>IF($B1229="GW1",VLOOKUP($A1229,Matches!$A:$AC,2,FALSE),IF($B1229="GW2",VLOOKUP($A1229,Matches!$A:$AC,9,FALSE),IF($B1229="GW3",VLOOKUP($A1229,Matches!$A:$AC,16,FALSE))))</f>
        <v>Man City</v>
      </c>
      <c r="D1229" s="6">
        <v>0.1736804626847526</v>
      </c>
      <c r="E1229" s="6">
        <v>0.62637018477920448</v>
      </c>
      <c r="F1229" s="6">
        <v>-0.45268972209445191</v>
      </c>
      <c r="G1229" s="3" t="s">
        <v>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</row>
    <row r="1230" spans="1:15" x14ac:dyDescent="0.25">
      <c r="A1230" t="s">
        <v>20</v>
      </c>
      <c r="B1230" t="s">
        <v>24</v>
      </c>
      <c r="C1230" s="3" t="str">
        <f>IF($B1230="GW1",VLOOKUP($A1230,Matches!$A:$AC,2,FALSE),IF($B1230="GW2",VLOOKUP($A1230,Matches!$A:$AC,9,FALSE),IF($B1230="GW3",VLOOKUP($A1230,Matches!$A:$AC,16,FALSE))))</f>
        <v>Man City</v>
      </c>
      <c r="D1230" s="6">
        <v>0.1736804626847526</v>
      </c>
      <c r="E1230" s="6">
        <v>0.62637018477920448</v>
      </c>
      <c r="F1230" s="6">
        <v>-0.45268972209445191</v>
      </c>
      <c r="G1230" s="3" t="s">
        <v>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</row>
    <row r="1231" spans="1:15" x14ac:dyDescent="0.25">
      <c r="A1231" t="s">
        <v>20</v>
      </c>
      <c r="B1231" t="s">
        <v>24</v>
      </c>
      <c r="C1231" s="3" t="str">
        <f>IF($B1231="GW1",VLOOKUP($A1231,Matches!$A:$AC,2,FALSE),IF($B1231="GW2",VLOOKUP($A1231,Matches!$A:$AC,9,FALSE),IF($B1231="GW3",VLOOKUP($A1231,Matches!$A:$AC,16,FALSE))))</f>
        <v>Man City</v>
      </c>
      <c r="D1231" s="6">
        <v>0.1736804626847526</v>
      </c>
      <c r="E1231" s="6">
        <v>0.62637018477920448</v>
      </c>
      <c r="F1231" s="6">
        <v>-0.45268972209445191</v>
      </c>
      <c r="G1231" s="3" t="s">
        <v>0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</row>
    <row r="1232" spans="1:15" x14ac:dyDescent="0.25">
      <c r="A1232" t="s">
        <v>20</v>
      </c>
      <c r="B1232" t="s">
        <v>24</v>
      </c>
      <c r="C1232" s="3" t="str">
        <f>IF($B1232="GW1",VLOOKUP($A1232,Matches!$A:$AC,2,FALSE),IF($B1232="GW2",VLOOKUP($A1232,Matches!$A:$AC,9,FALSE),IF($B1232="GW3",VLOOKUP($A1232,Matches!$A:$AC,16,FALSE))))</f>
        <v>Man City</v>
      </c>
      <c r="D1232" s="6">
        <v>0.1736804626847526</v>
      </c>
      <c r="E1232" s="6">
        <v>0.62637018477920448</v>
      </c>
      <c r="F1232" s="6">
        <v>-0.45268972209445191</v>
      </c>
      <c r="G1232" s="3" t="s">
        <v>0</v>
      </c>
      <c r="H1232">
        <v>0.19047618999999999</v>
      </c>
      <c r="I1232">
        <v>0.11904761899999999</v>
      </c>
      <c r="J1232">
        <v>0.13605442200000001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</row>
    <row r="1233" spans="1:15" x14ac:dyDescent="0.25">
      <c r="A1233" t="s">
        <v>20</v>
      </c>
      <c r="B1233" t="s">
        <v>24</v>
      </c>
      <c r="C1233" s="3" t="str">
        <f>IF($B1233="GW1",VLOOKUP($A1233,Matches!$A:$AC,2,FALSE),IF($B1233="GW2",VLOOKUP($A1233,Matches!$A:$AC,9,FALSE),IF($B1233="GW3",VLOOKUP($A1233,Matches!$A:$AC,16,FALSE))))</f>
        <v>Man City</v>
      </c>
      <c r="D1233" s="6">
        <v>0.1736804626847526</v>
      </c>
      <c r="E1233" s="6">
        <v>0.62637018477920448</v>
      </c>
      <c r="F1233" s="6">
        <v>-0.45268972209445191</v>
      </c>
      <c r="G1233" s="3" t="s">
        <v>0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</row>
    <row r="1234" spans="1:15" x14ac:dyDescent="0.25">
      <c r="A1234" t="s">
        <v>20</v>
      </c>
      <c r="B1234" t="s">
        <v>24</v>
      </c>
      <c r="C1234" s="3" t="str">
        <f>IF($B1234="GW1",VLOOKUP($A1234,Matches!$A:$AC,2,FALSE),IF($B1234="GW2",VLOOKUP($A1234,Matches!$A:$AC,9,FALSE),IF($B1234="GW3",VLOOKUP($A1234,Matches!$A:$AC,16,FALSE))))</f>
        <v>Man City</v>
      </c>
      <c r="D1234" s="6">
        <v>0.1736804626847526</v>
      </c>
      <c r="E1234" s="6">
        <v>0.62637018477920448</v>
      </c>
      <c r="F1234" s="6">
        <v>-0.45268972209445191</v>
      </c>
      <c r="G1234" s="3" t="s">
        <v>0</v>
      </c>
      <c r="H1234">
        <v>0.19047618999999999</v>
      </c>
      <c r="I1234">
        <v>0.11904761899999999</v>
      </c>
      <c r="J1234">
        <v>0.20050125299999999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</row>
    <row r="1235" spans="1:15" x14ac:dyDescent="0.25">
      <c r="A1235" t="s">
        <v>20</v>
      </c>
      <c r="B1235" t="s">
        <v>24</v>
      </c>
      <c r="C1235" s="3" t="str">
        <f>IF($B1235="GW1",VLOOKUP($A1235,Matches!$A:$AC,2,FALSE),IF($B1235="GW2",VLOOKUP($A1235,Matches!$A:$AC,9,FALSE),IF($B1235="GW3",VLOOKUP($A1235,Matches!$A:$AC,16,FALSE))))</f>
        <v>Man City</v>
      </c>
      <c r="D1235" s="6">
        <v>0.1736804626847526</v>
      </c>
      <c r="E1235" s="6">
        <v>0.62637018477920448</v>
      </c>
      <c r="F1235" s="6">
        <v>-0.45268972209445191</v>
      </c>
      <c r="G1235" s="3" t="s">
        <v>0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</row>
    <row r="1236" spans="1:15" x14ac:dyDescent="0.25">
      <c r="A1236" t="s">
        <v>20</v>
      </c>
      <c r="B1236" t="s">
        <v>24</v>
      </c>
      <c r="C1236" s="3" t="str">
        <f>IF($B1236="GW1",VLOOKUP($A1236,Matches!$A:$AC,2,FALSE),IF($B1236="GW2",VLOOKUP($A1236,Matches!$A:$AC,9,FALSE),IF($B1236="GW3",VLOOKUP($A1236,Matches!$A:$AC,16,FALSE))))</f>
        <v>Man City</v>
      </c>
      <c r="D1236" s="6">
        <v>0.1736804626847526</v>
      </c>
      <c r="E1236" s="6">
        <v>0.62637018477920448</v>
      </c>
      <c r="F1236" s="6">
        <v>-0.45268972209445191</v>
      </c>
      <c r="G1236" s="3" t="s">
        <v>0</v>
      </c>
      <c r="H1236">
        <v>0.21994941200000001</v>
      </c>
      <c r="I1236">
        <v>0.105820106</v>
      </c>
      <c r="J1236">
        <v>0.21994941200000001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</row>
    <row r="1237" spans="1:15" x14ac:dyDescent="0.25">
      <c r="A1237" t="s">
        <v>20</v>
      </c>
      <c r="B1237" t="s">
        <v>24</v>
      </c>
      <c r="C1237" s="3" t="str">
        <f>IF($B1237="GW1",VLOOKUP($A1237,Matches!$A:$AC,2,FALSE),IF($B1237="GW2",VLOOKUP($A1237,Matches!$A:$AC,9,FALSE),IF($B1237="GW3",VLOOKUP($A1237,Matches!$A:$AC,16,FALSE))))</f>
        <v>Man City</v>
      </c>
      <c r="D1237" s="6">
        <v>0.1736804626847526</v>
      </c>
      <c r="E1237" s="6">
        <v>0.62637018477920448</v>
      </c>
      <c r="F1237" s="6">
        <v>-0.45268972209445191</v>
      </c>
      <c r="G1237" s="3" t="s">
        <v>0</v>
      </c>
      <c r="H1237">
        <v>8.6580087E-2</v>
      </c>
      <c r="I1237">
        <v>5.0125312999999998E-2</v>
      </c>
      <c r="J1237">
        <v>0.38095238100000001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</row>
    <row r="1238" spans="1:15" x14ac:dyDescent="0.25">
      <c r="A1238" t="s">
        <v>20</v>
      </c>
      <c r="B1238" t="s">
        <v>24</v>
      </c>
      <c r="C1238" s="3" t="str">
        <f>IF($B1238="GW1",VLOOKUP($A1238,Matches!$A:$AC,2,FALSE),IF($B1238="GW2",VLOOKUP($A1238,Matches!$A:$AC,9,FALSE),IF($B1238="GW3",VLOOKUP($A1238,Matches!$A:$AC,16,FALSE))))</f>
        <v>Man City</v>
      </c>
      <c r="D1238" s="6">
        <v>0.1736804626847526</v>
      </c>
      <c r="E1238" s="6">
        <v>0.62637018477920448</v>
      </c>
      <c r="F1238" s="6">
        <v>-0.45268972209445191</v>
      </c>
      <c r="G1238" s="3" t="s">
        <v>0</v>
      </c>
      <c r="H1238">
        <v>0.105820106</v>
      </c>
      <c r="I1238">
        <v>5.6022409000000002E-2</v>
      </c>
      <c r="J1238">
        <v>0.307219662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</row>
    <row r="1239" spans="1:15" x14ac:dyDescent="0.25">
      <c r="A1239" t="s">
        <v>20</v>
      </c>
      <c r="B1239" t="s">
        <v>24</v>
      </c>
      <c r="C1239" s="3" t="str">
        <f>IF($B1239="GW1",VLOOKUP($A1239,Matches!$A:$AC,2,FALSE),IF($B1239="GW2",VLOOKUP($A1239,Matches!$A:$AC,9,FALSE),IF($B1239="GW3",VLOOKUP($A1239,Matches!$A:$AC,16,FALSE))))</f>
        <v>Man City</v>
      </c>
      <c r="D1239" s="6">
        <v>0.1736804626847526</v>
      </c>
      <c r="E1239" s="6">
        <v>0.62637018477920448</v>
      </c>
      <c r="F1239" s="6">
        <v>-0.45268972209445191</v>
      </c>
      <c r="G1239" s="3" t="s">
        <v>0</v>
      </c>
      <c r="H1239">
        <v>0.105820106</v>
      </c>
      <c r="I1239">
        <v>4.5351474000000003E-2</v>
      </c>
      <c r="J1239">
        <v>0.346320346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</row>
    <row r="1240" spans="1:15" x14ac:dyDescent="0.25">
      <c r="A1240" t="s">
        <v>20</v>
      </c>
      <c r="B1240" t="s">
        <v>24</v>
      </c>
      <c r="C1240" s="3" t="str">
        <f>IF($B1240="GW1",VLOOKUP($A1240,Matches!$A:$AC,2,FALSE),IF($B1240="GW2",VLOOKUP($A1240,Matches!$A:$AC,9,FALSE),IF($B1240="GW3",VLOOKUP($A1240,Matches!$A:$AC,16,FALSE))))</f>
        <v>Man City</v>
      </c>
      <c r="D1240" s="6">
        <v>0.1736804626847526</v>
      </c>
      <c r="E1240" s="6">
        <v>0.62637018477920448</v>
      </c>
      <c r="F1240" s="6">
        <v>-0.45268972209445191</v>
      </c>
      <c r="G1240" s="3" t="s">
        <v>0</v>
      </c>
      <c r="H1240">
        <v>0.173160173</v>
      </c>
      <c r="I1240">
        <v>0.105820106</v>
      </c>
      <c r="J1240">
        <v>0.253968254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</row>
    <row r="1241" spans="1:15" x14ac:dyDescent="0.25">
      <c r="A1241" t="s">
        <v>20</v>
      </c>
      <c r="B1241" t="s">
        <v>24</v>
      </c>
      <c r="C1241" s="3" t="str">
        <f>IF($B1241="GW1",VLOOKUP($A1241,Matches!$A:$AC,2,FALSE),IF($B1241="GW2",VLOOKUP($A1241,Matches!$A:$AC,9,FALSE),IF($B1241="GW3",VLOOKUP($A1241,Matches!$A:$AC,16,FALSE))))</f>
        <v>Man City</v>
      </c>
      <c r="D1241" s="6">
        <v>0.1736804626847526</v>
      </c>
      <c r="E1241" s="6">
        <v>0.62637018477920448</v>
      </c>
      <c r="F1241" s="6">
        <v>-0.45268972209445191</v>
      </c>
      <c r="G1241" s="3" t="s">
        <v>0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</row>
    <row r="1242" spans="1:15" x14ac:dyDescent="0.25">
      <c r="A1242" t="s">
        <v>20</v>
      </c>
      <c r="B1242" t="s">
        <v>24</v>
      </c>
      <c r="C1242" s="3" t="str">
        <f>IF($B1242="GW1",VLOOKUP($A1242,Matches!$A:$AC,2,FALSE),IF($B1242="GW2",VLOOKUP($A1242,Matches!$A:$AC,9,FALSE),IF($B1242="GW3",VLOOKUP($A1242,Matches!$A:$AC,16,FALSE))))</f>
        <v>Man City</v>
      </c>
      <c r="D1242" s="6">
        <v>0.1736804626847526</v>
      </c>
      <c r="E1242" s="6">
        <v>0.62637018477920448</v>
      </c>
      <c r="F1242" s="6">
        <v>-0.45268972209445191</v>
      </c>
      <c r="G1242" s="3" t="s">
        <v>0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</row>
    <row r="1243" spans="1:15" x14ac:dyDescent="0.25">
      <c r="A1243" t="s">
        <v>20</v>
      </c>
      <c r="B1243" t="s">
        <v>24</v>
      </c>
      <c r="C1243" s="3" t="str">
        <f>IF($B1243="GW1",VLOOKUP($A1243,Matches!$A:$AC,2,FALSE),IF($B1243="GW2",VLOOKUP($A1243,Matches!$A:$AC,9,FALSE),IF($B1243="GW3",VLOOKUP($A1243,Matches!$A:$AC,16,FALSE))))</f>
        <v>Man City</v>
      </c>
      <c r="D1243" s="6">
        <v>0.1736804626847526</v>
      </c>
      <c r="E1243" s="6">
        <v>0.62637018477920448</v>
      </c>
      <c r="F1243" s="6">
        <v>-0.45268972209445191</v>
      </c>
      <c r="G1243" s="3" t="s">
        <v>0</v>
      </c>
      <c r="H1243">
        <v>7.3260072999999995E-2</v>
      </c>
      <c r="I1243">
        <v>6.3492063000000001E-2</v>
      </c>
      <c r="J1243">
        <v>0.253968254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</row>
    <row r="1244" spans="1:15" x14ac:dyDescent="0.25">
      <c r="A1244" t="s">
        <v>20</v>
      </c>
      <c r="B1244" t="s">
        <v>24</v>
      </c>
      <c r="C1244" s="3" t="str">
        <f>IF($B1244="GW1",VLOOKUP($A1244,Matches!$A:$AC,2,FALSE),IF($B1244="GW2",VLOOKUP($A1244,Matches!$A:$AC,9,FALSE),IF($B1244="GW3",VLOOKUP($A1244,Matches!$A:$AC,16,FALSE))))</f>
        <v>Man City</v>
      </c>
      <c r="D1244" s="6">
        <v>0.1736804626847526</v>
      </c>
      <c r="E1244" s="6">
        <v>0.62637018477920448</v>
      </c>
      <c r="F1244" s="6">
        <v>-0.45268972209445191</v>
      </c>
      <c r="G1244" s="3" t="s">
        <v>0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</row>
    <row r="1245" spans="1:15" x14ac:dyDescent="0.25">
      <c r="A1245" t="s">
        <v>20</v>
      </c>
      <c r="B1245" t="s">
        <v>24</v>
      </c>
      <c r="C1245" s="3" t="str">
        <f>IF($B1245="GW1",VLOOKUP($A1245,Matches!$A:$AC,2,FALSE),IF($B1245="GW2",VLOOKUP($A1245,Matches!$A:$AC,9,FALSE),IF($B1245="GW3",VLOOKUP($A1245,Matches!$A:$AC,16,FALSE))))</f>
        <v>Man City</v>
      </c>
      <c r="D1245" s="6">
        <v>0.1736804626847526</v>
      </c>
      <c r="E1245" s="6">
        <v>0.62637018477920448</v>
      </c>
      <c r="F1245" s="6">
        <v>-0.45268972209445191</v>
      </c>
      <c r="G1245" s="3" t="s">
        <v>0</v>
      </c>
      <c r="H1245">
        <v>0.126984127</v>
      </c>
      <c r="I1245">
        <v>5.6022409000000002E-2</v>
      </c>
      <c r="J1245">
        <v>0.27210884400000002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</row>
    <row r="1246" spans="1:15" x14ac:dyDescent="0.25">
      <c r="A1246" t="s">
        <v>20</v>
      </c>
      <c r="B1246" t="s">
        <v>24</v>
      </c>
      <c r="C1246" s="3" t="str">
        <f>IF($B1246="GW1",VLOOKUP($A1246,Matches!$A:$AC,2,FALSE),IF($B1246="GW2",VLOOKUP($A1246,Matches!$A:$AC,9,FALSE),IF($B1246="GW3",VLOOKUP($A1246,Matches!$A:$AC,16,FALSE))))</f>
        <v>Man City</v>
      </c>
      <c r="D1246" s="6">
        <v>0.1736804626847526</v>
      </c>
      <c r="E1246" s="6">
        <v>0.62637018477920448</v>
      </c>
      <c r="F1246" s="6">
        <v>-0.45268972209445191</v>
      </c>
      <c r="G1246" s="3" t="s">
        <v>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</row>
    <row r="1247" spans="1:15" x14ac:dyDescent="0.25">
      <c r="A1247" t="s">
        <v>20</v>
      </c>
      <c r="B1247" t="s">
        <v>24</v>
      </c>
      <c r="C1247" s="3" t="str">
        <f>IF($B1247="GW1",VLOOKUP($A1247,Matches!$A:$AC,2,FALSE),IF($B1247="GW2",VLOOKUP($A1247,Matches!$A:$AC,9,FALSE),IF($B1247="GW3",VLOOKUP($A1247,Matches!$A:$AC,16,FALSE))))</f>
        <v>Man City</v>
      </c>
      <c r="D1247" s="6">
        <v>0.1736804626847526</v>
      </c>
      <c r="E1247" s="6">
        <v>0.62637018477920448</v>
      </c>
      <c r="F1247" s="6">
        <v>-0.45268972209445191</v>
      </c>
      <c r="G1247" s="3" t="s">
        <v>0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</row>
    <row r="1248" spans="1:15" x14ac:dyDescent="0.25">
      <c r="A1248" t="s">
        <v>20</v>
      </c>
      <c r="B1248" t="s">
        <v>24</v>
      </c>
      <c r="C1248" s="3" t="str">
        <f>IF($B1248="GW1",VLOOKUP($A1248,Matches!$A:$AC,2,FALSE),IF($B1248="GW2",VLOOKUP($A1248,Matches!$A:$AC,9,FALSE),IF($B1248="GW3",VLOOKUP($A1248,Matches!$A:$AC,16,FALSE))))</f>
        <v>Man City</v>
      </c>
      <c r="D1248" s="6">
        <v>0.1736804626847526</v>
      </c>
      <c r="E1248" s="6">
        <v>0.62637018477920448</v>
      </c>
      <c r="F1248" s="6">
        <v>-0.45268972209445191</v>
      </c>
      <c r="G1248" s="3" t="s">
        <v>0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</row>
    <row r="1249" spans="1:15" x14ac:dyDescent="0.25">
      <c r="A1249" t="s">
        <v>20</v>
      </c>
      <c r="B1249" t="s">
        <v>24</v>
      </c>
      <c r="C1249" s="3" t="str">
        <f>IF($B1249="GW1",VLOOKUP($A1249,Matches!$A:$AC,2,FALSE),IF($B1249="GW2",VLOOKUP($A1249,Matches!$A:$AC,9,FALSE),IF($B1249="GW3",VLOOKUP($A1249,Matches!$A:$AC,16,FALSE))))</f>
        <v>Man City</v>
      </c>
      <c r="D1249" s="6">
        <v>0.1736804626847526</v>
      </c>
      <c r="E1249" s="6">
        <v>0.62637018477920448</v>
      </c>
      <c r="F1249" s="6">
        <v>-0.45268972209445191</v>
      </c>
      <c r="G1249" s="3" t="s">
        <v>0</v>
      </c>
      <c r="H1249">
        <v>0.28011204499999998</v>
      </c>
      <c r="I1249">
        <v>0.13605442200000001</v>
      </c>
      <c r="J1249">
        <v>0.20050125299999999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</row>
    <row r="1250" spans="1:15" x14ac:dyDescent="0.25">
      <c r="A1250" t="s">
        <v>20</v>
      </c>
      <c r="B1250" t="s">
        <v>24</v>
      </c>
      <c r="C1250" s="3" t="str">
        <f>IF($B1250="GW1",VLOOKUP($A1250,Matches!$A:$AC,2,FALSE),IF($B1250="GW2",VLOOKUP($A1250,Matches!$A:$AC,9,FALSE),IF($B1250="GW3",VLOOKUP($A1250,Matches!$A:$AC,16,FALSE))))</f>
        <v>Man City</v>
      </c>
      <c r="D1250" s="6">
        <v>0.1736804626847526</v>
      </c>
      <c r="E1250" s="6">
        <v>0.62637018477920448</v>
      </c>
      <c r="F1250" s="6">
        <v>-0.45268972209445191</v>
      </c>
      <c r="G1250" s="3" t="s">
        <v>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</row>
    <row r="1251" spans="1:15" x14ac:dyDescent="0.25">
      <c r="A1251" t="s">
        <v>20</v>
      </c>
      <c r="B1251" t="s">
        <v>24</v>
      </c>
      <c r="C1251" s="3" t="str">
        <f>IF($B1251="GW1",VLOOKUP($A1251,Matches!$A:$AC,2,FALSE),IF($B1251="GW2",VLOOKUP($A1251,Matches!$A:$AC,9,FALSE),IF($B1251="GW3",VLOOKUP($A1251,Matches!$A:$AC,16,FALSE))))</f>
        <v>Man City</v>
      </c>
      <c r="D1251" s="6">
        <v>0.1736804626847526</v>
      </c>
      <c r="E1251" s="6">
        <v>0.62637018477920448</v>
      </c>
      <c r="F1251" s="6">
        <v>-0.45268972209445191</v>
      </c>
      <c r="G1251" s="3" t="s">
        <v>0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</row>
    <row r="1252" spans="1:15" x14ac:dyDescent="0.25">
      <c r="A1252" t="s">
        <v>21</v>
      </c>
      <c r="B1252" t="s">
        <v>24</v>
      </c>
      <c r="C1252" s="3" t="str">
        <f>IF($B1252="GW1",VLOOKUP($A1252,Matches!$A:$AC,2,FALSE),IF($B1252="GW2",VLOOKUP($A1252,Matches!$A:$AC,9,FALSE),IF($B1252="GW3",VLOOKUP($A1252,Matches!$A:$AC,16,FALSE))))</f>
        <v>Chelsea</v>
      </c>
      <c r="D1252" s="6">
        <v>0.20569359881520488</v>
      </c>
      <c r="E1252" s="6">
        <v>0.55797344046423381</v>
      </c>
      <c r="F1252" s="6">
        <v>-0.35227984164902892</v>
      </c>
      <c r="G1252" s="3" t="s">
        <v>1</v>
      </c>
      <c r="H1252" t="e">
        <v>#N/A</v>
      </c>
      <c r="I1252" t="e">
        <v>#N/A</v>
      </c>
      <c r="J1252">
        <v>0.19047618999999999</v>
      </c>
      <c r="K1252">
        <v>0.157303371</v>
      </c>
      <c r="L1252">
        <v>0.558510638</v>
      </c>
      <c r="M1252">
        <v>0.13580246900000001</v>
      </c>
      <c r="N1252" t="e">
        <v>#N/A</v>
      </c>
      <c r="O1252" t="e">
        <v>#N/A</v>
      </c>
    </row>
    <row r="1253" spans="1:15" x14ac:dyDescent="0.25">
      <c r="A1253" t="s">
        <v>21</v>
      </c>
      <c r="B1253" t="s">
        <v>24</v>
      </c>
      <c r="C1253" s="3" t="str">
        <f>IF($B1253="GW1",VLOOKUP($A1253,Matches!$A:$AC,2,FALSE),IF($B1253="GW2",VLOOKUP($A1253,Matches!$A:$AC,9,FALSE),IF($B1253="GW3",VLOOKUP($A1253,Matches!$A:$AC,16,FALSE))))</f>
        <v>Chelsea</v>
      </c>
      <c r="D1253" s="6">
        <v>0.20569359881520488</v>
      </c>
      <c r="E1253" s="6">
        <v>0.55797344046423381</v>
      </c>
      <c r="F1253" s="6">
        <v>-0.35227984164902892</v>
      </c>
      <c r="G1253" s="3" t="s">
        <v>1</v>
      </c>
      <c r="H1253" t="e">
        <v>#N/A</v>
      </c>
      <c r="I1253" t="e">
        <v>#N/A</v>
      </c>
      <c r="J1253">
        <v>0.21994941200000001</v>
      </c>
      <c r="K1253">
        <v>0.157303371</v>
      </c>
      <c r="L1253">
        <v>0.558510638</v>
      </c>
      <c r="M1253">
        <v>0.13580246900000001</v>
      </c>
      <c r="N1253" t="e">
        <v>#N/A</v>
      </c>
      <c r="O1253" t="e">
        <v>#N/A</v>
      </c>
    </row>
    <row r="1254" spans="1:15" x14ac:dyDescent="0.25">
      <c r="A1254" t="s">
        <v>21</v>
      </c>
      <c r="B1254" t="s">
        <v>24</v>
      </c>
      <c r="C1254" s="3" t="str">
        <f>IF($B1254="GW1",VLOOKUP($A1254,Matches!$A:$AC,2,FALSE),IF($B1254="GW2",VLOOKUP($A1254,Matches!$A:$AC,9,FALSE),IF($B1254="GW3",VLOOKUP($A1254,Matches!$A:$AC,16,FALSE))))</f>
        <v>Chelsea</v>
      </c>
      <c r="D1254" s="6">
        <v>0.20569359881520488</v>
      </c>
      <c r="E1254" s="6">
        <v>0.55797344046423381</v>
      </c>
      <c r="F1254" s="6">
        <v>-0.35227984164902892</v>
      </c>
      <c r="G1254" s="3" t="s">
        <v>1</v>
      </c>
      <c r="H1254" t="e">
        <v>#N/A</v>
      </c>
      <c r="I1254" t="e">
        <v>#N/A</v>
      </c>
      <c r="J1254" t="e">
        <v>#N/A</v>
      </c>
      <c r="K1254">
        <v>0.157303371</v>
      </c>
      <c r="L1254">
        <v>0.558510638</v>
      </c>
      <c r="M1254">
        <v>0.13580246900000001</v>
      </c>
      <c r="N1254" t="e">
        <v>#N/A</v>
      </c>
      <c r="O1254" t="e">
        <v>#N/A</v>
      </c>
    </row>
    <row r="1255" spans="1:15" x14ac:dyDescent="0.25">
      <c r="A1255" t="s">
        <v>21</v>
      </c>
      <c r="B1255" t="s">
        <v>24</v>
      </c>
      <c r="C1255" s="3" t="str">
        <f>IF($B1255="GW1",VLOOKUP($A1255,Matches!$A:$AC,2,FALSE),IF($B1255="GW2",VLOOKUP($A1255,Matches!$A:$AC,9,FALSE),IF($B1255="GW3",VLOOKUP($A1255,Matches!$A:$AC,16,FALSE))))</f>
        <v>Chelsea</v>
      </c>
      <c r="D1255" s="6">
        <v>0.20569359881520488</v>
      </c>
      <c r="E1255" s="6">
        <v>0.55797344046423381</v>
      </c>
      <c r="F1255" s="6">
        <v>-0.35227984164902892</v>
      </c>
      <c r="G1255" s="3" t="s">
        <v>1</v>
      </c>
      <c r="H1255">
        <v>7.9365079000000005E-2</v>
      </c>
      <c r="I1255">
        <v>0.105820106</v>
      </c>
      <c r="J1255">
        <v>0.253968254</v>
      </c>
      <c r="K1255">
        <v>0.157303371</v>
      </c>
      <c r="L1255">
        <v>0.558510638</v>
      </c>
      <c r="M1255">
        <v>0.13580246900000001</v>
      </c>
      <c r="N1255" t="e">
        <v>#N/A</v>
      </c>
      <c r="O1255" t="e">
        <v>#N/A</v>
      </c>
    </row>
    <row r="1256" spans="1:15" x14ac:dyDescent="0.25">
      <c r="A1256" t="s">
        <v>21</v>
      </c>
      <c r="B1256" t="s">
        <v>24</v>
      </c>
      <c r="C1256" s="3" t="str">
        <f>IF($B1256="GW1",VLOOKUP($A1256,Matches!$A:$AC,2,FALSE),IF($B1256="GW2",VLOOKUP($A1256,Matches!$A:$AC,9,FALSE),IF($B1256="GW3",VLOOKUP($A1256,Matches!$A:$AC,16,FALSE))))</f>
        <v>Chelsea</v>
      </c>
      <c r="D1256" s="6">
        <v>0.20569359881520488</v>
      </c>
      <c r="E1256" s="6">
        <v>0.55797344046423381</v>
      </c>
      <c r="F1256" s="6">
        <v>-0.35227984164902892</v>
      </c>
      <c r="G1256" s="3" t="s">
        <v>1</v>
      </c>
      <c r="H1256" t="e">
        <v>#N/A</v>
      </c>
      <c r="I1256" t="e">
        <v>#N/A</v>
      </c>
      <c r="J1256" t="e">
        <v>#N/A</v>
      </c>
      <c r="K1256">
        <v>0.157303371</v>
      </c>
      <c r="L1256">
        <v>0.558510638</v>
      </c>
      <c r="M1256">
        <v>0.13580246900000001</v>
      </c>
      <c r="N1256" t="e">
        <v>#N/A</v>
      </c>
      <c r="O1256" t="e">
        <v>#N/A</v>
      </c>
    </row>
    <row r="1257" spans="1:15" x14ac:dyDescent="0.25">
      <c r="A1257" t="s">
        <v>21</v>
      </c>
      <c r="B1257" t="s">
        <v>24</v>
      </c>
      <c r="C1257" s="3" t="str">
        <f>IF($B1257="GW1",VLOOKUP($A1257,Matches!$A:$AC,2,FALSE),IF($B1257="GW2",VLOOKUP($A1257,Matches!$A:$AC,9,FALSE),IF($B1257="GW3",VLOOKUP($A1257,Matches!$A:$AC,16,FALSE))))</f>
        <v>Chelsea</v>
      </c>
      <c r="D1257" s="6">
        <v>0.20569359881520488</v>
      </c>
      <c r="E1257" s="6">
        <v>0.55797344046423381</v>
      </c>
      <c r="F1257" s="6">
        <v>-0.35227984164902892</v>
      </c>
      <c r="G1257" s="3" t="s">
        <v>1</v>
      </c>
      <c r="H1257">
        <v>5.6022409000000002E-2</v>
      </c>
      <c r="I1257">
        <v>3.6630036999999997E-2</v>
      </c>
      <c r="J1257">
        <v>0.21994941200000001</v>
      </c>
      <c r="K1257">
        <v>0.157303371</v>
      </c>
      <c r="L1257">
        <v>0.558510638</v>
      </c>
      <c r="M1257">
        <v>0.13580246900000001</v>
      </c>
      <c r="N1257" t="e">
        <v>#N/A</v>
      </c>
      <c r="O1257" t="e">
        <v>#N/A</v>
      </c>
    </row>
    <row r="1258" spans="1:15" x14ac:dyDescent="0.25">
      <c r="A1258" t="s">
        <v>21</v>
      </c>
      <c r="B1258" t="s">
        <v>24</v>
      </c>
      <c r="C1258" s="3" t="str">
        <f>IF($B1258="GW1",VLOOKUP($A1258,Matches!$A:$AC,2,FALSE),IF($B1258="GW2",VLOOKUP($A1258,Matches!$A:$AC,9,FALSE),IF($B1258="GW3",VLOOKUP($A1258,Matches!$A:$AC,16,FALSE))))</f>
        <v>Chelsea</v>
      </c>
      <c r="D1258" s="6">
        <v>0.20569359881520488</v>
      </c>
      <c r="E1258" s="6">
        <v>0.55797344046423381</v>
      </c>
      <c r="F1258" s="6">
        <v>-0.35227984164902892</v>
      </c>
      <c r="G1258" s="3" t="s">
        <v>1</v>
      </c>
      <c r="H1258">
        <v>0.105820106</v>
      </c>
      <c r="I1258">
        <v>2.8011204000000001E-2</v>
      </c>
      <c r="J1258">
        <v>0.28011204499999998</v>
      </c>
      <c r="K1258">
        <v>0.157303371</v>
      </c>
      <c r="L1258">
        <v>0.558510638</v>
      </c>
      <c r="M1258">
        <v>0.13580246900000001</v>
      </c>
      <c r="N1258" t="e">
        <v>#N/A</v>
      </c>
      <c r="O1258" t="e">
        <v>#N/A</v>
      </c>
    </row>
    <row r="1259" spans="1:15" x14ac:dyDescent="0.25">
      <c r="A1259" t="s">
        <v>21</v>
      </c>
      <c r="B1259" t="s">
        <v>24</v>
      </c>
      <c r="C1259" s="3" t="str">
        <f>IF($B1259="GW1",VLOOKUP($A1259,Matches!$A:$AC,2,FALSE),IF($B1259="GW2",VLOOKUP($A1259,Matches!$A:$AC,9,FALSE),IF($B1259="GW3",VLOOKUP($A1259,Matches!$A:$AC,16,FALSE))))</f>
        <v>Chelsea</v>
      </c>
      <c r="D1259" s="6">
        <v>0.20569359881520488</v>
      </c>
      <c r="E1259" s="6">
        <v>0.55797344046423381</v>
      </c>
      <c r="F1259" s="6">
        <v>-0.35227984164902892</v>
      </c>
      <c r="G1259" s="3" t="s">
        <v>1</v>
      </c>
      <c r="H1259">
        <v>5.6022409000000002E-2</v>
      </c>
      <c r="I1259">
        <v>4.1407867000000001E-2</v>
      </c>
      <c r="J1259">
        <v>0.21164021199999999</v>
      </c>
      <c r="K1259">
        <v>0.157303371</v>
      </c>
      <c r="L1259">
        <v>0.558510638</v>
      </c>
      <c r="M1259">
        <v>0.13580246900000001</v>
      </c>
      <c r="N1259" t="e">
        <v>#N/A</v>
      </c>
      <c r="O1259" t="e">
        <v>#N/A</v>
      </c>
    </row>
    <row r="1260" spans="1:15" x14ac:dyDescent="0.25">
      <c r="A1260" t="s">
        <v>21</v>
      </c>
      <c r="B1260" t="s">
        <v>24</v>
      </c>
      <c r="C1260" s="3" t="str">
        <f>IF($B1260="GW1",VLOOKUP($A1260,Matches!$A:$AC,2,FALSE),IF($B1260="GW2",VLOOKUP($A1260,Matches!$A:$AC,9,FALSE),IF($B1260="GW3",VLOOKUP($A1260,Matches!$A:$AC,16,FALSE))))</f>
        <v>Chelsea</v>
      </c>
      <c r="D1260" s="6">
        <v>0.20569359881520488</v>
      </c>
      <c r="E1260" s="6">
        <v>0.55797344046423381</v>
      </c>
      <c r="F1260" s="6">
        <v>-0.35227984164902892</v>
      </c>
      <c r="G1260" s="3" t="s">
        <v>1</v>
      </c>
      <c r="H1260" t="e">
        <v>#N/A</v>
      </c>
      <c r="I1260" t="e">
        <v>#N/A</v>
      </c>
      <c r="J1260" t="e">
        <v>#N/A</v>
      </c>
      <c r="K1260">
        <v>0.157303371</v>
      </c>
      <c r="L1260">
        <v>0.558510638</v>
      </c>
      <c r="M1260">
        <v>0.13580246900000001</v>
      </c>
      <c r="N1260" t="e">
        <v>#N/A</v>
      </c>
      <c r="O1260" t="e">
        <v>#N/A</v>
      </c>
    </row>
    <row r="1261" spans="1:15" x14ac:dyDescent="0.25">
      <c r="A1261" t="s">
        <v>21</v>
      </c>
      <c r="B1261" t="s">
        <v>24</v>
      </c>
      <c r="C1261" s="3" t="str">
        <f>IF($B1261="GW1",VLOOKUP($A1261,Matches!$A:$AC,2,FALSE),IF($B1261="GW2",VLOOKUP($A1261,Matches!$A:$AC,9,FALSE),IF($B1261="GW3",VLOOKUP($A1261,Matches!$A:$AC,16,FALSE))))</f>
        <v>Chelsea</v>
      </c>
      <c r="D1261" s="6">
        <v>0.20569359881520488</v>
      </c>
      <c r="E1261" s="6">
        <v>0.55797344046423381</v>
      </c>
      <c r="F1261" s="6">
        <v>-0.35227984164902892</v>
      </c>
      <c r="G1261" s="3" t="s">
        <v>1</v>
      </c>
      <c r="H1261">
        <v>4.1407867000000001E-2</v>
      </c>
      <c r="I1261">
        <v>1.8674136000000001E-2</v>
      </c>
      <c r="J1261">
        <v>0.33184005300000002</v>
      </c>
      <c r="K1261">
        <v>0.157303371</v>
      </c>
      <c r="L1261">
        <v>0.558510638</v>
      </c>
      <c r="M1261">
        <v>0.13580246900000001</v>
      </c>
      <c r="N1261" t="e">
        <v>#N/A</v>
      </c>
      <c r="O1261" t="e">
        <v>#N/A</v>
      </c>
    </row>
    <row r="1262" spans="1:15" x14ac:dyDescent="0.25">
      <c r="A1262" t="s">
        <v>21</v>
      </c>
      <c r="B1262" t="s">
        <v>24</v>
      </c>
      <c r="C1262" s="3" t="str">
        <f>IF($B1262="GW1",VLOOKUP($A1262,Matches!$A:$AC,2,FALSE),IF($B1262="GW2",VLOOKUP($A1262,Matches!$A:$AC,9,FALSE),IF($B1262="GW3",VLOOKUP($A1262,Matches!$A:$AC,16,FALSE))))</f>
        <v>Chelsea</v>
      </c>
      <c r="D1262" s="6">
        <v>0.20569359881520488</v>
      </c>
      <c r="E1262" s="6">
        <v>0.55797344046423381</v>
      </c>
      <c r="F1262" s="6">
        <v>-0.35227984164902892</v>
      </c>
      <c r="G1262" s="3" t="s">
        <v>1</v>
      </c>
      <c r="H1262">
        <v>4.1407867000000001E-2</v>
      </c>
      <c r="I1262">
        <v>8.6580087E-2</v>
      </c>
      <c r="J1262">
        <v>0.28011204499999998</v>
      </c>
      <c r="K1262">
        <v>0.157303371</v>
      </c>
      <c r="L1262">
        <v>0.558510638</v>
      </c>
      <c r="M1262">
        <v>0.13580246900000001</v>
      </c>
      <c r="N1262" t="e">
        <v>#N/A</v>
      </c>
      <c r="O1262" t="e">
        <v>#N/A</v>
      </c>
    </row>
    <row r="1263" spans="1:15" x14ac:dyDescent="0.25">
      <c r="A1263" t="s">
        <v>21</v>
      </c>
      <c r="B1263" t="s">
        <v>24</v>
      </c>
      <c r="C1263" s="3" t="str">
        <f>IF($B1263="GW1",VLOOKUP($A1263,Matches!$A:$AC,2,FALSE),IF($B1263="GW2",VLOOKUP($A1263,Matches!$A:$AC,9,FALSE),IF($B1263="GW3",VLOOKUP($A1263,Matches!$A:$AC,16,FALSE))))</f>
        <v>Chelsea</v>
      </c>
      <c r="D1263" s="6">
        <v>0.20569359881520488</v>
      </c>
      <c r="E1263" s="6">
        <v>0.55797344046423381</v>
      </c>
      <c r="F1263" s="6">
        <v>-0.35227984164902892</v>
      </c>
      <c r="G1263" s="3" t="s">
        <v>1</v>
      </c>
      <c r="H1263" t="e">
        <v>#N/A</v>
      </c>
      <c r="I1263" t="e">
        <v>#N/A</v>
      </c>
      <c r="J1263" t="e">
        <v>#N/A</v>
      </c>
      <c r="K1263">
        <v>0.157303371</v>
      </c>
      <c r="L1263">
        <v>0.558510638</v>
      </c>
      <c r="M1263">
        <v>0.13580246900000001</v>
      </c>
      <c r="N1263" t="e">
        <v>#N/A</v>
      </c>
      <c r="O1263" t="e">
        <v>#N/A</v>
      </c>
    </row>
    <row r="1264" spans="1:15" x14ac:dyDescent="0.25">
      <c r="A1264" t="s">
        <v>21</v>
      </c>
      <c r="B1264" t="s">
        <v>24</v>
      </c>
      <c r="C1264" s="3" t="str">
        <f>IF($B1264="GW1",VLOOKUP($A1264,Matches!$A:$AC,2,FALSE),IF($B1264="GW2",VLOOKUP($A1264,Matches!$A:$AC,9,FALSE),IF($B1264="GW3",VLOOKUP($A1264,Matches!$A:$AC,16,FALSE))))</f>
        <v>Chelsea</v>
      </c>
      <c r="D1264" s="6">
        <v>0.20569359881520488</v>
      </c>
      <c r="E1264" s="6">
        <v>0.55797344046423381</v>
      </c>
      <c r="F1264" s="6">
        <v>-0.35227984164902892</v>
      </c>
      <c r="G1264" s="3" t="s">
        <v>1</v>
      </c>
      <c r="H1264">
        <v>0.21164021199999999</v>
      </c>
      <c r="I1264">
        <v>0.11904761899999999</v>
      </c>
      <c r="J1264">
        <v>0.346320346</v>
      </c>
      <c r="K1264">
        <v>0.157303371</v>
      </c>
      <c r="L1264">
        <v>0.558510638</v>
      </c>
      <c r="M1264">
        <v>0.13580246900000001</v>
      </c>
      <c r="N1264" t="e">
        <v>#N/A</v>
      </c>
      <c r="O1264" t="e">
        <v>#N/A</v>
      </c>
    </row>
    <row r="1265" spans="1:15" x14ac:dyDescent="0.25">
      <c r="A1265" t="s">
        <v>21</v>
      </c>
      <c r="B1265" t="s">
        <v>24</v>
      </c>
      <c r="C1265" s="3" t="str">
        <f>IF($B1265="GW1",VLOOKUP($A1265,Matches!$A:$AC,2,FALSE),IF($B1265="GW2",VLOOKUP($A1265,Matches!$A:$AC,9,FALSE),IF($B1265="GW3",VLOOKUP($A1265,Matches!$A:$AC,16,FALSE))))</f>
        <v>Chelsea</v>
      </c>
      <c r="D1265" s="6">
        <v>0.20569359881520488</v>
      </c>
      <c r="E1265" s="6">
        <v>0.55797344046423381</v>
      </c>
      <c r="F1265" s="6">
        <v>-0.35227984164902892</v>
      </c>
      <c r="G1265" s="3" t="s">
        <v>1</v>
      </c>
      <c r="H1265" t="e">
        <v>#N/A</v>
      </c>
      <c r="I1265" t="e">
        <v>#N/A</v>
      </c>
      <c r="J1265" t="e">
        <v>#N/A</v>
      </c>
      <c r="K1265">
        <v>0.157303371</v>
      </c>
      <c r="L1265">
        <v>0.558510638</v>
      </c>
      <c r="M1265">
        <v>0.13580246900000001</v>
      </c>
      <c r="N1265" t="e">
        <v>#N/A</v>
      </c>
      <c r="O1265" t="e">
        <v>#N/A</v>
      </c>
    </row>
    <row r="1266" spans="1:15" x14ac:dyDescent="0.25">
      <c r="A1266" t="s">
        <v>21</v>
      </c>
      <c r="B1266" t="s">
        <v>24</v>
      </c>
      <c r="C1266" s="3" t="str">
        <f>IF($B1266="GW1",VLOOKUP($A1266,Matches!$A:$AC,2,FALSE),IF($B1266="GW2",VLOOKUP($A1266,Matches!$A:$AC,9,FALSE),IF($B1266="GW3",VLOOKUP($A1266,Matches!$A:$AC,16,FALSE))))</f>
        <v>Chelsea</v>
      </c>
      <c r="D1266" s="6">
        <v>0.20569359881520488</v>
      </c>
      <c r="E1266" s="6">
        <v>0.55797344046423381</v>
      </c>
      <c r="F1266" s="6">
        <v>-0.35227984164902892</v>
      </c>
      <c r="G1266" s="3" t="s">
        <v>1</v>
      </c>
      <c r="H1266">
        <v>0.105820106</v>
      </c>
      <c r="I1266">
        <v>0.105820106</v>
      </c>
      <c r="J1266">
        <v>0.19047618999999999</v>
      </c>
      <c r="K1266">
        <v>0.157303371</v>
      </c>
      <c r="L1266">
        <v>0.558510638</v>
      </c>
      <c r="M1266">
        <v>0.13580246900000001</v>
      </c>
      <c r="N1266" t="e">
        <v>#N/A</v>
      </c>
      <c r="O1266" t="e">
        <v>#N/A</v>
      </c>
    </row>
    <row r="1267" spans="1:15" x14ac:dyDescent="0.25">
      <c r="A1267" t="s">
        <v>21</v>
      </c>
      <c r="B1267" t="s">
        <v>24</v>
      </c>
      <c r="C1267" s="3" t="str">
        <f>IF($B1267="GW1",VLOOKUP($A1267,Matches!$A:$AC,2,FALSE),IF($B1267="GW2",VLOOKUP($A1267,Matches!$A:$AC,9,FALSE),IF($B1267="GW3",VLOOKUP($A1267,Matches!$A:$AC,16,FALSE))))</f>
        <v>Chelsea</v>
      </c>
      <c r="D1267" s="6">
        <v>0.20569359881520488</v>
      </c>
      <c r="E1267" s="6">
        <v>0.55797344046423381</v>
      </c>
      <c r="F1267" s="6">
        <v>-0.35227984164902892</v>
      </c>
      <c r="G1267" s="3" t="s">
        <v>1</v>
      </c>
      <c r="H1267" t="e">
        <v>#N/A</v>
      </c>
      <c r="I1267" t="e">
        <v>#N/A</v>
      </c>
      <c r="J1267" t="e">
        <v>#N/A</v>
      </c>
      <c r="K1267">
        <v>0.157303371</v>
      </c>
      <c r="L1267">
        <v>0.558510638</v>
      </c>
      <c r="M1267">
        <v>0.13580246900000001</v>
      </c>
      <c r="N1267" t="e">
        <v>#N/A</v>
      </c>
      <c r="O1267" t="e">
        <v>#N/A</v>
      </c>
    </row>
    <row r="1268" spans="1:15" x14ac:dyDescent="0.25">
      <c r="A1268" t="s">
        <v>21</v>
      </c>
      <c r="B1268" t="s">
        <v>24</v>
      </c>
      <c r="C1268" s="3" t="str">
        <f>IF($B1268="GW1",VLOOKUP($A1268,Matches!$A:$AC,2,FALSE),IF($B1268="GW2",VLOOKUP($A1268,Matches!$A:$AC,9,FALSE),IF($B1268="GW3",VLOOKUP($A1268,Matches!$A:$AC,16,FALSE))))</f>
        <v>Chelsea</v>
      </c>
      <c r="D1268" s="6">
        <v>0.20569359881520488</v>
      </c>
      <c r="E1268" s="6">
        <v>0.55797344046423381</v>
      </c>
      <c r="F1268" s="6">
        <v>-0.35227984164902892</v>
      </c>
      <c r="G1268" s="3" t="s">
        <v>1</v>
      </c>
      <c r="H1268" t="e">
        <v>#N/A</v>
      </c>
      <c r="I1268" t="e">
        <v>#N/A</v>
      </c>
      <c r="J1268" t="e">
        <v>#N/A</v>
      </c>
      <c r="K1268">
        <v>0.157303371</v>
      </c>
      <c r="L1268">
        <v>0.558510638</v>
      </c>
      <c r="M1268">
        <v>0.13580246900000001</v>
      </c>
      <c r="N1268" t="e">
        <v>#N/A</v>
      </c>
      <c r="O1268" t="e">
        <v>#N/A</v>
      </c>
    </row>
    <row r="1269" spans="1:15" x14ac:dyDescent="0.25">
      <c r="A1269" t="s">
        <v>21</v>
      </c>
      <c r="B1269" t="s">
        <v>24</v>
      </c>
      <c r="C1269" s="3" t="str">
        <f>IF($B1269="GW1",VLOOKUP($A1269,Matches!$A:$AC,2,FALSE),IF($B1269="GW2",VLOOKUP($A1269,Matches!$A:$AC,9,FALSE),IF($B1269="GW3",VLOOKUP($A1269,Matches!$A:$AC,16,FALSE))))</f>
        <v>Chelsea</v>
      </c>
      <c r="D1269" s="6">
        <v>0.20569359881520488</v>
      </c>
      <c r="E1269" s="6">
        <v>0.55797344046423381</v>
      </c>
      <c r="F1269" s="6">
        <v>-0.35227984164902892</v>
      </c>
      <c r="G1269" s="3" t="s">
        <v>1</v>
      </c>
      <c r="H1269">
        <v>0.20050125299999999</v>
      </c>
      <c r="I1269">
        <v>0.11904761899999999</v>
      </c>
      <c r="J1269">
        <v>0.21164021199999999</v>
      </c>
      <c r="K1269">
        <v>0.157303371</v>
      </c>
      <c r="L1269">
        <v>0.558510638</v>
      </c>
      <c r="M1269">
        <v>0.13580246900000001</v>
      </c>
      <c r="N1269" t="e">
        <v>#N/A</v>
      </c>
      <c r="O1269" t="e">
        <v>#N/A</v>
      </c>
    </row>
    <row r="1270" spans="1:15" x14ac:dyDescent="0.25">
      <c r="A1270" t="s">
        <v>21</v>
      </c>
      <c r="B1270" t="s">
        <v>24</v>
      </c>
      <c r="C1270" s="3" t="str">
        <f>IF($B1270="GW1",VLOOKUP($A1270,Matches!$A:$AC,2,FALSE),IF($B1270="GW2",VLOOKUP($A1270,Matches!$A:$AC,9,FALSE),IF($B1270="GW3",VLOOKUP($A1270,Matches!$A:$AC,16,FALSE))))</f>
        <v>Chelsea</v>
      </c>
      <c r="D1270" s="6">
        <v>0.20569359881520488</v>
      </c>
      <c r="E1270" s="6">
        <v>0.55797344046423381</v>
      </c>
      <c r="F1270" s="6">
        <v>-0.35227984164902892</v>
      </c>
      <c r="G1270" s="3" t="s">
        <v>1</v>
      </c>
      <c r="H1270" t="e">
        <v>#N/A</v>
      </c>
      <c r="I1270" t="e">
        <v>#N/A</v>
      </c>
      <c r="J1270" t="e">
        <v>#N/A</v>
      </c>
      <c r="K1270">
        <v>0.157303371</v>
      </c>
      <c r="L1270">
        <v>0.558510638</v>
      </c>
      <c r="M1270">
        <v>0.13580246900000001</v>
      </c>
      <c r="N1270" t="e">
        <v>#N/A</v>
      </c>
      <c r="O1270" t="e">
        <v>#N/A</v>
      </c>
    </row>
    <row r="1271" spans="1:15" x14ac:dyDescent="0.25">
      <c r="A1271" t="s">
        <v>21</v>
      </c>
      <c r="B1271" t="s">
        <v>24</v>
      </c>
      <c r="C1271" s="3" t="str">
        <f>IF($B1271="GW1",VLOOKUP($A1271,Matches!$A:$AC,2,FALSE),IF($B1271="GW2",VLOOKUP($A1271,Matches!$A:$AC,9,FALSE),IF($B1271="GW3",VLOOKUP($A1271,Matches!$A:$AC,16,FALSE))))</f>
        <v>Chelsea</v>
      </c>
      <c r="D1271" s="6">
        <v>0.20569359881520488</v>
      </c>
      <c r="E1271" s="6">
        <v>0.55797344046423381</v>
      </c>
      <c r="F1271" s="6">
        <v>-0.35227984164902892</v>
      </c>
      <c r="G1271" s="3" t="s">
        <v>1</v>
      </c>
      <c r="H1271" t="e">
        <v>#N/A</v>
      </c>
      <c r="I1271" t="e">
        <v>#N/A</v>
      </c>
      <c r="J1271" t="e">
        <v>#N/A</v>
      </c>
      <c r="K1271">
        <v>0.157303371</v>
      </c>
      <c r="L1271">
        <v>0.558510638</v>
      </c>
      <c r="M1271">
        <v>0.13580246900000001</v>
      </c>
      <c r="N1271" t="e">
        <v>#N/A</v>
      </c>
      <c r="O1271" t="e">
        <v>#N/A</v>
      </c>
    </row>
    <row r="1272" spans="1:15" x14ac:dyDescent="0.25">
      <c r="A1272" t="s">
        <v>21</v>
      </c>
      <c r="B1272" t="s">
        <v>24</v>
      </c>
      <c r="C1272" s="3" t="str">
        <f>IF($B1272="GW1",VLOOKUP($A1272,Matches!$A:$AC,2,FALSE),IF($B1272="GW2",VLOOKUP($A1272,Matches!$A:$AC,9,FALSE),IF($B1272="GW3",VLOOKUP($A1272,Matches!$A:$AC,16,FALSE))))</f>
        <v>Chelsea</v>
      </c>
      <c r="D1272" s="6">
        <v>0.20569359881520488</v>
      </c>
      <c r="E1272" s="6">
        <v>0.55797344046423381</v>
      </c>
      <c r="F1272" s="6">
        <v>-0.35227984164902892</v>
      </c>
      <c r="G1272" s="3" t="s">
        <v>1</v>
      </c>
      <c r="H1272" t="e">
        <v>#N/A</v>
      </c>
      <c r="I1272" t="e">
        <v>#N/A</v>
      </c>
      <c r="J1272" t="e">
        <v>#N/A</v>
      </c>
      <c r="K1272">
        <v>0.157303371</v>
      </c>
      <c r="L1272">
        <v>0.558510638</v>
      </c>
      <c r="M1272">
        <v>0.13580246900000001</v>
      </c>
      <c r="N1272" t="e">
        <v>#N/A</v>
      </c>
      <c r="O1272" t="e">
        <v>#N/A</v>
      </c>
    </row>
    <row r="1273" spans="1:15" x14ac:dyDescent="0.25">
      <c r="A1273" t="s">
        <v>21</v>
      </c>
      <c r="B1273" t="s">
        <v>24</v>
      </c>
      <c r="C1273" s="3" t="str">
        <f>IF($B1273="GW1",VLOOKUP($A1273,Matches!$A:$AC,2,FALSE),IF($B1273="GW2",VLOOKUP($A1273,Matches!$A:$AC,9,FALSE),IF($B1273="GW3",VLOOKUP($A1273,Matches!$A:$AC,16,FALSE))))</f>
        <v>Chelsea</v>
      </c>
      <c r="D1273" s="6">
        <v>0.20569359881520488</v>
      </c>
      <c r="E1273" s="6">
        <v>0.55797344046423381</v>
      </c>
      <c r="F1273" s="6">
        <v>-0.35227984164902892</v>
      </c>
      <c r="G1273" s="3" t="s">
        <v>1</v>
      </c>
      <c r="H1273" t="e">
        <v>#N/A</v>
      </c>
      <c r="I1273" t="e">
        <v>#N/A</v>
      </c>
      <c r="J1273" t="e">
        <v>#N/A</v>
      </c>
      <c r="K1273">
        <v>0.157303371</v>
      </c>
      <c r="L1273">
        <v>0.558510638</v>
      </c>
      <c r="M1273">
        <v>0.13580246900000001</v>
      </c>
      <c r="N1273" t="e">
        <v>#N/A</v>
      </c>
      <c r="O1273" t="e">
        <v>#N/A</v>
      </c>
    </row>
    <row r="1274" spans="1:15" x14ac:dyDescent="0.25">
      <c r="A1274" t="s">
        <v>21</v>
      </c>
      <c r="B1274" t="s">
        <v>24</v>
      </c>
      <c r="C1274" s="3" t="str">
        <f>IF($B1274="GW1",VLOOKUP($A1274,Matches!$A:$AC,2,FALSE),IF($B1274="GW2",VLOOKUP($A1274,Matches!$A:$AC,9,FALSE),IF($B1274="GW3",VLOOKUP($A1274,Matches!$A:$AC,16,FALSE))))</f>
        <v>Chelsea</v>
      </c>
      <c r="D1274" s="6">
        <v>0.20569359881520488</v>
      </c>
      <c r="E1274" s="6">
        <v>0.55797344046423381</v>
      </c>
      <c r="F1274" s="6">
        <v>-0.35227984164902892</v>
      </c>
      <c r="G1274" s="3" t="s">
        <v>1</v>
      </c>
      <c r="H1274">
        <v>0.105820106</v>
      </c>
      <c r="I1274">
        <v>6.3492063000000001E-2</v>
      </c>
      <c r="J1274">
        <v>0.253968254</v>
      </c>
      <c r="K1274">
        <v>0.157303371</v>
      </c>
      <c r="L1274">
        <v>0.558510638</v>
      </c>
      <c r="M1274">
        <v>0.13580246900000001</v>
      </c>
      <c r="N1274" t="e">
        <v>#N/A</v>
      </c>
      <c r="O1274" t="e">
        <v>#N/A</v>
      </c>
    </row>
    <row r="1275" spans="1:15" x14ac:dyDescent="0.25">
      <c r="A1275" t="s">
        <v>21</v>
      </c>
      <c r="B1275" t="s">
        <v>24</v>
      </c>
      <c r="C1275" s="3" t="str">
        <f>IF($B1275="GW1",VLOOKUP($A1275,Matches!$A:$AC,2,FALSE),IF($B1275="GW2",VLOOKUP($A1275,Matches!$A:$AC,9,FALSE),IF($B1275="GW3",VLOOKUP($A1275,Matches!$A:$AC,16,FALSE))))</f>
        <v>Chelsea</v>
      </c>
      <c r="D1275" s="6">
        <v>0.20569359881520488</v>
      </c>
      <c r="E1275" s="6">
        <v>0.55797344046423381</v>
      </c>
      <c r="F1275" s="6">
        <v>-0.35227984164902892</v>
      </c>
      <c r="G1275" s="3" t="s">
        <v>1</v>
      </c>
      <c r="H1275">
        <v>7.9365079000000005E-2</v>
      </c>
      <c r="I1275">
        <v>3.6630036999999997E-2</v>
      </c>
      <c r="J1275">
        <v>0.21994941200000001</v>
      </c>
      <c r="K1275">
        <v>0.157303371</v>
      </c>
      <c r="L1275">
        <v>0.558510638</v>
      </c>
      <c r="M1275">
        <v>0.13580246900000001</v>
      </c>
      <c r="N1275" t="e">
        <v>#N/A</v>
      </c>
      <c r="O1275" t="e">
        <v>#N/A</v>
      </c>
    </row>
    <row r="1276" spans="1:15" x14ac:dyDescent="0.25">
      <c r="A1276" t="s">
        <v>21</v>
      </c>
      <c r="B1276" t="s">
        <v>24</v>
      </c>
      <c r="C1276" s="3" t="str">
        <f>IF($B1276="GW1",VLOOKUP($A1276,Matches!$A:$AC,2,FALSE),IF($B1276="GW2",VLOOKUP($A1276,Matches!$A:$AC,9,FALSE),IF($B1276="GW3",VLOOKUP($A1276,Matches!$A:$AC,16,FALSE))))</f>
        <v>Chelsea</v>
      </c>
      <c r="D1276" s="6">
        <v>0.20569359881520488</v>
      </c>
      <c r="E1276" s="6">
        <v>0.55797344046423381</v>
      </c>
      <c r="F1276" s="6">
        <v>-0.35227984164902892</v>
      </c>
      <c r="G1276" s="3" t="s">
        <v>1</v>
      </c>
      <c r="H1276">
        <v>0.26455026500000001</v>
      </c>
      <c r="I1276">
        <v>0.15873015900000001</v>
      </c>
      <c r="J1276">
        <v>0.11904761899999999</v>
      </c>
      <c r="K1276">
        <v>0.157303371</v>
      </c>
      <c r="L1276">
        <v>0.558510638</v>
      </c>
      <c r="M1276">
        <v>0.13580246900000001</v>
      </c>
      <c r="N1276" t="e">
        <v>#N/A</v>
      </c>
      <c r="O1276" t="e">
        <v>#N/A</v>
      </c>
    </row>
    <row r="1277" spans="1:15" x14ac:dyDescent="0.25">
      <c r="A1277" t="s">
        <v>21</v>
      </c>
      <c r="B1277" t="s">
        <v>24</v>
      </c>
      <c r="C1277" s="3" t="str">
        <f>IF($B1277="GW1",VLOOKUP($A1277,Matches!$A:$AC,2,FALSE),IF($B1277="GW2",VLOOKUP($A1277,Matches!$A:$AC,9,FALSE),IF($B1277="GW3",VLOOKUP($A1277,Matches!$A:$AC,16,FALSE))))</f>
        <v>Chelsea</v>
      </c>
      <c r="D1277" s="6">
        <v>0.20569359881520488</v>
      </c>
      <c r="E1277" s="6">
        <v>0.55797344046423381</v>
      </c>
      <c r="F1277" s="6">
        <v>-0.35227984164902892</v>
      </c>
      <c r="G1277" s="3" t="s">
        <v>1</v>
      </c>
      <c r="H1277">
        <v>0.26455026500000001</v>
      </c>
      <c r="I1277">
        <v>0.11904761899999999</v>
      </c>
      <c r="J1277">
        <v>0.13605442200000001</v>
      </c>
      <c r="K1277">
        <v>0.157303371</v>
      </c>
      <c r="L1277">
        <v>0.558510638</v>
      </c>
      <c r="M1277">
        <v>0.13580246900000001</v>
      </c>
      <c r="N1277" t="e">
        <v>#N/A</v>
      </c>
      <c r="O1277" t="e">
        <v>#N/A</v>
      </c>
    </row>
    <row r="1278" spans="1:15" x14ac:dyDescent="0.25">
      <c r="A1278" t="s">
        <v>21</v>
      </c>
      <c r="B1278" t="s">
        <v>24</v>
      </c>
      <c r="C1278" s="3" t="str">
        <f>IF($B1278="GW1",VLOOKUP($A1278,Matches!$A:$AC,2,FALSE),IF($B1278="GW2",VLOOKUP($A1278,Matches!$A:$AC,9,FALSE),IF($B1278="GW3",VLOOKUP($A1278,Matches!$A:$AC,16,FALSE))))</f>
        <v>Chelsea</v>
      </c>
      <c r="D1278" s="6">
        <v>0.20569359881520488</v>
      </c>
      <c r="E1278" s="6">
        <v>0.55797344046423381</v>
      </c>
      <c r="F1278" s="6">
        <v>-0.35227984164902892</v>
      </c>
      <c r="G1278" s="3" t="s">
        <v>1</v>
      </c>
      <c r="H1278">
        <v>0.21164021199999999</v>
      </c>
      <c r="I1278">
        <v>6.3492063000000001E-2</v>
      </c>
      <c r="J1278">
        <v>0.253968254</v>
      </c>
      <c r="K1278">
        <v>0.157303371</v>
      </c>
      <c r="L1278">
        <v>0.558510638</v>
      </c>
      <c r="M1278">
        <v>0.13580246900000001</v>
      </c>
      <c r="N1278" t="e">
        <v>#N/A</v>
      </c>
      <c r="O1278" t="e">
        <v>#N/A</v>
      </c>
    </row>
    <row r="1279" spans="1:15" x14ac:dyDescent="0.25">
      <c r="A1279" t="s">
        <v>21</v>
      </c>
      <c r="B1279" t="s">
        <v>24</v>
      </c>
      <c r="C1279" s="3" t="str">
        <f>IF($B1279="GW1",VLOOKUP($A1279,Matches!$A:$AC,2,FALSE),IF($B1279="GW2",VLOOKUP($A1279,Matches!$A:$AC,9,FALSE),IF($B1279="GW3",VLOOKUP($A1279,Matches!$A:$AC,16,FALSE))))</f>
        <v>Chelsea</v>
      </c>
      <c r="D1279" s="6">
        <v>0.20569359881520488</v>
      </c>
      <c r="E1279" s="6">
        <v>0.55797344046423381</v>
      </c>
      <c r="F1279" s="6">
        <v>-0.35227984164902892</v>
      </c>
      <c r="G1279" s="3" t="s">
        <v>1</v>
      </c>
      <c r="H1279">
        <v>5.6022409000000002E-2</v>
      </c>
      <c r="I1279">
        <v>8.6580087E-2</v>
      </c>
      <c r="J1279">
        <v>0.21164021199999999</v>
      </c>
      <c r="K1279">
        <v>0.157303371</v>
      </c>
      <c r="L1279">
        <v>0.558510638</v>
      </c>
      <c r="M1279">
        <v>0.13580246900000001</v>
      </c>
      <c r="N1279" t="e">
        <v>#N/A</v>
      </c>
      <c r="O1279" t="e">
        <v>#N/A</v>
      </c>
    </row>
    <row r="1280" spans="1:15" x14ac:dyDescent="0.25">
      <c r="A1280" t="s">
        <v>22</v>
      </c>
      <c r="B1280" t="s">
        <v>24</v>
      </c>
      <c r="C1280" s="3" t="str">
        <f>IF($B1280="GW1",VLOOKUP($A1280,Matches!$A:$AC,2,FALSE),IF($B1280="GW2",VLOOKUP($A1280,Matches!$A:$AC,9,FALSE),IF($B1280="GW3",VLOOKUP($A1280,Matches!$A:$AC,16,FALSE))))</f>
        <v>Bournemouth</v>
      </c>
      <c r="D1280" s="6">
        <v>0.21866526720895649</v>
      </c>
      <c r="E1280" s="6">
        <v>0.53639435713136296</v>
      </c>
      <c r="F1280" s="6">
        <v>-0.31772908992240645</v>
      </c>
      <c r="G1280" s="3" t="s">
        <v>0</v>
      </c>
      <c r="H1280" t="e">
        <v>#N/A</v>
      </c>
      <c r="I1280" t="e">
        <v>#N/A</v>
      </c>
      <c r="J1280">
        <v>0.21164021199999999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</row>
    <row r="1281" spans="1:15" x14ac:dyDescent="0.25">
      <c r="A1281" t="s">
        <v>22</v>
      </c>
      <c r="B1281" t="s">
        <v>24</v>
      </c>
      <c r="C1281" s="3" t="str">
        <f>IF($B1281="GW1",VLOOKUP($A1281,Matches!$A:$AC,2,FALSE),IF($B1281="GW2",VLOOKUP($A1281,Matches!$A:$AC,9,FALSE),IF($B1281="GW3",VLOOKUP($A1281,Matches!$A:$AC,16,FALSE))))</f>
        <v>Bournemouth</v>
      </c>
      <c r="D1281" s="6">
        <v>0.21866526720895649</v>
      </c>
      <c r="E1281" s="6">
        <v>0.53639435713136296</v>
      </c>
      <c r="F1281" s="6">
        <v>-0.31772908992240645</v>
      </c>
      <c r="G1281" s="3" t="s">
        <v>0</v>
      </c>
      <c r="H1281" t="e">
        <v>#N/A</v>
      </c>
      <c r="I1281" t="e">
        <v>#N/A</v>
      </c>
      <c r="J1281">
        <v>0.253968254</v>
      </c>
      <c r="K1281" t="e">
        <v>#N/A</v>
      </c>
      <c r="L1281" t="e">
        <v>#N/A</v>
      </c>
      <c r="M1281" t="e">
        <v>#N/A</v>
      </c>
      <c r="N1281">
        <v>0.68027210900000001</v>
      </c>
      <c r="O1281">
        <v>0.15873015900000001</v>
      </c>
    </row>
    <row r="1282" spans="1:15" x14ac:dyDescent="0.25">
      <c r="A1282" t="s">
        <v>22</v>
      </c>
      <c r="B1282" t="s">
        <v>24</v>
      </c>
      <c r="C1282" s="3" t="str">
        <f>IF($B1282="GW1",VLOOKUP($A1282,Matches!$A:$AC,2,FALSE),IF($B1282="GW2",VLOOKUP($A1282,Matches!$A:$AC,9,FALSE),IF($B1282="GW3",VLOOKUP($A1282,Matches!$A:$AC,16,FALSE))))</f>
        <v>Bournemouth</v>
      </c>
      <c r="D1282" s="6">
        <v>0.21866526720895649</v>
      </c>
      <c r="E1282" s="6">
        <v>0.53639435713136296</v>
      </c>
      <c r="F1282" s="6">
        <v>-0.31772908992240645</v>
      </c>
      <c r="G1282" s="3" t="s">
        <v>0</v>
      </c>
      <c r="H1282" t="e">
        <v>#N/A</v>
      </c>
      <c r="I1282" t="e">
        <v>#N/A</v>
      </c>
      <c r="J1282">
        <v>0.253968254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</row>
    <row r="1283" spans="1:15" x14ac:dyDescent="0.25">
      <c r="A1283" t="s">
        <v>22</v>
      </c>
      <c r="B1283" t="s">
        <v>24</v>
      </c>
      <c r="C1283" s="3" t="str">
        <f>IF($B1283="GW1",VLOOKUP($A1283,Matches!$A:$AC,2,FALSE),IF($B1283="GW2",VLOOKUP($A1283,Matches!$A:$AC,9,FALSE),IF($B1283="GW3",VLOOKUP($A1283,Matches!$A:$AC,16,FALSE))))</f>
        <v>Bournemouth</v>
      </c>
      <c r="D1283" s="6">
        <v>0.21866526720895649</v>
      </c>
      <c r="E1283" s="6">
        <v>0.53639435713136296</v>
      </c>
      <c r="F1283" s="6">
        <v>-0.31772908992240645</v>
      </c>
      <c r="G1283" s="3" t="s">
        <v>0</v>
      </c>
      <c r="H1283" t="e">
        <v>#N/A</v>
      </c>
      <c r="I1283" t="e">
        <v>#N/A</v>
      </c>
      <c r="J1283">
        <v>0.253968254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</row>
    <row r="1284" spans="1:15" x14ac:dyDescent="0.25">
      <c r="A1284" t="s">
        <v>22</v>
      </c>
      <c r="B1284" t="s">
        <v>24</v>
      </c>
      <c r="C1284" s="3" t="str">
        <f>IF($B1284="GW1",VLOOKUP($A1284,Matches!$A:$AC,2,FALSE),IF($B1284="GW2",VLOOKUP($A1284,Matches!$A:$AC,9,FALSE),IF($B1284="GW3",VLOOKUP($A1284,Matches!$A:$AC,16,FALSE))))</f>
        <v>Bournemouth</v>
      </c>
      <c r="D1284" s="6">
        <v>0.21866526720895649</v>
      </c>
      <c r="E1284" s="6">
        <v>0.53639435713136296</v>
      </c>
      <c r="F1284" s="6">
        <v>-0.31772908992240645</v>
      </c>
      <c r="G1284" s="3" t="s">
        <v>0</v>
      </c>
      <c r="H1284">
        <v>5.6022409000000002E-2</v>
      </c>
      <c r="I1284">
        <v>5.0125312999999998E-2</v>
      </c>
      <c r="J1284">
        <v>0.307219662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</row>
    <row r="1285" spans="1:15" x14ac:dyDescent="0.25">
      <c r="A1285" t="s">
        <v>22</v>
      </c>
      <c r="B1285" t="s">
        <v>24</v>
      </c>
      <c r="C1285" s="3" t="str">
        <f>IF($B1285="GW1",VLOOKUP($A1285,Matches!$A:$AC,2,FALSE),IF($B1285="GW2",VLOOKUP($A1285,Matches!$A:$AC,9,FALSE),IF($B1285="GW3",VLOOKUP($A1285,Matches!$A:$AC,16,FALSE))))</f>
        <v>Bournemouth</v>
      </c>
      <c r="D1285" s="6">
        <v>0.21866526720895649</v>
      </c>
      <c r="E1285" s="6">
        <v>0.53639435713136296</v>
      </c>
      <c r="F1285" s="6">
        <v>-0.31772908992240645</v>
      </c>
      <c r="G1285" s="3" t="s">
        <v>0</v>
      </c>
      <c r="H1285">
        <v>6.3492063000000001E-2</v>
      </c>
      <c r="I1285">
        <v>7.3260072999999995E-2</v>
      </c>
      <c r="J1285">
        <v>0.21164021199999999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</row>
    <row r="1286" spans="1:15" x14ac:dyDescent="0.25">
      <c r="A1286" t="s">
        <v>22</v>
      </c>
      <c r="B1286" t="s">
        <v>24</v>
      </c>
      <c r="C1286" s="3" t="str">
        <f>IF($B1286="GW1",VLOOKUP($A1286,Matches!$A:$AC,2,FALSE),IF($B1286="GW2",VLOOKUP($A1286,Matches!$A:$AC,9,FALSE),IF($B1286="GW3",VLOOKUP($A1286,Matches!$A:$AC,16,FALSE))))</f>
        <v>Bournemouth</v>
      </c>
      <c r="D1286" s="6">
        <v>0.21866526720895649</v>
      </c>
      <c r="E1286" s="6">
        <v>0.53639435713136296</v>
      </c>
      <c r="F1286" s="6">
        <v>-0.31772908992240645</v>
      </c>
      <c r="G1286" s="3" t="s">
        <v>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</row>
    <row r="1287" spans="1:15" x14ac:dyDescent="0.25">
      <c r="A1287" t="s">
        <v>22</v>
      </c>
      <c r="B1287" t="s">
        <v>24</v>
      </c>
      <c r="C1287" s="3" t="str">
        <f>IF($B1287="GW1",VLOOKUP($A1287,Matches!$A:$AC,2,FALSE),IF($B1287="GW2",VLOOKUP($A1287,Matches!$A:$AC,9,FALSE),IF($B1287="GW3",VLOOKUP($A1287,Matches!$A:$AC,16,FALSE))))</f>
        <v>Bournemouth</v>
      </c>
      <c r="D1287" s="6">
        <v>0.21866526720895649</v>
      </c>
      <c r="E1287" s="6">
        <v>0.53639435713136296</v>
      </c>
      <c r="F1287" s="6">
        <v>-0.31772908992240645</v>
      </c>
      <c r="G1287" s="3" t="s">
        <v>0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</row>
    <row r="1288" spans="1:15" x14ac:dyDescent="0.25">
      <c r="A1288" t="s">
        <v>22</v>
      </c>
      <c r="B1288" t="s">
        <v>24</v>
      </c>
      <c r="C1288" s="3" t="str">
        <f>IF($B1288="GW1",VLOOKUP($A1288,Matches!$A:$AC,2,FALSE),IF($B1288="GW2",VLOOKUP($A1288,Matches!$A:$AC,9,FALSE),IF($B1288="GW3",VLOOKUP($A1288,Matches!$A:$AC,16,FALSE))))</f>
        <v>Bournemouth</v>
      </c>
      <c r="D1288" s="6">
        <v>0.21866526720895649</v>
      </c>
      <c r="E1288" s="6">
        <v>0.53639435713136296</v>
      </c>
      <c r="F1288" s="6">
        <v>-0.31772908992240645</v>
      </c>
      <c r="G1288" s="3" t="s">
        <v>0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</row>
    <row r="1289" spans="1:15" x14ac:dyDescent="0.25">
      <c r="A1289" t="s">
        <v>22</v>
      </c>
      <c r="B1289" t="s">
        <v>24</v>
      </c>
      <c r="C1289" s="3" t="str">
        <f>IF($B1289="GW1",VLOOKUP($A1289,Matches!$A:$AC,2,FALSE),IF($B1289="GW2",VLOOKUP($A1289,Matches!$A:$AC,9,FALSE),IF($B1289="GW3",VLOOKUP($A1289,Matches!$A:$AC,16,FALSE))))</f>
        <v>Bournemouth</v>
      </c>
      <c r="D1289" s="6">
        <v>0.21866526720895649</v>
      </c>
      <c r="E1289" s="6">
        <v>0.53639435713136296</v>
      </c>
      <c r="F1289" s="6">
        <v>-0.31772908992240645</v>
      </c>
      <c r="G1289" s="3" t="s">
        <v>0</v>
      </c>
      <c r="H1289">
        <v>5.6022409000000002E-2</v>
      </c>
      <c r="I1289">
        <v>3.6630036999999997E-2</v>
      </c>
      <c r="J1289">
        <v>0.253968254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</row>
    <row r="1290" spans="1:15" x14ac:dyDescent="0.25">
      <c r="A1290" t="s">
        <v>22</v>
      </c>
      <c r="B1290" t="s">
        <v>24</v>
      </c>
      <c r="C1290" s="3" t="str">
        <f>IF($B1290="GW1",VLOOKUP($A1290,Matches!$A:$AC,2,FALSE),IF($B1290="GW2",VLOOKUP($A1290,Matches!$A:$AC,9,FALSE),IF($B1290="GW3",VLOOKUP($A1290,Matches!$A:$AC,16,FALSE))))</f>
        <v>Bournemouth</v>
      </c>
      <c r="D1290" s="6">
        <v>0.21866526720895649</v>
      </c>
      <c r="E1290" s="6">
        <v>0.53639435713136296</v>
      </c>
      <c r="F1290" s="6">
        <v>-0.31772908992240645</v>
      </c>
      <c r="G1290" s="3" t="s">
        <v>0</v>
      </c>
      <c r="H1290">
        <v>6.3492063000000001E-2</v>
      </c>
      <c r="I1290">
        <v>5.0125312999999998E-2</v>
      </c>
      <c r="J1290">
        <v>0.21164021199999999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</row>
    <row r="1291" spans="1:15" x14ac:dyDescent="0.25">
      <c r="A1291" t="s">
        <v>22</v>
      </c>
      <c r="B1291" t="s">
        <v>24</v>
      </c>
      <c r="C1291" s="3" t="str">
        <f>IF($B1291="GW1",VLOOKUP($A1291,Matches!$A:$AC,2,FALSE),IF($B1291="GW2",VLOOKUP($A1291,Matches!$A:$AC,9,FALSE),IF($B1291="GW3",VLOOKUP($A1291,Matches!$A:$AC,16,FALSE))))</f>
        <v>Bournemouth</v>
      </c>
      <c r="D1291" s="6">
        <v>0.21866526720895649</v>
      </c>
      <c r="E1291" s="6">
        <v>0.53639435713136296</v>
      </c>
      <c r="F1291" s="6">
        <v>-0.31772908992240645</v>
      </c>
      <c r="G1291" s="3" t="s">
        <v>0</v>
      </c>
      <c r="H1291">
        <v>9.5238094999999995E-2</v>
      </c>
      <c r="I1291">
        <v>5.6022409000000002E-2</v>
      </c>
      <c r="J1291">
        <v>0.41407867500000001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</row>
    <row r="1292" spans="1:15" x14ac:dyDescent="0.25">
      <c r="A1292" t="s">
        <v>22</v>
      </c>
      <c r="B1292" t="s">
        <v>24</v>
      </c>
      <c r="C1292" s="3" t="str">
        <f>IF($B1292="GW1",VLOOKUP($A1292,Matches!$A:$AC,2,FALSE),IF($B1292="GW2",VLOOKUP($A1292,Matches!$A:$AC,9,FALSE),IF($B1292="GW3",VLOOKUP($A1292,Matches!$A:$AC,16,FALSE))))</f>
        <v>Bournemouth</v>
      </c>
      <c r="D1292" s="6">
        <v>0.21866526720895649</v>
      </c>
      <c r="E1292" s="6">
        <v>0.53639435713136296</v>
      </c>
      <c r="F1292" s="6">
        <v>-0.31772908992240645</v>
      </c>
      <c r="G1292" s="3" t="s">
        <v>0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</row>
    <row r="1293" spans="1:15" x14ac:dyDescent="0.25">
      <c r="A1293" t="s">
        <v>22</v>
      </c>
      <c r="B1293" t="s">
        <v>24</v>
      </c>
      <c r="C1293" s="3" t="str">
        <f>IF($B1293="GW1",VLOOKUP($A1293,Matches!$A:$AC,2,FALSE),IF($B1293="GW2",VLOOKUP($A1293,Matches!$A:$AC,9,FALSE),IF($B1293="GW3",VLOOKUP($A1293,Matches!$A:$AC,16,FALSE))))</f>
        <v>Bournemouth</v>
      </c>
      <c r="D1293" s="6">
        <v>0.21866526720895649</v>
      </c>
      <c r="E1293" s="6">
        <v>0.53639435713136296</v>
      </c>
      <c r="F1293" s="6">
        <v>-0.31772908992240645</v>
      </c>
      <c r="G1293" s="3" t="s">
        <v>0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</row>
    <row r="1294" spans="1:15" x14ac:dyDescent="0.25">
      <c r="A1294" t="s">
        <v>22</v>
      </c>
      <c r="B1294" t="s">
        <v>24</v>
      </c>
      <c r="C1294" s="3" t="str">
        <f>IF($B1294="GW1",VLOOKUP($A1294,Matches!$A:$AC,2,FALSE),IF($B1294="GW2",VLOOKUP($A1294,Matches!$A:$AC,9,FALSE),IF($B1294="GW3",VLOOKUP($A1294,Matches!$A:$AC,16,FALSE))))</f>
        <v>Bournemouth</v>
      </c>
      <c r="D1294" s="6">
        <v>0.21866526720895649</v>
      </c>
      <c r="E1294" s="6">
        <v>0.53639435713136296</v>
      </c>
      <c r="F1294" s="6">
        <v>-0.31772908992240645</v>
      </c>
      <c r="G1294" s="3" t="s">
        <v>0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</row>
    <row r="1295" spans="1:15" x14ac:dyDescent="0.25">
      <c r="A1295" t="s">
        <v>22</v>
      </c>
      <c r="B1295" t="s">
        <v>24</v>
      </c>
      <c r="C1295" s="3" t="str">
        <f>IF($B1295="GW1",VLOOKUP($A1295,Matches!$A:$AC,2,FALSE),IF($B1295="GW2",VLOOKUP($A1295,Matches!$A:$AC,9,FALSE),IF($B1295="GW3",VLOOKUP($A1295,Matches!$A:$AC,16,FALSE))))</f>
        <v>Bournemouth</v>
      </c>
      <c r="D1295" s="6">
        <v>0.21866526720895649</v>
      </c>
      <c r="E1295" s="6">
        <v>0.53639435713136296</v>
      </c>
      <c r="F1295" s="6">
        <v>-0.31772908992240645</v>
      </c>
      <c r="G1295" s="3" t="s">
        <v>0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</row>
    <row r="1296" spans="1:15" x14ac:dyDescent="0.25">
      <c r="A1296" t="s">
        <v>22</v>
      </c>
      <c r="B1296" t="s">
        <v>24</v>
      </c>
      <c r="C1296" s="3" t="str">
        <f>IF($B1296="GW1",VLOOKUP($A1296,Matches!$A:$AC,2,FALSE),IF($B1296="GW2",VLOOKUP($A1296,Matches!$A:$AC,9,FALSE),IF($B1296="GW3",VLOOKUP($A1296,Matches!$A:$AC,16,FALSE))))</f>
        <v>Bournemouth</v>
      </c>
      <c r="D1296" s="6">
        <v>0.21866526720895649</v>
      </c>
      <c r="E1296" s="6">
        <v>0.53639435713136296</v>
      </c>
      <c r="F1296" s="6">
        <v>-0.31772908992240645</v>
      </c>
      <c r="G1296" s="3" t="s">
        <v>0</v>
      </c>
      <c r="H1296">
        <v>9.5238094999999995E-2</v>
      </c>
      <c r="I1296">
        <v>5.6022409000000002E-2</v>
      </c>
      <c r="J1296">
        <v>0.38095238100000001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</row>
    <row r="1297" spans="1:15" x14ac:dyDescent="0.25">
      <c r="A1297" t="s">
        <v>22</v>
      </c>
      <c r="B1297" t="s">
        <v>24</v>
      </c>
      <c r="C1297" s="3" t="str">
        <f>IF($B1297="GW1",VLOOKUP($A1297,Matches!$A:$AC,2,FALSE),IF($B1297="GW2",VLOOKUP($A1297,Matches!$A:$AC,9,FALSE),IF($B1297="GW3",VLOOKUP($A1297,Matches!$A:$AC,16,FALSE))))</f>
        <v>Bournemouth</v>
      </c>
      <c r="D1297" s="6">
        <v>0.21866526720895649</v>
      </c>
      <c r="E1297" s="6">
        <v>0.53639435713136296</v>
      </c>
      <c r="F1297" s="6">
        <v>-0.31772908992240645</v>
      </c>
      <c r="G1297" s="3" t="s">
        <v>0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</row>
    <row r="1298" spans="1:15" x14ac:dyDescent="0.25">
      <c r="A1298" t="s">
        <v>22</v>
      </c>
      <c r="B1298" t="s">
        <v>24</v>
      </c>
      <c r="C1298" s="3" t="str">
        <f>IF($B1298="GW1",VLOOKUP($A1298,Matches!$A:$AC,2,FALSE),IF($B1298="GW2",VLOOKUP($A1298,Matches!$A:$AC,9,FALSE),IF($B1298="GW3",VLOOKUP($A1298,Matches!$A:$AC,16,FALSE))))</f>
        <v>Bournemouth</v>
      </c>
      <c r="D1298" s="6">
        <v>0.21866526720895649</v>
      </c>
      <c r="E1298" s="6">
        <v>0.53639435713136296</v>
      </c>
      <c r="F1298" s="6">
        <v>-0.31772908992240645</v>
      </c>
      <c r="G1298" s="3" t="s">
        <v>0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</row>
    <row r="1299" spans="1:15" x14ac:dyDescent="0.25">
      <c r="A1299" t="s">
        <v>22</v>
      </c>
      <c r="B1299" t="s">
        <v>24</v>
      </c>
      <c r="C1299" s="3" t="str">
        <f>IF($B1299="GW1",VLOOKUP($A1299,Matches!$A:$AC,2,FALSE),IF($B1299="GW2",VLOOKUP($A1299,Matches!$A:$AC,9,FALSE),IF($B1299="GW3",VLOOKUP($A1299,Matches!$A:$AC,16,FALSE))))</f>
        <v>Bournemouth</v>
      </c>
      <c r="D1299" s="6">
        <v>0.21866526720895649</v>
      </c>
      <c r="E1299" s="6">
        <v>0.53639435713136296</v>
      </c>
      <c r="F1299" s="6">
        <v>-0.31772908992240645</v>
      </c>
      <c r="G1299" s="3" t="s">
        <v>0</v>
      </c>
      <c r="H1299">
        <v>0.13605442200000001</v>
      </c>
      <c r="I1299">
        <v>5.0125312999999998E-2</v>
      </c>
      <c r="J1299">
        <v>0.36350418000000001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</row>
    <row r="1300" spans="1:15" x14ac:dyDescent="0.25">
      <c r="A1300" t="s">
        <v>22</v>
      </c>
      <c r="B1300" t="s">
        <v>24</v>
      </c>
      <c r="C1300" s="3" t="str">
        <f>IF($B1300="GW1",VLOOKUP($A1300,Matches!$A:$AC,2,FALSE),IF($B1300="GW2",VLOOKUP($A1300,Matches!$A:$AC,9,FALSE),IF($B1300="GW3",VLOOKUP($A1300,Matches!$A:$AC,16,FALSE))))</f>
        <v>Bournemouth</v>
      </c>
      <c r="D1300" s="6">
        <v>0.21866526720895649</v>
      </c>
      <c r="E1300" s="6">
        <v>0.53639435713136296</v>
      </c>
      <c r="F1300" s="6">
        <v>-0.31772908992240645</v>
      </c>
      <c r="G1300" s="3" t="s">
        <v>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</row>
    <row r="1301" spans="1:15" x14ac:dyDescent="0.25">
      <c r="A1301" t="s">
        <v>22</v>
      </c>
      <c r="B1301" t="s">
        <v>24</v>
      </c>
      <c r="C1301" s="3" t="str">
        <f>IF($B1301="GW1",VLOOKUP($A1301,Matches!$A:$AC,2,FALSE),IF($B1301="GW2",VLOOKUP($A1301,Matches!$A:$AC,9,FALSE),IF($B1301="GW3",VLOOKUP($A1301,Matches!$A:$AC,16,FALSE))))</f>
        <v>Bournemouth</v>
      </c>
      <c r="D1301" s="6">
        <v>0.21866526720895649</v>
      </c>
      <c r="E1301" s="6">
        <v>0.53639435713136296</v>
      </c>
      <c r="F1301" s="6">
        <v>-0.31772908992240645</v>
      </c>
      <c r="G1301" s="3" t="s">
        <v>0</v>
      </c>
      <c r="H1301">
        <v>0.23809523799999999</v>
      </c>
      <c r="I1301">
        <v>6.3492063000000001E-2</v>
      </c>
      <c r="J1301">
        <v>0.36350418000000001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</row>
    <row r="1302" spans="1:15" x14ac:dyDescent="0.25">
      <c r="A1302" t="s">
        <v>22</v>
      </c>
      <c r="B1302" t="s">
        <v>24</v>
      </c>
      <c r="C1302" s="3" t="str">
        <f>IF($B1302="GW1",VLOOKUP($A1302,Matches!$A:$AC,2,FALSE),IF($B1302="GW2",VLOOKUP($A1302,Matches!$A:$AC,9,FALSE),IF($B1302="GW3",VLOOKUP($A1302,Matches!$A:$AC,16,FALSE))))</f>
        <v>Bournemouth</v>
      </c>
      <c r="D1302" s="6">
        <v>0.21866526720895649</v>
      </c>
      <c r="E1302" s="6">
        <v>0.53639435713136296</v>
      </c>
      <c r="F1302" s="6">
        <v>-0.31772908992240645</v>
      </c>
      <c r="G1302" s="3" t="s">
        <v>0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</row>
    <row r="1303" spans="1:15" x14ac:dyDescent="0.25">
      <c r="A1303" t="s">
        <v>22</v>
      </c>
      <c r="B1303" t="s">
        <v>24</v>
      </c>
      <c r="C1303" s="3" t="str">
        <f>IF($B1303="GW1",VLOOKUP($A1303,Matches!$A:$AC,2,FALSE),IF($B1303="GW2",VLOOKUP($A1303,Matches!$A:$AC,9,FALSE),IF($B1303="GW3",VLOOKUP($A1303,Matches!$A:$AC,16,FALSE))))</f>
        <v>Bournemouth</v>
      </c>
      <c r="D1303" s="6">
        <v>0.21866526720895649</v>
      </c>
      <c r="E1303" s="6">
        <v>0.53639435713136296</v>
      </c>
      <c r="F1303" s="6">
        <v>-0.31772908992240645</v>
      </c>
      <c r="G1303" s="3" t="s">
        <v>0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</row>
    <row r="1304" spans="1:15" x14ac:dyDescent="0.25">
      <c r="A1304" t="s">
        <v>22</v>
      </c>
      <c r="B1304" t="s">
        <v>24</v>
      </c>
      <c r="C1304" s="3" t="str">
        <f>IF($B1304="GW1",VLOOKUP($A1304,Matches!$A:$AC,2,FALSE),IF($B1304="GW2",VLOOKUP($A1304,Matches!$A:$AC,9,FALSE),IF($B1304="GW3",VLOOKUP($A1304,Matches!$A:$AC,16,FALSE))))</f>
        <v>Bournemouth</v>
      </c>
      <c r="D1304" s="6">
        <v>0.21866526720895649</v>
      </c>
      <c r="E1304" s="6">
        <v>0.53639435713136296</v>
      </c>
      <c r="F1304" s="6">
        <v>-0.31772908992240645</v>
      </c>
      <c r="G1304" s="3" t="s">
        <v>0</v>
      </c>
      <c r="H1304">
        <v>0.15873015900000001</v>
      </c>
      <c r="I1304">
        <v>0.105820106</v>
      </c>
      <c r="J1304">
        <v>0.21164021199999999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</row>
    <row r="1305" spans="1:15" x14ac:dyDescent="0.25">
      <c r="A1305" t="s">
        <v>22</v>
      </c>
      <c r="B1305" t="s">
        <v>24</v>
      </c>
      <c r="C1305" s="3" t="str">
        <f>IF($B1305="GW1",VLOOKUP($A1305,Matches!$A:$AC,2,FALSE),IF($B1305="GW2",VLOOKUP($A1305,Matches!$A:$AC,9,FALSE),IF($B1305="GW3",VLOOKUP($A1305,Matches!$A:$AC,16,FALSE))))</f>
        <v>Bournemouth</v>
      </c>
      <c r="D1305" s="6">
        <v>0.21866526720895649</v>
      </c>
      <c r="E1305" s="6">
        <v>0.53639435713136296</v>
      </c>
      <c r="F1305" s="6">
        <v>-0.31772908992240645</v>
      </c>
      <c r="G1305" s="3" t="s">
        <v>0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</row>
    <row r="1306" spans="1:15" x14ac:dyDescent="0.25">
      <c r="A1306" t="s">
        <v>22</v>
      </c>
      <c r="B1306" t="s">
        <v>24</v>
      </c>
      <c r="C1306" s="3" t="str">
        <f>IF($B1306="GW1",VLOOKUP($A1306,Matches!$A:$AC,2,FALSE),IF($B1306="GW2",VLOOKUP($A1306,Matches!$A:$AC,9,FALSE),IF($B1306="GW3",VLOOKUP($A1306,Matches!$A:$AC,16,FALSE))))</f>
        <v>Bournemouth</v>
      </c>
      <c r="D1306" s="6">
        <v>0.21866526720895649</v>
      </c>
      <c r="E1306" s="6">
        <v>0.53639435713136296</v>
      </c>
      <c r="F1306" s="6">
        <v>-0.31772908992240645</v>
      </c>
      <c r="G1306" s="3" t="s">
        <v>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</row>
    <row r="1307" spans="1:15" x14ac:dyDescent="0.25">
      <c r="A1307" t="s">
        <v>22</v>
      </c>
      <c r="B1307" t="s">
        <v>24</v>
      </c>
      <c r="C1307" s="3" t="str">
        <f>IF($B1307="GW1",VLOOKUP($A1307,Matches!$A:$AC,2,FALSE),IF($B1307="GW2",VLOOKUP($A1307,Matches!$A:$AC,9,FALSE),IF($B1307="GW3",VLOOKUP($A1307,Matches!$A:$AC,16,FALSE))))</f>
        <v>Bournemouth</v>
      </c>
      <c r="D1307" s="6">
        <v>0.21866526720895649</v>
      </c>
      <c r="E1307" s="6">
        <v>0.53639435713136296</v>
      </c>
      <c r="F1307" s="6">
        <v>-0.31772908992240645</v>
      </c>
      <c r="G1307" s="3" t="s">
        <v>0</v>
      </c>
      <c r="H1307">
        <v>0.253968254</v>
      </c>
      <c r="I1307">
        <v>9.5238094999999995E-2</v>
      </c>
      <c r="J1307">
        <v>0.13605442200000001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</row>
    <row r="1308" spans="1:15" x14ac:dyDescent="0.25">
      <c r="A1308" t="s">
        <v>22</v>
      </c>
      <c r="B1308" t="s">
        <v>24</v>
      </c>
      <c r="C1308" s="3" t="str">
        <f>IF($B1308="GW1",VLOOKUP($A1308,Matches!$A:$AC,2,FALSE),IF($B1308="GW2",VLOOKUP($A1308,Matches!$A:$AC,9,FALSE),IF($B1308="GW3",VLOOKUP($A1308,Matches!$A:$AC,16,FALSE))))</f>
        <v>Bournemouth</v>
      </c>
      <c r="D1308" s="6">
        <v>0.21866526720895649</v>
      </c>
      <c r="E1308" s="6">
        <v>0.53639435713136296</v>
      </c>
      <c r="F1308" s="6">
        <v>-0.31772908992240645</v>
      </c>
      <c r="G1308" s="3" t="s">
        <v>0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</row>
    <row r="1309" spans="1:15" x14ac:dyDescent="0.25">
      <c r="A1309" t="s">
        <v>22</v>
      </c>
      <c r="B1309" t="s">
        <v>24</v>
      </c>
      <c r="C1309" s="3" t="str">
        <f>IF($B1309="GW1",VLOOKUP($A1309,Matches!$A:$AC,2,FALSE),IF($B1309="GW2",VLOOKUP($A1309,Matches!$A:$AC,9,FALSE),IF($B1309="GW3",VLOOKUP($A1309,Matches!$A:$AC,16,FALSE))))</f>
        <v>Bournemouth</v>
      </c>
      <c r="D1309" s="6">
        <v>0.21866526720895649</v>
      </c>
      <c r="E1309" s="6">
        <v>0.53639435713136296</v>
      </c>
      <c r="F1309" s="6">
        <v>-0.31772908992240645</v>
      </c>
      <c r="G1309" s="3" t="s">
        <v>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</row>
    <row r="1310" spans="1:15" x14ac:dyDescent="0.25">
      <c r="A1310" t="s">
        <v>22</v>
      </c>
      <c r="B1310" t="s">
        <v>24</v>
      </c>
      <c r="C1310" s="3" t="str">
        <f>IF($B1310="GW1",VLOOKUP($A1310,Matches!$A:$AC,2,FALSE),IF($B1310="GW2",VLOOKUP($A1310,Matches!$A:$AC,9,FALSE),IF($B1310="GW3",VLOOKUP($A1310,Matches!$A:$AC,16,FALSE))))</f>
        <v>Bournemouth</v>
      </c>
      <c r="D1310" s="6">
        <v>0.21866526720895649</v>
      </c>
      <c r="E1310" s="6">
        <v>0.53639435713136296</v>
      </c>
      <c r="F1310" s="6">
        <v>-0.31772908992240645</v>
      </c>
      <c r="G1310" s="3" t="s">
        <v>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</row>
    <row r="1311" spans="1:15" x14ac:dyDescent="0.25">
      <c r="A1311" t="s">
        <v>22</v>
      </c>
      <c r="B1311" t="s">
        <v>24</v>
      </c>
      <c r="C1311" s="3" t="str">
        <f>IF($B1311="GW1",VLOOKUP($A1311,Matches!$A:$AC,2,FALSE),IF($B1311="GW2",VLOOKUP($A1311,Matches!$A:$AC,9,FALSE),IF($B1311="GW3",VLOOKUP($A1311,Matches!$A:$AC,16,FALSE))))</f>
        <v>Bournemouth</v>
      </c>
      <c r="D1311" s="6">
        <v>0.21866526720895649</v>
      </c>
      <c r="E1311" s="6">
        <v>0.53639435713136296</v>
      </c>
      <c r="F1311" s="6">
        <v>-0.31772908992240645</v>
      </c>
      <c r="G1311" s="3" t="s">
        <v>0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</row>
    <row r="1312" spans="1:15" x14ac:dyDescent="0.25">
      <c r="A1312" t="s">
        <v>22</v>
      </c>
      <c r="B1312" t="s">
        <v>24</v>
      </c>
      <c r="C1312" s="3" t="str">
        <f>IF($B1312="GW1",VLOOKUP($A1312,Matches!$A:$AC,2,FALSE),IF($B1312="GW2",VLOOKUP($A1312,Matches!$A:$AC,9,FALSE),IF($B1312="GW3",VLOOKUP($A1312,Matches!$A:$AC,16,FALSE))))</f>
        <v>Bournemouth</v>
      </c>
      <c r="D1312" s="6">
        <v>0.21866526720895649</v>
      </c>
      <c r="E1312" s="6">
        <v>0.53639435713136296</v>
      </c>
      <c r="F1312" s="6">
        <v>-0.31772908992240645</v>
      </c>
      <c r="G1312" s="3" t="s">
        <v>0</v>
      </c>
      <c r="H1312">
        <v>0.20050125299999999</v>
      </c>
      <c r="I1312">
        <v>0.14652014699999999</v>
      </c>
      <c r="J1312">
        <v>0.307219662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</row>
    <row r="1313" spans="1:15" x14ac:dyDescent="0.25">
      <c r="A1313" t="s">
        <v>22</v>
      </c>
      <c r="B1313" t="s">
        <v>24</v>
      </c>
      <c r="C1313" s="3" t="str">
        <f>IF($B1313="GW1",VLOOKUP($A1313,Matches!$A:$AC,2,FALSE),IF($B1313="GW2",VLOOKUP($A1313,Matches!$A:$AC,9,FALSE),IF($B1313="GW3",VLOOKUP($A1313,Matches!$A:$AC,16,FALSE))))</f>
        <v>Bournemouth</v>
      </c>
      <c r="D1313" s="6">
        <v>0.21866526720895649</v>
      </c>
      <c r="E1313" s="6">
        <v>0.53639435713136296</v>
      </c>
      <c r="F1313" s="6">
        <v>-0.31772908992240645</v>
      </c>
      <c r="G1313" s="3" t="s">
        <v>0</v>
      </c>
      <c r="H1313">
        <v>7.9365079000000005E-2</v>
      </c>
      <c r="I1313">
        <v>0.105820106</v>
      </c>
      <c r="J1313">
        <v>0.19047618999999999</v>
      </c>
      <c r="K1313">
        <v>0.35467980300000002</v>
      </c>
      <c r="L1313">
        <v>0.29039301299999998</v>
      </c>
      <c r="M1313">
        <v>3.7393558E-2</v>
      </c>
      <c r="N1313" t="e">
        <v>#N/A</v>
      </c>
      <c r="O1313" t="e">
        <v>#N/A</v>
      </c>
    </row>
    <row r="1314" spans="1:15" x14ac:dyDescent="0.25">
      <c r="A1314" t="s">
        <v>22</v>
      </c>
      <c r="B1314" t="s">
        <v>24</v>
      </c>
      <c r="C1314" s="3" t="str">
        <f>IF($B1314="GW1",VLOOKUP($A1314,Matches!$A:$AC,2,FALSE),IF($B1314="GW2",VLOOKUP($A1314,Matches!$A:$AC,9,FALSE),IF($B1314="GW3",VLOOKUP($A1314,Matches!$A:$AC,16,FALSE))))</f>
        <v>Bournemouth</v>
      </c>
      <c r="D1314" s="6">
        <v>0.21866526720895649</v>
      </c>
      <c r="E1314" s="6">
        <v>0.53639435713136296</v>
      </c>
      <c r="F1314" s="6">
        <v>-0.31772908992240645</v>
      </c>
      <c r="G1314" s="3" t="s">
        <v>0</v>
      </c>
      <c r="H1314">
        <v>0.15873015900000001</v>
      </c>
      <c r="I1314">
        <v>0.14652014699999999</v>
      </c>
      <c r="J1314">
        <v>0.21164021199999999</v>
      </c>
      <c r="K1314">
        <v>0.375</v>
      </c>
      <c r="L1314">
        <v>0.276595745</v>
      </c>
      <c r="M1314">
        <v>3.3526628000000003E-2</v>
      </c>
      <c r="N1314" t="e">
        <v>#N/A</v>
      </c>
      <c r="O1314" t="e">
        <v>#N/A</v>
      </c>
    </row>
    <row r="1315" spans="1:15" x14ac:dyDescent="0.25">
      <c r="A1315" t="s">
        <v>22</v>
      </c>
      <c r="B1315" t="s">
        <v>24</v>
      </c>
      <c r="C1315" s="3" t="str">
        <f>IF($B1315="GW1",VLOOKUP($A1315,Matches!$A:$AC,2,FALSE),IF($B1315="GW2",VLOOKUP($A1315,Matches!$A:$AC,9,FALSE),IF($B1315="GW3",VLOOKUP($A1315,Matches!$A:$AC,16,FALSE))))</f>
        <v>Bournemouth</v>
      </c>
      <c r="D1315" s="6">
        <v>0.21866526720895649</v>
      </c>
      <c r="E1315" s="6">
        <v>0.53639435713136296</v>
      </c>
      <c r="F1315" s="6">
        <v>-0.31772908992240645</v>
      </c>
      <c r="G1315" s="3" t="s">
        <v>0</v>
      </c>
      <c r="H1315">
        <v>0.21164021199999999</v>
      </c>
      <c r="I1315">
        <v>0.105820106</v>
      </c>
      <c r="J1315">
        <v>0.20050125299999999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</row>
    <row r="1316" spans="1:15" x14ac:dyDescent="0.25">
      <c r="A1316" t="s">
        <v>22</v>
      </c>
      <c r="B1316" t="s">
        <v>24</v>
      </c>
      <c r="C1316" s="3" t="str">
        <f>IF($B1316="GW1",VLOOKUP($A1316,Matches!$A:$AC,2,FALSE),IF($B1316="GW2",VLOOKUP($A1316,Matches!$A:$AC,9,FALSE),IF($B1316="GW3",VLOOKUP($A1316,Matches!$A:$AC,16,FALSE))))</f>
        <v>Bournemouth</v>
      </c>
      <c r="D1316" s="6">
        <v>0.21866526720895649</v>
      </c>
      <c r="E1316" s="6">
        <v>0.53639435713136296</v>
      </c>
      <c r="F1316" s="6">
        <v>-0.31772908992240645</v>
      </c>
      <c r="G1316" s="3" t="s">
        <v>0</v>
      </c>
      <c r="H1316" t="e">
        <v>#N/A</v>
      </c>
      <c r="I1316" t="e">
        <v>#N/A</v>
      </c>
      <c r="J1316">
        <v>0.105820106</v>
      </c>
      <c r="K1316">
        <v>0.29039301299999998</v>
      </c>
      <c r="L1316">
        <v>0.35467980300000002</v>
      </c>
      <c r="M1316">
        <v>5.0949051000000002E-2</v>
      </c>
      <c r="N1316">
        <v>0.42328042300000002</v>
      </c>
      <c r="O1316">
        <v>0</v>
      </c>
    </row>
    <row r="1317" spans="1:15" x14ac:dyDescent="0.25">
      <c r="A1317" t="s">
        <v>22</v>
      </c>
      <c r="B1317" t="s">
        <v>24</v>
      </c>
      <c r="C1317" s="3" t="str">
        <f>IF($B1317="GW1",VLOOKUP($A1317,Matches!$A:$AC,2,FALSE),IF($B1317="GW2",VLOOKUP($A1317,Matches!$A:$AC,9,FALSE),IF($B1317="GW3",VLOOKUP($A1317,Matches!$A:$AC,16,FALSE))))</f>
        <v>Bournemouth</v>
      </c>
      <c r="D1317" s="6">
        <v>0.21866526720895649</v>
      </c>
      <c r="E1317" s="6">
        <v>0.53639435713136296</v>
      </c>
      <c r="F1317" s="6">
        <v>-0.31772908992240645</v>
      </c>
      <c r="G1317" s="3" t="s">
        <v>0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</row>
    <row r="1318" spans="1:15" x14ac:dyDescent="0.25">
      <c r="A1318" t="s">
        <v>22</v>
      </c>
      <c r="B1318" t="s">
        <v>24</v>
      </c>
      <c r="C1318" s="3" t="str">
        <f>IF($B1318="GW1",VLOOKUP($A1318,Matches!$A:$AC,2,FALSE),IF($B1318="GW2",VLOOKUP($A1318,Matches!$A:$AC,9,FALSE),IF($B1318="GW3",VLOOKUP($A1318,Matches!$A:$AC,16,FALSE))))</f>
        <v>Bournemouth</v>
      </c>
      <c r="D1318" s="6">
        <v>0.21866526720895649</v>
      </c>
      <c r="E1318" s="6">
        <v>0.53639435713136296</v>
      </c>
      <c r="F1318" s="6">
        <v>-0.31772908992240645</v>
      </c>
      <c r="G1318" s="3" t="s">
        <v>0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</row>
    <row r="1319" spans="1:15" x14ac:dyDescent="0.25">
      <c r="A1319" t="s">
        <v>3</v>
      </c>
      <c r="B1319" t="s">
        <v>25</v>
      </c>
      <c r="C1319" s="3" t="str">
        <f>IF($B1319="GW1",VLOOKUP($A1319,Matches!$A:$AC,2,FALSE),IF($B1319="GW2",VLOOKUP($A1319,Matches!$A:$AC,9,FALSE),IF($B1319="GW3",VLOOKUP($A1319,Matches!$A:$AC,16,FALSE))))</f>
        <v>Liverpool</v>
      </c>
      <c r="D1319" s="6">
        <v>0.26454326605116268</v>
      </c>
      <c r="E1319" s="6">
        <v>0.4854368932038835</v>
      </c>
      <c r="F1319" s="6">
        <v>-0.22089362715272082</v>
      </c>
      <c r="G1319" s="3" t="s">
        <v>0</v>
      </c>
      <c r="H1319" t="e">
        <v>#N/A</v>
      </c>
      <c r="I1319" t="e">
        <v>#N/A</v>
      </c>
      <c r="J1319">
        <v>0.13605442200000001</v>
      </c>
      <c r="K1319">
        <v>0.21699819200000001</v>
      </c>
      <c r="L1319">
        <v>0.46236559100000002</v>
      </c>
      <c r="M1319">
        <v>8.7136929000000002E-2</v>
      </c>
      <c r="N1319" t="e">
        <v>#N/A</v>
      </c>
      <c r="O1319" t="e">
        <v>#N/A</v>
      </c>
    </row>
    <row r="1320" spans="1:15" x14ac:dyDescent="0.25">
      <c r="A1320" t="s">
        <v>3</v>
      </c>
      <c r="B1320" t="s">
        <v>25</v>
      </c>
      <c r="C1320" s="3" t="str">
        <f>IF($B1320="GW1",VLOOKUP($A1320,Matches!$A:$AC,2,FALSE),IF($B1320="GW2",VLOOKUP($A1320,Matches!$A:$AC,9,FALSE),IF($B1320="GW3",VLOOKUP($A1320,Matches!$A:$AC,16,FALSE))))</f>
        <v>Liverpool</v>
      </c>
      <c r="D1320" s="6">
        <v>0.26454326605116268</v>
      </c>
      <c r="E1320" s="6">
        <v>0.4854368932038835</v>
      </c>
      <c r="F1320" s="6">
        <v>-0.22089362715272082</v>
      </c>
      <c r="G1320" s="3" t="s">
        <v>0</v>
      </c>
      <c r="H1320" t="e">
        <v>#N/A</v>
      </c>
      <c r="I1320" t="e">
        <v>#N/A</v>
      </c>
      <c r="J1320">
        <v>0.13605442200000001</v>
      </c>
      <c r="K1320">
        <v>0.21699819200000001</v>
      </c>
      <c r="L1320">
        <v>0.46236559100000002</v>
      </c>
      <c r="M1320">
        <v>8.7136929000000002E-2</v>
      </c>
      <c r="N1320" t="e">
        <v>#N/A</v>
      </c>
      <c r="O1320" t="e">
        <v>#N/A</v>
      </c>
    </row>
    <row r="1321" spans="1:15" x14ac:dyDescent="0.25">
      <c r="A1321" t="s">
        <v>3</v>
      </c>
      <c r="B1321" t="s">
        <v>25</v>
      </c>
      <c r="C1321" s="3" t="str">
        <f>IF($B1321="GW1",VLOOKUP($A1321,Matches!$A:$AC,2,FALSE),IF($B1321="GW2",VLOOKUP($A1321,Matches!$A:$AC,9,FALSE),IF($B1321="GW3",VLOOKUP($A1321,Matches!$A:$AC,16,FALSE))))</f>
        <v>Liverpool</v>
      </c>
      <c r="D1321" s="6">
        <v>0.26454326605116268</v>
      </c>
      <c r="E1321" s="6">
        <v>0.4854368932038835</v>
      </c>
      <c r="F1321" s="6">
        <v>-0.22089362715272082</v>
      </c>
      <c r="G1321" s="3" t="s">
        <v>0</v>
      </c>
      <c r="H1321" t="e">
        <v>#N/A</v>
      </c>
      <c r="I1321" t="e">
        <v>#N/A</v>
      </c>
      <c r="J1321" t="e">
        <v>#N/A</v>
      </c>
      <c r="K1321">
        <v>0.21699819200000001</v>
      </c>
      <c r="L1321">
        <v>0.46236559100000002</v>
      </c>
      <c r="M1321">
        <v>8.7136929000000002E-2</v>
      </c>
      <c r="N1321" t="e">
        <v>#N/A</v>
      </c>
      <c r="O1321" t="e">
        <v>#N/A</v>
      </c>
    </row>
    <row r="1322" spans="1:15" x14ac:dyDescent="0.25">
      <c r="A1322" t="s">
        <v>3</v>
      </c>
      <c r="B1322" t="s">
        <v>25</v>
      </c>
      <c r="C1322" s="3" t="str">
        <f>IF($B1322="GW1",VLOOKUP($A1322,Matches!$A:$AC,2,FALSE),IF($B1322="GW2",VLOOKUP($A1322,Matches!$A:$AC,9,FALSE),IF($B1322="GW3",VLOOKUP($A1322,Matches!$A:$AC,16,FALSE))))</f>
        <v>Liverpool</v>
      </c>
      <c r="D1322" s="6">
        <v>0.26454326605116268</v>
      </c>
      <c r="E1322" s="6">
        <v>0.4854368932038835</v>
      </c>
      <c r="F1322" s="6">
        <v>-0.22089362715272082</v>
      </c>
      <c r="G1322" s="3" t="s">
        <v>0</v>
      </c>
      <c r="H1322" t="e">
        <v>#N/A</v>
      </c>
      <c r="I1322" t="e">
        <v>#N/A</v>
      </c>
      <c r="J1322">
        <v>0.13605442200000001</v>
      </c>
      <c r="K1322">
        <v>0.21699819200000001</v>
      </c>
      <c r="L1322">
        <v>0.46236559100000002</v>
      </c>
      <c r="M1322">
        <v>8.7136929000000002E-2</v>
      </c>
      <c r="N1322" t="e">
        <v>#N/A</v>
      </c>
      <c r="O1322" t="e">
        <v>#N/A</v>
      </c>
    </row>
    <row r="1323" spans="1:15" x14ac:dyDescent="0.25">
      <c r="A1323" t="s">
        <v>3</v>
      </c>
      <c r="B1323" t="s">
        <v>25</v>
      </c>
      <c r="C1323" s="3" t="str">
        <f>IF($B1323="GW1",VLOOKUP($A1323,Matches!$A:$AC,2,FALSE),IF($B1323="GW2",VLOOKUP($A1323,Matches!$A:$AC,9,FALSE),IF($B1323="GW3",VLOOKUP($A1323,Matches!$A:$AC,16,FALSE))))</f>
        <v>Liverpool</v>
      </c>
      <c r="D1323" s="6">
        <v>0.26454326605116268</v>
      </c>
      <c r="E1323" s="6">
        <v>0.4854368932038835</v>
      </c>
      <c r="F1323" s="6">
        <v>-0.22089362715272082</v>
      </c>
      <c r="G1323" s="3" t="s">
        <v>0</v>
      </c>
      <c r="H1323">
        <v>0.112044818</v>
      </c>
      <c r="I1323">
        <v>3.2840722000000003E-2</v>
      </c>
      <c r="J1323">
        <v>0.13605442200000001</v>
      </c>
      <c r="K1323">
        <v>0.21699819200000001</v>
      </c>
      <c r="L1323">
        <v>0.46236559100000002</v>
      </c>
      <c r="M1323">
        <v>8.7136929000000002E-2</v>
      </c>
      <c r="N1323" t="e">
        <v>#N/A</v>
      </c>
      <c r="O1323" t="e">
        <v>#N/A</v>
      </c>
    </row>
    <row r="1324" spans="1:15" x14ac:dyDescent="0.25">
      <c r="A1324" t="s">
        <v>3</v>
      </c>
      <c r="B1324" t="s">
        <v>25</v>
      </c>
      <c r="C1324" s="3" t="str">
        <f>IF($B1324="GW1",VLOOKUP($A1324,Matches!$A:$AC,2,FALSE),IF($B1324="GW2",VLOOKUP($A1324,Matches!$A:$AC,9,FALSE),IF($B1324="GW3",VLOOKUP($A1324,Matches!$A:$AC,16,FALSE))))</f>
        <v>Liverpool</v>
      </c>
      <c r="D1324" s="6">
        <v>0.26454326605116268</v>
      </c>
      <c r="E1324" s="6">
        <v>0.4854368932038835</v>
      </c>
      <c r="F1324" s="6">
        <v>-0.22089362715272082</v>
      </c>
      <c r="G1324" s="3" t="s">
        <v>0</v>
      </c>
      <c r="H1324">
        <v>5.0125312999999998E-2</v>
      </c>
      <c r="I1324">
        <v>2.8011204000000001E-2</v>
      </c>
      <c r="J1324">
        <v>0.112044818</v>
      </c>
      <c r="K1324">
        <v>0.21699819200000001</v>
      </c>
      <c r="L1324">
        <v>0.46236559100000002</v>
      </c>
      <c r="M1324">
        <v>8.7136929000000002E-2</v>
      </c>
      <c r="N1324" t="e">
        <v>#N/A</v>
      </c>
      <c r="O1324" t="e">
        <v>#N/A</v>
      </c>
    </row>
    <row r="1325" spans="1:15" x14ac:dyDescent="0.25">
      <c r="A1325" t="s">
        <v>3</v>
      </c>
      <c r="B1325" t="s">
        <v>25</v>
      </c>
      <c r="C1325" s="3" t="str">
        <f>IF($B1325="GW1",VLOOKUP($A1325,Matches!$A:$AC,2,FALSE),IF($B1325="GW2",VLOOKUP($A1325,Matches!$A:$AC,9,FALSE),IF($B1325="GW3",VLOOKUP($A1325,Matches!$A:$AC,16,FALSE))))</f>
        <v>Liverpool</v>
      </c>
      <c r="D1325" s="6">
        <v>0.26454326605116268</v>
      </c>
      <c r="E1325" s="6">
        <v>0.4854368932038835</v>
      </c>
      <c r="F1325" s="6">
        <v>-0.22089362715272082</v>
      </c>
      <c r="G1325" s="3" t="s">
        <v>0</v>
      </c>
      <c r="H1325">
        <v>6.3492063000000001E-2</v>
      </c>
      <c r="I1325">
        <v>7.3260072999999995E-2</v>
      </c>
      <c r="J1325">
        <v>0.173160173</v>
      </c>
      <c r="K1325">
        <v>0.21699819200000001</v>
      </c>
      <c r="L1325">
        <v>0.46236559100000002</v>
      </c>
      <c r="M1325">
        <v>8.7136929000000002E-2</v>
      </c>
      <c r="N1325" t="e">
        <v>#N/A</v>
      </c>
      <c r="O1325" t="e">
        <v>#N/A</v>
      </c>
    </row>
    <row r="1326" spans="1:15" x14ac:dyDescent="0.25">
      <c r="A1326" t="s">
        <v>3</v>
      </c>
      <c r="B1326" t="s">
        <v>25</v>
      </c>
      <c r="C1326" s="3" t="str">
        <f>IF($B1326="GW1",VLOOKUP($A1326,Matches!$A:$AC,2,FALSE),IF($B1326="GW2",VLOOKUP($A1326,Matches!$A:$AC,9,FALSE),IF($B1326="GW3",VLOOKUP($A1326,Matches!$A:$AC,16,FALSE))))</f>
        <v>Liverpool</v>
      </c>
      <c r="D1326" s="6">
        <v>0.26454326605116268</v>
      </c>
      <c r="E1326" s="6">
        <v>0.4854368932038835</v>
      </c>
      <c r="F1326" s="6">
        <v>-0.22089362715272082</v>
      </c>
      <c r="G1326" s="3" t="s">
        <v>0</v>
      </c>
      <c r="H1326" t="e">
        <v>#N/A</v>
      </c>
      <c r="I1326" t="e">
        <v>#N/A</v>
      </c>
      <c r="J1326" t="e">
        <v>#N/A</v>
      </c>
      <c r="K1326">
        <v>0.21699819200000001</v>
      </c>
      <c r="L1326">
        <v>0.46236559100000002</v>
      </c>
      <c r="M1326">
        <v>8.7136929000000002E-2</v>
      </c>
      <c r="N1326" t="e">
        <v>#N/A</v>
      </c>
      <c r="O1326" t="e">
        <v>#N/A</v>
      </c>
    </row>
    <row r="1327" spans="1:15" x14ac:dyDescent="0.25">
      <c r="A1327" t="s">
        <v>3</v>
      </c>
      <c r="B1327" t="s">
        <v>25</v>
      </c>
      <c r="C1327" s="3" t="str">
        <f>IF($B1327="GW1",VLOOKUP($A1327,Matches!$A:$AC,2,FALSE),IF($B1327="GW2",VLOOKUP($A1327,Matches!$A:$AC,9,FALSE),IF($B1327="GW3",VLOOKUP($A1327,Matches!$A:$AC,16,FALSE))))</f>
        <v>Liverpool</v>
      </c>
      <c r="D1327" s="6">
        <v>0.26454326605116268</v>
      </c>
      <c r="E1327" s="6">
        <v>0.4854368932038835</v>
      </c>
      <c r="F1327" s="6">
        <v>-0.22089362715272082</v>
      </c>
      <c r="G1327" s="3" t="s">
        <v>0</v>
      </c>
      <c r="H1327">
        <v>5.0125312999999998E-2</v>
      </c>
      <c r="I1327">
        <v>5.6022409000000002E-2</v>
      </c>
      <c r="J1327">
        <v>0.13605442200000001</v>
      </c>
      <c r="K1327">
        <v>0.21699819200000001</v>
      </c>
      <c r="L1327">
        <v>0.46236559100000002</v>
      </c>
      <c r="M1327">
        <v>8.7136929000000002E-2</v>
      </c>
      <c r="N1327" t="e">
        <v>#N/A</v>
      </c>
      <c r="O1327" t="e">
        <v>#N/A</v>
      </c>
    </row>
    <row r="1328" spans="1:15" x14ac:dyDescent="0.25">
      <c r="A1328" t="s">
        <v>3</v>
      </c>
      <c r="B1328" t="s">
        <v>25</v>
      </c>
      <c r="C1328" s="3" t="str">
        <f>IF($B1328="GW1",VLOOKUP($A1328,Matches!$A:$AC,2,FALSE),IF($B1328="GW2",VLOOKUP($A1328,Matches!$A:$AC,9,FALSE),IF($B1328="GW3",VLOOKUP($A1328,Matches!$A:$AC,16,FALSE))))</f>
        <v>Liverpool</v>
      </c>
      <c r="D1328" s="6">
        <v>0.26454326605116268</v>
      </c>
      <c r="E1328" s="6">
        <v>0.4854368932038835</v>
      </c>
      <c r="F1328" s="6">
        <v>-0.22089362715272082</v>
      </c>
      <c r="G1328" s="3" t="s">
        <v>0</v>
      </c>
      <c r="H1328">
        <v>7.3260072999999995E-2</v>
      </c>
      <c r="I1328">
        <v>5.0125312999999998E-2</v>
      </c>
      <c r="J1328">
        <v>0.173160173</v>
      </c>
      <c r="K1328">
        <v>0.21699819200000001</v>
      </c>
      <c r="L1328">
        <v>0.46236559100000002</v>
      </c>
      <c r="M1328">
        <v>8.7136929000000002E-2</v>
      </c>
      <c r="N1328" t="e">
        <v>#N/A</v>
      </c>
      <c r="O1328" t="e">
        <v>#N/A</v>
      </c>
    </row>
    <row r="1329" spans="1:15" x14ac:dyDescent="0.25">
      <c r="A1329" t="s">
        <v>3</v>
      </c>
      <c r="B1329" t="s">
        <v>25</v>
      </c>
      <c r="C1329" s="3" t="str">
        <f>IF($B1329="GW1",VLOOKUP($A1329,Matches!$A:$AC,2,FALSE),IF($B1329="GW2",VLOOKUP($A1329,Matches!$A:$AC,9,FALSE),IF($B1329="GW3",VLOOKUP($A1329,Matches!$A:$AC,16,FALSE))))</f>
        <v>Liverpool</v>
      </c>
      <c r="D1329" s="6">
        <v>0.26454326605116268</v>
      </c>
      <c r="E1329" s="6">
        <v>0.4854368932038835</v>
      </c>
      <c r="F1329" s="6">
        <v>-0.22089362715272082</v>
      </c>
      <c r="G1329" s="3" t="s">
        <v>0</v>
      </c>
      <c r="H1329">
        <v>5.0125312999999998E-2</v>
      </c>
      <c r="I1329">
        <v>6.3492063000000001E-2</v>
      </c>
      <c r="J1329">
        <v>0.14652014699999999</v>
      </c>
      <c r="K1329">
        <v>0.21699819200000001</v>
      </c>
      <c r="L1329">
        <v>0.46236559100000002</v>
      </c>
      <c r="M1329">
        <v>8.7136929000000002E-2</v>
      </c>
      <c r="N1329" t="e">
        <v>#N/A</v>
      </c>
      <c r="O1329" t="e">
        <v>#N/A</v>
      </c>
    </row>
    <row r="1330" spans="1:15" x14ac:dyDescent="0.25">
      <c r="A1330" t="s">
        <v>3</v>
      </c>
      <c r="B1330" t="s">
        <v>25</v>
      </c>
      <c r="C1330" s="3" t="str">
        <f>IF($B1330="GW1",VLOOKUP($A1330,Matches!$A:$AC,2,FALSE),IF($B1330="GW2",VLOOKUP($A1330,Matches!$A:$AC,9,FALSE),IF($B1330="GW3",VLOOKUP($A1330,Matches!$A:$AC,16,FALSE))))</f>
        <v>Liverpool</v>
      </c>
      <c r="D1330" s="6">
        <v>0.26454326605116268</v>
      </c>
      <c r="E1330" s="6">
        <v>0.4854368932038835</v>
      </c>
      <c r="F1330" s="6">
        <v>-0.22089362715272082</v>
      </c>
      <c r="G1330" s="3" t="s">
        <v>0</v>
      </c>
      <c r="H1330">
        <v>8.6580087E-2</v>
      </c>
      <c r="I1330">
        <v>6.3492063000000001E-2</v>
      </c>
      <c r="J1330">
        <v>0.112044818</v>
      </c>
      <c r="K1330">
        <v>0.21699819200000001</v>
      </c>
      <c r="L1330">
        <v>0.46236559100000002</v>
      </c>
      <c r="M1330">
        <v>8.7136929000000002E-2</v>
      </c>
      <c r="N1330" t="e">
        <v>#N/A</v>
      </c>
      <c r="O1330" t="e">
        <v>#N/A</v>
      </c>
    </row>
    <row r="1331" spans="1:15" x14ac:dyDescent="0.25">
      <c r="A1331" t="s">
        <v>3</v>
      </c>
      <c r="B1331" t="s">
        <v>25</v>
      </c>
      <c r="C1331" s="3" t="str">
        <f>IF($B1331="GW1",VLOOKUP($A1331,Matches!$A:$AC,2,FALSE),IF($B1331="GW2",VLOOKUP($A1331,Matches!$A:$AC,9,FALSE),IF($B1331="GW3",VLOOKUP($A1331,Matches!$A:$AC,16,FALSE))))</f>
        <v>Liverpool</v>
      </c>
      <c r="D1331" s="6">
        <v>0.26454326605116268</v>
      </c>
      <c r="E1331" s="6">
        <v>0.4854368932038835</v>
      </c>
      <c r="F1331" s="6">
        <v>-0.22089362715272082</v>
      </c>
      <c r="G1331" s="3" t="s">
        <v>0</v>
      </c>
      <c r="H1331" t="e">
        <v>#N/A</v>
      </c>
      <c r="I1331" t="e">
        <v>#N/A</v>
      </c>
      <c r="J1331" t="e">
        <v>#N/A</v>
      </c>
      <c r="K1331">
        <v>0.21699819200000001</v>
      </c>
      <c r="L1331">
        <v>0.46236559100000002</v>
      </c>
      <c r="M1331">
        <v>8.7136929000000002E-2</v>
      </c>
      <c r="N1331" t="e">
        <v>#N/A</v>
      </c>
      <c r="O1331" t="e">
        <v>#N/A</v>
      </c>
    </row>
    <row r="1332" spans="1:15" x14ac:dyDescent="0.25">
      <c r="A1332" t="s">
        <v>3</v>
      </c>
      <c r="B1332" t="s">
        <v>25</v>
      </c>
      <c r="C1332" s="3" t="str">
        <f>IF($B1332="GW1",VLOOKUP($A1332,Matches!$A:$AC,2,FALSE),IF($B1332="GW2",VLOOKUP($A1332,Matches!$A:$AC,9,FALSE),IF($B1332="GW3",VLOOKUP($A1332,Matches!$A:$AC,16,FALSE))))</f>
        <v>Liverpool</v>
      </c>
      <c r="D1332" s="6">
        <v>0.26454326605116268</v>
      </c>
      <c r="E1332" s="6">
        <v>0.4854368932038835</v>
      </c>
      <c r="F1332" s="6">
        <v>-0.22089362715272082</v>
      </c>
      <c r="G1332" s="3" t="s">
        <v>0</v>
      </c>
      <c r="H1332" t="e">
        <v>#N/A</v>
      </c>
      <c r="I1332" t="e">
        <v>#N/A</v>
      </c>
      <c r="J1332" t="e">
        <v>#N/A</v>
      </c>
      <c r="K1332">
        <v>0.21699819200000001</v>
      </c>
      <c r="L1332">
        <v>0.46236559100000002</v>
      </c>
      <c r="M1332">
        <v>8.7136929000000002E-2</v>
      </c>
      <c r="N1332" t="e">
        <v>#N/A</v>
      </c>
      <c r="O1332" t="e">
        <v>#N/A</v>
      </c>
    </row>
    <row r="1333" spans="1:15" x14ac:dyDescent="0.25">
      <c r="A1333" t="s">
        <v>3</v>
      </c>
      <c r="B1333" t="s">
        <v>25</v>
      </c>
      <c r="C1333" s="3" t="str">
        <f>IF($B1333="GW1",VLOOKUP($A1333,Matches!$A:$AC,2,FALSE),IF($B1333="GW2",VLOOKUP($A1333,Matches!$A:$AC,9,FALSE),IF($B1333="GW3",VLOOKUP($A1333,Matches!$A:$AC,16,FALSE))))</f>
        <v>Liverpool</v>
      </c>
      <c r="D1333" s="6">
        <v>0.26454326605116268</v>
      </c>
      <c r="E1333" s="6">
        <v>0.4854368932038835</v>
      </c>
      <c r="F1333" s="6">
        <v>-0.22089362715272082</v>
      </c>
      <c r="G1333" s="3" t="s">
        <v>0</v>
      </c>
      <c r="H1333" t="e">
        <v>#N/A</v>
      </c>
      <c r="I1333" t="e">
        <v>#N/A</v>
      </c>
      <c r="J1333" t="e">
        <v>#N/A</v>
      </c>
      <c r="K1333">
        <v>0.21699819200000001</v>
      </c>
      <c r="L1333">
        <v>0.46236559100000002</v>
      </c>
      <c r="M1333">
        <v>8.7136929000000002E-2</v>
      </c>
      <c r="N1333" t="e">
        <v>#N/A</v>
      </c>
      <c r="O1333" t="e">
        <v>#N/A</v>
      </c>
    </row>
    <row r="1334" spans="1:15" x14ac:dyDescent="0.25">
      <c r="A1334" t="s">
        <v>3</v>
      </c>
      <c r="B1334" t="s">
        <v>25</v>
      </c>
      <c r="C1334" s="3" t="str">
        <f>IF($B1334="GW1",VLOOKUP($A1334,Matches!$A:$AC,2,FALSE),IF($B1334="GW2",VLOOKUP($A1334,Matches!$A:$AC,9,FALSE),IF($B1334="GW3",VLOOKUP($A1334,Matches!$A:$AC,16,FALSE))))</f>
        <v>Liverpool</v>
      </c>
      <c r="D1334" s="6">
        <v>0.26454326605116268</v>
      </c>
      <c r="E1334" s="6">
        <v>0.4854368932038835</v>
      </c>
      <c r="F1334" s="6">
        <v>-0.22089362715272082</v>
      </c>
      <c r="G1334" s="3" t="s">
        <v>0</v>
      </c>
      <c r="H1334">
        <v>0.26455026500000001</v>
      </c>
      <c r="I1334">
        <v>0.19047618999999999</v>
      </c>
      <c r="J1334">
        <v>0.11904761899999999</v>
      </c>
      <c r="K1334">
        <v>0.21699819200000001</v>
      </c>
      <c r="L1334">
        <v>0.46236559100000002</v>
      </c>
      <c r="M1334">
        <v>8.7136929000000002E-2</v>
      </c>
      <c r="N1334" t="e">
        <v>#N/A</v>
      </c>
      <c r="O1334" t="e">
        <v>#N/A</v>
      </c>
    </row>
    <row r="1335" spans="1:15" x14ac:dyDescent="0.25">
      <c r="A1335" t="s">
        <v>3</v>
      </c>
      <c r="B1335" t="s">
        <v>25</v>
      </c>
      <c r="C1335" s="3" t="str">
        <f>IF($B1335="GW1",VLOOKUP($A1335,Matches!$A:$AC,2,FALSE),IF($B1335="GW2",VLOOKUP($A1335,Matches!$A:$AC,9,FALSE),IF($B1335="GW3",VLOOKUP($A1335,Matches!$A:$AC,16,FALSE))))</f>
        <v>Liverpool</v>
      </c>
      <c r="D1335" s="6">
        <v>0.26454326605116268</v>
      </c>
      <c r="E1335" s="6">
        <v>0.4854368932038835</v>
      </c>
      <c r="F1335" s="6">
        <v>-0.22089362715272082</v>
      </c>
      <c r="G1335" s="3" t="s">
        <v>0</v>
      </c>
      <c r="H1335">
        <v>0.20050125299999999</v>
      </c>
      <c r="I1335">
        <v>0.14652014699999999</v>
      </c>
      <c r="J1335">
        <v>0.10025062699999999</v>
      </c>
      <c r="K1335">
        <v>0.21699819200000001</v>
      </c>
      <c r="L1335">
        <v>0.46236559100000002</v>
      </c>
      <c r="M1335">
        <v>8.7136929000000002E-2</v>
      </c>
      <c r="N1335" t="e">
        <v>#N/A</v>
      </c>
      <c r="O1335" t="e">
        <v>#N/A</v>
      </c>
    </row>
    <row r="1336" spans="1:15" x14ac:dyDescent="0.25">
      <c r="A1336" t="s">
        <v>3</v>
      </c>
      <c r="B1336" t="s">
        <v>25</v>
      </c>
      <c r="C1336" s="3" t="str">
        <f>IF($B1336="GW1",VLOOKUP($A1336,Matches!$A:$AC,2,FALSE),IF($B1336="GW2",VLOOKUP($A1336,Matches!$A:$AC,9,FALSE),IF($B1336="GW3",VLOOKUP($A1336,Matches!$A:$AC,16,FALSE))))</f>
        <v>Liverpool</v>
      </c>
      <c r="D1336" s="6">
        <v>0.26454326605116268</v>
      </c>
      <c r="E1336" s="6">
        <v>0.4854368932038835</v>
      </c>
      <c r="F1336" s="6">
        <v>-0.22089362715272082</v>
      </c>
      <c r="G1336" s="3" t="s">
        <v>0</v>
      </c>
      <c r="H1336">
        <v>0.21994941200000001</v>
      </c>
      <c r="I1336">
        <v>0.11904761899999999</v>
      </c>
      <c r="J1336">
        <v>7.3260072999999995E-2</v>
      </c>
      <c r="K1336">
        <v>0.21699819200000001</v>
      </c>
      <c r="L1336">
        <v>0.46236559100000002</v>
      </c>
      <c r="M1336">
        <v>8.7136929000000002E-2</v>
      </c>
      <c r="N1336" t="e">
        <v>#N/A</v>
      </c>
      <c r="O1336" t="e">
        <v>#N/A</v>
      </c>
    </row>
    <row r="1337" spans="1:15" x14ac:dyDescent="0.25">
      <c r="A1337" t="s">
        <v>3</v>
      </c>
      <c r="B1337" t="s">
        <v>25</v>
      </c>
      <c r="C1337" s="3" t="str">
        <f>IF($B1337="GW1",VLOOKUP($A1337,Matches!$A:$AC,2,FALSE),IF($B1337="GW2",VLOOKUP($A1337,Matches!$A:$AC,9,FALSE),IF($B1337="GW3",VLOOKUP($A1337,Matches!$A:$AC,16,FALSE))))</f>
        <v>Liverpool</v>
      </c>
      <c r="D1337" s="6">
        <v>0.26454326605116268</v>
      </c>
      <c r="E1337" s="6">
        <v>0.4854368932038835</v>
      </c>
      <c r="F1337" s="6">
        <v>-0.22089362715272082</v>
      </c>
      <c r="G1337" s="3" t="s">
        <v>0</v>
      </c>
      <c r="H1337">
        <v>0.21994941200000001</v>
      </c>
      <c r="I1337">
        <v>0.13605442200000001</v>
      </c>
      <c r="J1337">
        <v>8.6580087E-2</v>
      </c>
      <c r="K1337">
        <v>0.21699819200000001</v>
      </c>
      <c r="L1337">
        <v>0.46236559100000002</v>
      </c>
      <c r="M1337">
        <v>8.7136929000000002E-2</v>
      </c>
      <c r="N1337" t="e">
        <v>#N/A</v>
      </c>
      <c r="O1337" t="e">
        <v>#N/A</v>
      </c>
    </row>
    <row r="1338" spans="1:15" x14ac:dyDescent="0.25">
      <c r="A1338" t="s">
        <v>3</v>
      </c>
      <c r="B1338" t="s">
        <v>25</v>
      </c>
      <c r="C1338" s="3" t="str">
        <f>IF($B1338="GW1",VLOOKUP($A1338,Matches!$A:$AC,2,FALSE),IF($B1338="GW2",VLOOKUP($A1338,Matches!$A:$AC,9,FALSE),IF($B1338="GW3",VLOOKUP($A1338,Matches!$A:$AC,16,FALSE))))</f>
        <v>Liverpool</v>
      </c>
      <c r="D1338" s="6">
        <v>0.26454326605116268</v>
      </c>
      <c r="E1338" s="6">
        <v>0.4854368932038835</v>
      </c>
      <c r="F1338" s="6">
        <v>-0.22089362715272082</v>
      </c>
      <c r="G1338" s="3" t="s">
        <v>0</v>
      </c>
      <c r="H1338">
        <v>0.23809523799999999</v>
      </c>
      <c r="I1338">
        <v>0.13605442200000001</v>
      </c>
      <c r="J1338">
        <v>7.9365079000000005E-2</v>
      </c>
      <c r="K1338">
        <v>0.21699819200000001</v>
      </c>
      <c r="L1338">
        <v>0.46236559100000002</v>
      </c>
      <c r="M1338">
        <v>8.7136929000000002E-2</v>
      </c>
      <c r="N1338" t="e">
        <v>#N/A</v>
      </c>
      <c r="O1338" t="e">
        <v>#N/A</v>
      </c>
    </row>
    <row r="1339" spans="1:15" x14ac:dyDescent="0.25">
      <c r="A1339" t="s">
        <v>3</v>
      </c>
      <c r="B1339" t="s">
        <v>25</v>
      </c>
      <c r="C1339" s="3" t="str">
        <f>IF($B1339="GW1",VLOOKUP($A1339,Matches!$A:$AC,2,FALSE),IF($B1339="GW2",VLOOKUP($A1339,Matches!$A:$AC,9,FALSE),IF($B1339="GW3",VLOOKUP($A1339,Matches!$A:$AC,16,FALSE))))</f>
        <v>Liverpool</v>
      </c>
      <c r="D1339" s="6">
        <v>0.26454326605116268</v>
      </c>
      <c r="E1339" s="6">
        <v>0.4854368932038835</v>
      </c>
      <c r="F1339" s="6">
        <v>-0.22089362715272082</v>
      </c>
      <c r="G1339" s="3" t="s">
        <v>0</v>
      </c>
      <c r="H1339">
        <v>0.13605442200000001</v>
      </c>
      <c r="I1339">
        <v>0.11904761899999999</v>
      </c>
      <c r="J1339">
        <v>0.13605442200000001</v>
      </c>
      <c r="K1339">
        <v>0.21699819200000001</v>
      </c>
      <c r="L1339">
        <v>0.46236559100000002</v>
      </c>
      <c r="M1339">
        <v>8.7136929000000002E-2</v>
      </c>
      <c r="N1339" t="e">
        <v>#N/A</v>
      </c>
      <c r="O1339" t="e">
        <v>#N/A</v>
      </c>
    </row>
    <row r="1340" spans="1:15" x14ac:dyDescent="0.25">
      <c r="A1340" t="s">
        <v>3</v>
      </c>
      <c r="B1340" t="s">
        <v>25</v>
      </c>
      <c r="C1340" s="3" t="str">
        <f>IF($B1340="GW1",VLOOKUP($A1340,Matches!$A:$AC,2,FALSE),IF($B1340="GW2",VLOOKUP($A1340,Matches!$A:$AC,9,FALSE),IF($B1340="GW3",VLOOKUP($A1340,Matches!$A:$AC,16,FALSE))))</f>
        <v>Liverpool</v>
      </c>
      <c r="D1340" s="6">
        <v>0.26454326605116268</v>
      </c>
      <c r="E1340" s="6">
        <v>0.4854368932038835</v>
      </c>
      <c r="F1340" s="6">
        <v>-0.22089362715272082</v>
      </c>
      <c r="G1340" s="3" t="s">
        <v>0</v>
      </c>
      <c r="H1340">
        <v>0.23809523799999999</v>
      </c>
      <c r="I1340">
        <v>9.5238094999999995E-2</v>
      </c>
      <c r="J1340">
        <v>0.14652014699999999</v>
      </c>
      <c r="K1340">
        <v>0.21699819200000001</v>
      </c>
      <c r="L1340">
        <v>0.46236559100000002</v>
      </c>
      <c r="M1340">
        <v>8.7136929000000002E-2</v>
      </c>
      <c r="N1340" t="e">
        <v>#N/A</v>
      </c>
      <c r="O1340" t="e">
        <v>#N/A</v>
      </c>
    </row>
    <row r="1341" spans="1:15" x14ac:dyDescent="0.25">
      <c r="A1341" t="s">
        <v>3</v>
      </c>
      <c r="B1341" t="s">
        <v>25</v>
      </c>
      <c r="C1341" s="3" t="str">
        <f>IF($B1341="GW1",VLOOKUP($A1341,Matches!$A:$AC,2,FALSE),IF($B1341="GW2",VLOOKUP($A1341,Matches!$A:$AC,9,FALSE),IF($B1341="GW3",VLOOKUP($A1341,Matches!$A:$AC,16,FALSE))))</f>
        <v>Liverpool</v>
      </c>
      <c r="D1341" s="6">
        <v>0.26454326605116268</v>
      </c>
      <c r="E1341" s="6">
        <v>0.4854368932038835</v>
      </c>
      <c r="F1341" s="6">
        <v>-0.22089362715272082</v>
      </c>
      <c r="G1341" s="3" t="s">
        <v>0</v>
      </c>
      <c r="H1341" t="e">
        <v>#N/A</v>
      </c>
      <c r="I1341" t="e">
        <v>#N/A</v>
      </c>
      <c r="J1341" t="e">
        <v>#N/A</v>
      </c>
      <c r="K1341">
        <v>0.21699819200000001</v>
      </c>
      <c r="L1341">
        <v>0.46236559100000002</v>
      </c>
      <c r="M1341">
        <v>8.7136929000000002E-2</v>
      </c>
      <c r="N1341" t="e">
        <v>#N/A</v>
      </c>
      <c r="O1341" t="e">
        <v>#N/A</v>
      </c>
    </row>
    <row r="1342" spans="1:15" x14ac:dyDescent="0.25">
      <c r="A1342" t="s">
        <v>3</v>
      </c>
      <c r="B1342" t="s">
        <v>25</v>
      </c>
      <c r="C1342" s="3" t="str">
        <f>IF($B1342="GW1",VLOOKUP($A1342,Matches!$A:$AC,2,FALSE),IF($B1342="GW2",VLOOKUP($A1342,Matches!$A:$AC,9,FALSE),IF($B1342="GW3",VLOOKUP($A1342,Matches!$A:$AC,16,FALSE))))</f>
        <v>Liverpool</v>
      </c>
      <c r="D1342" s="6">
        <v>0.26454326605116268</v>
      </c>
      <c r="E1342" s="6">
        <v>0.4854368932038835</v>
      </c>
      <c r="F1342" s="6">
        <v>-0.22089362715272082</v>
      </c>
      <c r="G1342" s="3" t="s">
        <v>0</v>
      </c>
      <c r="H1342">
        <v>8.6580087E-2</v>
      </c>
      <c r="I1342">
        <v>5.6022409000000002E-2</v>
      </c>
      <c r="J1342">
        <v>0.20050125299999999</v>
      </c>
      <c r="K1342">
        <v>0.21699819200000001</v>
      </c>
      <c r="L1342">
        <v>0.46236559100000002</v>
      </c>
      <c r="M1342">
        <v>8.7136929000000002E-2</v>
      </c>
      <c r="N1342" t="e">
        <v>#N/A</v>
      </c>
      <c r="O1342" t="e">
        <v>#N/A</v>
      </c>
    </row>
    <row r="1343" spans="1:15" x14ac:dyDescent="0.25">
      <c r="A1343" t="s">
        <v>3</v>
      </c>
      <c r="B1343" t="s">
        <v>25</v>
      </c>
      <c r="C1343" s="3" t="str">
        <f>IF($B1343="GW1",VLOOKUP($A1343,Matches!$A:$AC,2,FALSE),IF($B1343="GW2",VLOOKUP($A1343,Matches!$A:$AC,9,FALSE),IF($B1343="GW3",VLOOKUP($A1343,Matches!$A:$AC,16,FALSE))))</f>
        <v>Liverpool</v>
      </c>
      <c r="D1343" s="6">
        <v>0.26454326605116268</v>
      </c>
      <c r="E1343" s="6">
        <v>0.4854368932038835</v>
      </c>
      <c r="F1343" s="6">
        <v>-0.22089362715272082</v>
      </c>
      <c r="G1343" s="3" t="s">
        <v>0</v>
      </c>
      <c r="H1343">
        <v>0.23809523799999999</v>
      </c>
      <c r="I1343">
        <v>0.11904761899999999</v>
      </c>
      <c r="J1343">
        <v>0.10025062699999999</v>
      </c>
      <c r="K1343">
        <v>0.21699819200000001</v>
      </c>
      <c r="L1343">
        <v>0.46236559100000002</v>
      </c>
      <c r="M1343">
        <v>8.7136929000000002E-2</v>
      </c>
      <c r="N1343" t="e">
        <v>#N/A</v>
      </c>
      <c r="O1343" t="e">
        <v>#N/A</v>
      </c>
    </row>
    <row r="1344" spans="1:15" x14ac:dyDescent="0.25">
      <c r="A1344" t="s">
        <v>3</v>
      </c>
      <c r="B1344" t="s">
        <v>25</v>
      </c>
      <c r="C1344" s="3" t="str">
        <f>IF($B1344="GW1",VLOOKUP($A1344,Matches!$A:$AC,2,FALSE),IF($B1344="GW2",VLOOKUP($A1344,Matches!$A:$AC,9,FALSE),IF($B1344="GW3",VLOOKUP($A1344,Matches!$A:$AC,16,FALSE))))</f>
        <v>Liverpool</v>
      </c>
      <c r="D1344" s="6">
        <v>0.26454326605116268</v>
      </c>
      <c r="E1344" s="6">
        <v>0.4854368932038835</v>
      </c>
      <c r="F1344" s="6">
        <v>-0.22089362715272082</v>
      </c>
      <c r="G1344" s="3" t="s">
        <v>0</v>
      </c>
      <c r="H1344">
        <v>0.112044818</v>
      </c>
      <c r="I1344">
        <v>8.6580087E-2</v>
      </c>
      <c r="J1344">
        <v>0.11904761899999999</v>
      </c>
      <c r="K1344">
        <v>0.21699819200000001</v>
      </c>
      <c r="L1344">
        <v>0.46236559100000002</v>
      </c>
      <c r="M1344">
        <v>8.7136929000000002E-2</v>
      </c>
      <c r="N1344" t="e">
        <v>#N/A</v>
      </c>
      <c r="O1344" t="e">
        <v>#N/A</v>
      </c>
    </row>
    <row r="1345" spans="1:15" x14ac:dyDescent="0.25">
      <c r="A1345" t="s">
        <v>3</v>
      </c>
      <c r="B1345" t="s">
        <v>25</v>
      </c>
      <c r="C1345" s="3" t="str">
        <f>IF($B1345="GW1",VLOOKUP($A1345,Matches!$A:$AC,2,FALSE),IF($B1345="GW2",VLOOKUP($A1345,Matches!$A:$AC,9,FALSE),IF($B1345="GW3",VLOOKUP($A1345,Matches!$A:$AC,16,FALSE))))</f>
        <v>Liverpool</v>
      </c>
      <c r="D1345" s="6">
        <v>0.26454326605116268</v>
      </c>
      <c r="E1345" s="6">
        <v>0.4854368932038835</v>
      </c>
      <c r="F1345" s="6">
        <v>-0.22089362715272082</v>
      </c>
      <c r="G1345" s="3" t="s">
        <v>0</v>
      </c>
      <c r="H1345">
        <v>0.20050125299999999</v>
      </c>
      <c r="I1345">
        <v>0.13605442200000001</v>
      </c>
      <c r="J1345">
        <v>0.14652014699999999</v>
      </c>
      <c r="K1345">
        <v>0.21699819200000001</v>
      </c>
      <c r="L1345">
        <v>0.46236559100000002</v>
      </c>
      <c r="M1345">
        <v>8.7136929000000002E-2</v>
      </c>
      <c r="N1345" t="e">
        <v>#N/A</v>
      </c>
      <c r="O1345" t="e">
        <v>#N/A</v>
      </c>
    </row>
    <row r="1346" spans="1:15" x14ac:dyDescent="0.25">
      <c r="A1346" t="s">
        <v>3</v>
      </c>
      <c r="B1346" t="s">
        <v>25</v>
      </c>
      <c r="C1346" s="3" t="str">
        <f>IF($B1346="GW1",VLOOKUP($A1346,Matches!$A:$AC,2,FALSE),IF($B1346="GW2",VLOOKUP($A1346,Matches!$A:$AC,9,FALSE),IF($B1346="GW3",VLOOKUP($A1346,Matches!$A:$AC,16,FALSE))))</f>
        <v>Liverpool</v>
      </c>
      <c r="D1346" s="6">
        <v>0.26454326605116268</v>
      </c>
      <c r="E1346" s="6">
        <v>0.4854368932038835</v>
      </c>
      <c r="F1346" s="6">
        <v>-0.22089362715272082</v>
      </c>
      <c r="G1346" s="3" t="s">
        <v>0</v>
      </c>
      <c r="H1346" t="e">
        <v>#N/A</v>
      </c>
      <c r="I1346" t="e">
        <v>#N/A</v>
      </c>
      <c r="J1346" t="e">
        <v>#N/A</v>
      </c>
      <c r="K1346">
        <v>0.21699819200000001</v>
      </c>
      <c r="L1346">
        <v>0.46236559100000002</v>
      </c>
      <c r="M1346">
        <v>8.7136929000000002E-2</v>
      </c>
      <c r="N1346" t="e">
        <v>#N/A</v>
      </c>
      <c r="O1346" t="e">
        <v>#N/A</v>
      </c>
    </row>
    <row r="1347" spans="1:15" x14ac:dyDescent="0.25">
      <c r="A1347" t="s">
        <v>3</v>
      </c>
      <c r="B1347" t="s">
        <v>25</v>
      </c>
      <c r="C1347" s="3" t="str">
        <f>IF($B1347="GW1",VLOOKUP($A1347,Matches!$A:$AC,2,FALSE),IF($B1347="GW2",VLOOKUP($A1347,Matches!$A:$AC,9,FALSE),IF($B1347="GW3",VLOOKUP($A1347,Matches!$A:$AC,16,FALSE))))</f>
        <v>Liverpool</v>
      </c>
      <c r="D1347" s="6">
        <v>0.26454326605116268</v>
      </c>
      <c r="E1347" s="6">
        <v>0.4854368932038835</v>
      </c>
      <c r="F1347" s="6">
        <v>-0.22089362715272082</v>
      </c>
      <c r="G1347" s="3" t="s">
        <v>0</v>
      </c>
      <c r="H1347">
        <v>0.112044818</v>
      </c>
      <c r="I1347">
        <v>8.6580087E-2</v>
      </c>
      <c r="J1347">
        <v>0.173160173</v>
      </c>
      <c r="K1347">
        <v>0.21699819200000001</v>
      </c>
      <c r="L1347">
        <v>0.46236559100000002</v>
      </c>
      <c r="M1347">
        <v>8.7136929000000002E-2</v>
      </c>
      <c r="N1347" t="e">
        <v>#N/A</v>
      </c>
      <c r="O1347" t="e">
        <v>#N/A</v>
      </c>
    </row>
    <row r="1348" spans="1:15" x14ac:dyDescent="0.25">
      <c r="A1348" t="s">
        <v>3</v>
      </c>
      <c r="B1348" t="s">
        <v>25</v>
      </c>
      <c r="C1348" s="3" t="str">
        <f>IF($B1348="GW1",VLOOKUP($A1348,Matches!$A:$AC,2,FALSE),IF($B1348="GW2",VLOOKUP($A1348,Matches!$A:$AC,9,FALSE),IF($B1348="GW3",VLOOKUP($A1348,Matches!$A:$AC,16,FALSE))))</f>
        <v>Liverpool</v>
      </c>
      <c r="D1348" s="6">
        <v>0.26454326605116268</v>
      </c>
      <c r="E1348" s="6">
        <v>0.4854368932038835</v>
      </c>
      <c r="F1348" s="6">
        <v>-0.22089362715272082</v>
      </c>
      <c r="G1348" s="3" t="s">
        <v>0</v>
      </c>
      <c r="H1348">
        <v>0.23809523799999999</v>
      </c>
      <c r="I1348">
        <v>7.3260072999999995E-2</v>
      </c>
      <c r="J1348">
        <v>0.173160173</v>
      </c>
      <c r="K1348">
        <v>0.21699819200000001</v>
      </c>
      <c r="L1348">
        <v>0.46236559100000002</v>
      </c>
      <c r="M1348">
        <v>8.7136929000000002E-2</v>
      </c>
      <c r="N1348" t="e">
        <v>#N/A</v>
      </c>
      <c r="O1348" t="e">
        <v>#N/A</v>
      </c>
    </row>
    <row r="1349" spans="1:15" x14ac:dyDescent="0.25">
      <c r="A1349" t="s">
        <v>3</v>
      </c>
      <c r="B1349" t="s">
        <v>25</v>
      </c>
      <c r="C1349" s="3" t="str">
        <f>IF($B1349="GW1",VLOOKUP($A1349,Matches!$A:$AC,2,FALSE),IF($B1349="GW2",VLOOKUP($A1349,Matches!$A:$AC,9,FALSE),IF($B1349="GW3",VLOOKUP($A1349,Matches!$A:$AC,16,FALSE))))</f>
        <v>Liverpool</v>
      </c>
      <c r="D1349" s="6">
        <v>0.26454326605116268</v>
      </c>
      <c r="E1349" s="6">
        <v>0.4854368932038835</v>
      </c>
      <c r="F1349" s="6">
        <v>-0.22089362715272082</v>
      </c>
      <c r="G1349" s="3" t="s">
        <v>0</v>
      </c>
      <c r="H1349" t="e">
        <v>#N/A</v>
      </c>
      <c r="I1349" t="e">
        <v>#N/A</v>
      </c>
      <c r="J1349" t="e">
        <v>#N/A</v>
      </c>
      <c r="K1349">
        <v>0.21699819200000001</v>
      </c>
      <c r="L1349">
        <v>0.46236559100000002</v>
      </c>
      <c r="M1349">
        <v>8.7136929000000002E-2</v>
      </c>
      <c r="N1349" t="e">
        <v>#N/A</v>
      </c>
      <c r="O1349" t="e">
        <v>#N/A</v>
      </c>
    </row>
    <row r="1350" spans="1:15" x14ac:dyDescent="0.25">
      <c r="A1350" t="s">
        <v>3</v>
      </c>
      <c r="B1350" t="s">
        <v>25</v>
      </c>
      <c r="C1350" s="3" t="str">
        <f>IF($B1350="GW1",VLOOKUP($A1350,Matches!$A:$AC,2,FALSE),IF($B1350="GW2",VLOOKUP($A1350,Matches!$A:$AC,9,FALSE),IF($B1350="GW3",VLOOKUP($A1350,Matches!$A:$AC,16,FALSE))))</f>
        <v>Liverpool</v>
      </c>
      <c r="D1350" s="6">
        <v>0.26454326605116268</v>
      </c>
      <c r="E1350" s="6">
        <v>0.4854368932038835</v>
      </c>
      <c r="F1350" s="6">
        <v>-0.22089362715272082</v>
      </c>
      <c r="G1350" s="3" t="s">
        <v>0</v>
      </c>
      <c r="H1350">
        <v>6.3492063000000001E-2</v>
      </c>
      <c r="I1350">
        <v>3.6630036999999997E-2</v>
      </c>
      <c r="J1350">
        <v>0.112044818</v>
      </c>
      <c r="K1350">
        <v>0.21699819200000001</v>
      </c>
      <c r="L1350">
        <v>0.46236559100000002</v>
      </c>
      <c r="M1350">
        <v>8.7136929000000002E-2</v>
      </c>
      <c r="N1350" t="e">
        <v>#N/A</v>
      </c>
      <c r="O1350" t="e">
        <v>#N/A</v>
      </c>
    </row>
    <row r="1351" spans="1:15" x14ac:dyDescent="0.25">
      <c r="A1351" t="s">
        <v>3</v>
      </c>
      <c r="B1351" t="s">
        <v>25</v>
      </c>
      <c r="C1351" s="3" t="str">
        <f>IF($B1351="GW1",VLOOKUP($A1351,Matches!$A:$AC,2,FALSE),IF($B1351="GW2",VLOOKUP($A1351,Matches!$A:$AC,9,FALSE),IF($B1351="GW3",VLOOKUP($A1351,Matches!$A:$AC,16,FALSE))))</f>
        <v>Liverpool</v>
      </c>
      <c r="D1351" s="6">
        <v>0.26454326605116268</v>
      </c>
      <c r="E1351" s="6">
        <v>0.4854368932038835</v>
      </c>
      <c r="F1351" s="6">
        <v>-0.22089362715272082</v>
      </c>
      <c r="G1351" s="3" t="s">
        <v>0</v>
      </c>
      <c r="H1351">
        <v>0.36630036599999999</v>
      </c>
      <c r="I1351">
        <v>0.105820106</v>
      </c>
      <c r="J1351">
        <v>0.112044818</v>
      </c>
      <c r="K1351">
        <v>0.21699819200000001</v>
      </c>
      <c r="L1351">
        <v>0.46236559100000002</v>
      </c>
      <c r="M1351">
        <v>8.7136929000000002E-2</v>
      </c>
      <c r="N1351" t="e">
        <v>#N/A</v>
      </c>
      <c r="O1351" t="e">
        <v>#N/A</v>
      </c>
    </row>
    <row r="1352" spans="1:15" x14ac:dyDescent="0.25">
      <c r="A1352" t="s">
        <v>4</v>
      </c>
      <c r="B1352" t="s">
        <v>25</v>
      </c>
      <c r="C1352" s="3" t="str">
        <f>IF($B1352="GW1",VLOOKUP($A1352,Matches!$A:$AC,2,FALSE),IF($B1352="GW2",VLOOKUP($A1352,Matches!$A:$AC,9,FALSE),IF($B1352="GW3",VLOOKUP($A1352,Matches!$A:$AC,16,FALSE))))</f>
        <v>Crystal Palace</v>
      </c>
      <c r="D1352" s="6">
        <v>0.52479664130149561</v>
      </c>
      <c r="E1352" s="6">
        <v>0.22422027399717481</v>
      </c>
      <c r="F1352" s="6">
        <v>0.3005763673043208</v>
      </c>
      <c r="G1352" s="3" t="s">
        <v>1</v>
      </c>
      <c r="H1352" t="e">
        <v>#N/A</v>
      </c>
      <c r="I1352" t="e">
        <v>#N/A</v>
      </c>
      <c r="J1352">
        <v>0.15873015900000001</v>
      </c>
      <c r="K1352">
        <v>0.35467980300000002</v>
      </c>
      <c r="L1352">
        <v>0.29039301299999998</v>
      </c>
      <c r="M1352">
        <v>3.7393558E-2</v>
      </c>
      <c r="N1352" t="e">
        <v>#N/A</v>
      </c>
      <c r="O1352" t="e">
        <v>#N/A</v>
      </c>
    </row>
    <row r="1353" spans="1:15" x14ac:dyDescent="0.25">
      <c r="A1353" t="s">
        <v>4</v>
      </c>
      <c r="B1353" t="s">
        <v>25</v>
      </c>
      <c r="C1353" s="3" t="str">
        <f>IF($B1353="GW1",VLOOKUP($A1353,Matches!$A:$AC,2,FALSE),IF($B1353="GW2",VLOOKUP($A1353,Matches!$A:$AC,9,FALSE),IF($B1353="GW3",VLOOKUP($A1353,Matches!$A:$AC,16,FALSE))))</f>
        <v>Crystal Palace</v>
      </c>
      <c r="D1353" s="6">
        <v>0.52479664130149561</v>
      </c>
      <c r="E1353" s="6">
        <v>0.22422027399717481</v>
      </c>
      <c r="F1353" s="6">
        <v>0.3005763673043208</v>
      </c>
      <c r="G1353" s="3" t="s">
        <v>1</v>
      </c>
      <c r="H1353" t="e">
        <v>#N/A</v>
      </c>
      <c r="I1353" t="e">
        <v>#N/A</v>
      </c>
      <c r="J1353">
        <v>8.6580087E-2</v>
      </c>
      <c r="K1353">
        <v>0.35467980300000002</v>
      </c>
      <c r="L1353">
        <v>0.29039301299999998</v>
      </c>
      <c r="M1353">
        <v>3.7393558E-2</v>
      </c>
      <c r="N1353" t="e">
        <v>#N/A</v>
      </c>
      <c r="O1353" t="e">
        <v>#N/A</v>
      </c>
    </row>
    <row r="1354" spans="1:15" x14ac:dyDescent="0.25">
      <c r="A1354" t="s">
        <v>4</v>
      </c>
      <c r="B1354" t="s">
        <v>25</v>
      </c>
      <c r="C1354" s="3" t="str">
        <f>IF($B1354="GW1",VLOOKUP($A1354,Matches!$A:$AC,2,FALSE),IF($B1354="GW2",VLOOKUP($A1354,Matches!$A:$AC,9,FALSE),IF($B1354="GW3",VLOOKUP($A1354,Matches!$A:$AC,16,FALSE))))</f>
        <v>Crystal Palace</v>
      </c>
      <c r="D1354" s="6">
        <v>0.52479664130149561</v>
      </c>
      <c r="E1354" s="6">
        <v>0.22422027399717481</v>
      </c>
      <c r="F1354" s="6">
        <v>0.3005763673043208</v>
      </c>
      <c r="G1354" s="3" t="s">
        <v>1</v>
      </c>
      <c r="H1354" t="e">
        <v>#N/A</v>
      </c>
      <c r="I1354" t="e">
        <v>#N/A</v>
      </c>
      <c r="J1354">
        <v>0.126984127</v>
      </c>
      <c r="K1354">
        <v>0.35467980300000002</v>
      </c>
      <c r="L1354">
        <v>0.29039301299999998</v>
      </c>
      <c r="M1354">
        <v>3.7393558E-2</v>
      </c>
      <c r="N1354" t="e">
        <v>#N/A</v>
      </c>
      <c r="O1354" t="e">
        <v>#N/A</v>
      </c>
    </row>
    <row r="1355" spans="1:15" x14ac:dyDescent="0.25">
      <c r="A1355" t="s">
        <v>4</v>
      </c>
      <c r="B1355" t="s">
        <v>25</v>
      </c>
      <c r="C1355" s="3" t="str">
        <f>IF($B1355="GW1",VLOOKUP($A1355,Matches!$A:$AC,2,FALSE),IF($B1355="GW2",VLOOKUP($A1355,Matches!$A:$AC,9,FALSE),IF($B1355="GW3",VLOOKUP($A1355,Matches!$A:$AC,16,FALSE))))</f>
        <v>Crystal Palace</v>
      </c>
      <c r="D1355" s="6">
        <v>0.52479664130149561</v>
      </c>
      <c r="E1355" s="6">
        <v>0.22422027399717481</v>
      </c>
      <c r="F1355" s="6">
        <v>0.3005763673043208</v>
      </c>
      <c r="G1355" s="3" t="s">
        <v>1</v>
      </c>
      <c r="H1355" t="e">
        <v>#N/A</v>
      </c>
      <c r="I1355" t="e">
        <v>#N/A</v>
      </c>
      <c r="J1355" t="e">
        <v>#N/A</v>
      </c>
      <c r="K1355">
        <v>0.35467980300000002</v>
      </c>
      <c r="L1355">
        <v>0.29039301299999998</v>
      </c>
      <c r="M1355">
        <v>3.7393558E-2</v>
      </c>
      <c r="N1355" t="e">
        <v>#N/A</v>
      </c>
      <c r="O1355" t="e">
        <v>#N/A</v>
      </c>
    </row>
    <row r="1356" spans="1:15" x14ac:dyDescent="0.25">
      <c r="A1356" t="s">
        <v>4</v>
      </c>
      <c r="B1356" t="s">
        <v>25</v>
      </c>
      <c r="C1356" s="3" t="str">
        <f>IF($B1356="GW1",VLOOKUP($A1356,Matches!$A:$AC,2,FALSE),IF($B1356="GW2",VLOOKUP($A1356,Matches!$A:$AC,9,FALSE),IF($B1356="GW3",VLOOKUP($A1356,Matches!$A:$AC,16,FALSE))))</f>
        <v>Crystal Palace</v>
      </c>
      <c r="D1356" s="6">
        <v>0.52479664130149561</v>
      </c>
      <c r="E1356" s="6">
        <v>0.22422027399717481</v>
      </c>
      <c r="F1356" s="6">
        <v>0.3005763673043208</v>
      </c>
      <c r="G1356" s="3" t="s">
        <v>1</v>
      </c>
      <c r="H1356">
        <v>0.14652014699999999</v>
      </c>
      <c r="I1356">
        <v>8.6580087E-2</v>
      </c>
      <c r="J1356">
        <v>0.297619048</v>
      </c>
      <c r="K1356">
        <v>0.35467980300000002</v>
      </c>
      <c r="L1356">
        <v>0.29039301299999998</v>
      </c>
      <c r="M1356">
        <v>3.7393558E-2</v>
      </c>
      <c r="N1356" t="e">
        <v>#N/A</v>
      </c>
      <c r="O1356" t="e">
        <v>#N/A</v>
      </c>
    </row>
    <row r="1357" spans="1:15" x14ac:dyDescent="0.25">
      <c r="A1357" t="s">
        <v>4</v>
      </c>
      <c r="B1357" t="s">
        <v>25</v>
      </c>
      <c r="C1357" s="3" t="str">
        <f>IF($B1357="GW1",VLOOKUP($A1357,Matches!$A:$AC,2,FALSE),IF($B1357="GW2",VLOOKUP($A1357,Matches!$A:$AC,9,FALSE),IF($B1357="GW3",VLOOKUP($A1357,Matches!$A:$AC,16,FALSE))))</f>
        <v>Crystal Palace</v>
      </c>
      <c r="D1357" s="6">
        <v>0.52479664130149561</v>
      </c>
      <c r="E1357" s="6">
        <v>0.22422027399717481</v>
      </c>
      <c r="F1357" s="6">
        <v>0.3005763673043208</v>
      </c>
      <c r="G1357" s="3" t="s">
        <v>1</v>
      </c>
      <c r="H1357">
        <v>7.3260072999999995E-2</v>
      </c>
      <c r="I1357">
        <v>0.15873015900000001</v>
      </c>
      <c r="J1357">
        <v>0.297619048</v>
      </c>
      <c r="K1357">
        <v>0.35467980300000002</v>
      </c>
      <c r="L1357">
        <v>0.29039301299999998</v>
      </c>
      <c r="M1357">
        <v>3.7393558E-2</v>
      </c>
      <c r="N1357" t="e">
        <v>#N/A</v>
      </c>
      <c r="O1357" t="e">
        <v>#N/A</v>
      </c>
    </row>
    <row r="1358" spans="1:15" x14ac:dyDescent="0.25">
      <c r="A1358" t="s">
        <v>4</v>
      </c>
      <c r="B1358" t="s">
        <v>25</v>
      </c>
      <c r="C1358" s="3" t="str">
        <f>IF($B1358="GW1",VLOOKUP($A1358,Matches!$A:$AC,2,FALSE),IF($B1358="GW2",VLOOKUP($A1358,Matches!$A:$AC,9,FALSE),IF($B1358="GW3",VLOOKUP($A1358,Matches!$A:$AC,16,FALSE))))</f>
        <v>Crystal Palace</v>
      </c>
      <c r="D1358" s="6">
        <v>0.52479664130149561</v>
      </c>
      <c r="E1358" s="6">
        <v>0.22422027399717481</v>
      </c>
      <c r="F1358" s="6">
        <v>0.3005763673043208</v>
      </c>
      <c r="G1358" s="3" t="s">
        <v>1</v>
      </c>
      <c r="H1358">
        <v>6.3492063000000001E-2</v>
      </c>
      <c r="I1358">
        <v>4.5351474000000003E-2</v>
      </c>
      <c r="J1358" t="e">
        <v>#N/A</v>
      </c>
      <c r="K1358">
        <v>0.35467980300000002</v>
      </c>
      <c r="L1358">
        <v>0.29039301299999998</v>
      </c>
      <c r="M1358">
        <v>3.7393558E-2</v>
      </c>
      <c r="N1358" t="e">
        <v>#N/A</v>
      </c>
      <c r="O1358" t="e">
        <v>#N/A</v>
      </c>
    </row>
    <row r="1359" spans="1:15" x14ac:dyDescent="0.25">
      <c r="A1359" t="s">
        <v>4</v>
      </c>
      <c r="B1359" t="s">
        <v>25</v>
      </c>
      <c r="C1359" s="3" t="str">
        <f>IF($B1359="GW1",VLOOKUP($A1359,Matches!$A:$AC,2,FALSE),IF($B1359="GW2",VLOOKUP($A1359,Matches!$A:$AC,9,FALSE),IF($B1359="GW3",VLOOKUP($A1359,Matches!$A:$AC,16,FALSE))))</f>
        <v>Crystal Palace</v>
      </c>
      <c r="D1359" s="6">
        <v>0.52479664130149561</v>
      </c>
      <c r="E1359" s="6">
        <v>0.22422027399717481</v>
      </c>
      <c r="F1359" s="6">
        <v>0.3005763673043208</v>
      </c>
      <c r="G1359" s="3" t="s">
        <v>1</v>
      </c>
      <c r="H1359">
        <v>0.11904761899999999</v>
      </c>
      <c r="I1359">
        <v>0.15873015900000001</v>
      </c>
      <c r="J1359">
        <v>0.346320346</v>
      </c>
      <c r="K1359">
        <v>0.35467980300000002</v>
      </c>
      <c r="L1359">
        <v>0.29039301299999998</v>
      </c>
      <c r="M1359">
        <v>3.7393558E-2</v>
      </c>
      <c r="N1359" t="e">
        <v>#N/A</v>
      </c>
      <c r="O1359" t="e">
        <v>#N/A</v>
      </c>
    </row>
    <row r="1360" spans="1:15" x14ac:dyDescent="0.25">
      <c r="A1360" t="s">
        <v>4</v>
      </c>
      <c r="B1360" t="s">
        <v>25</v>
      </c>
      <c r="C1360" s="3" t="str">
        <f>IF($B1360="GW1",VLOOKUP($A1360,Matches!$A:$AC,2,FALSE),IF($B1360="GW2",VLOOKUP($A1360,Matches!$A:$AC,9,FALSE),IF($B1360="GW3",VLOOKUP($A1360,Matches!$A:$AC,16,FALSE))))</f>
        <v>Crystal Palace</v>
      </c>
      <c r="D1360" s="6">
        <v>0.52479664130149561</v>
      </c>
      <c r="E1360" s="6">
        <v>0.22422027399717481</v>
      </c>
      <c r="F1360" s="6">
        <v>0.3005763673043208</v>
      </c>
      <c r="G1360" s="3" t="s">
        <v>1</v>
      </c>
      <c r="H1360">
        <v>7.3260072999999995E-2</v>
      </c>
      <c r="I1360">
        <v>4.5351474000000003E-2</v>
      </c>
      <c r="J1360">
        <v>0.31746031699999999</v>
      </c>
      <c r="K1360">
        <v>0.35467980300000002</v>
      </c>
      <c r="L1360">
        <v>0.29039301299999998</v>
      </c>
      <c r="M1360">
        <v>3.7393558E-2</v>
      </c>
      <c r="N1360" t="e">
        <v>#N/A</v>
      </c>
      <c r="O1360" t="e">
        <v>#N/A</v>
      </c>
    </row>
    <row r="1361" spans="1:15" x14ac:dyDescent="0.25">
      <c r="A1361" t="s">
        <v>4</v>
      </c>
      <c r="B1361" t="s">
        <v>25</v>
      </c>
      <c r="C1361" s="3" t="str">
        <f>IF($B1361="GW1",VLOOKUP($A1361,Matches!$A:$AC,2,FALSE),IF($B1361="GW2",VLOOKUP($A1361,Matches!$A:$AC,9,FALSE),IF($B1361="GW3",VLOOKUP($A1361,Matches!$A:$AC,16,FALSE))))</f>
        <v>Crystal Palace</v>
      </c>
      <c r="D1361" s="6">
        <v>0.52479664130149561</v>
      </c>
      <c r="E1361" s="6">
        <v>0.22422027399717481</v>
      </c>
      <c r="F1361" s="6">
        <v>0.3005763673043208</v>
      </c>
      <c r="G1361" s="3" t="s">
        <v>1</v>
      </c>
      <c r="H1361">
        <v>7.3260072999999995E-2</v>
      </c>
      <c r="I1361">
        <v>3.6630036999999997E-2</v>
      </c>
      <c r="J1361">
        <v>0.15873015900000001</v>
      </c>
      <c r="K1361">
        <v>0.35467980300000002</v>
      </c>
      <c r="L1361">
        <v>0.29039301299999998</v>
      </c>
      <c r="M1361">
        <v>3.7393558E-2</v>
      </c>
      <c r="N1361" t="e">
        <v>#N/A</v>
      </c>
      <c r="O1361" t="e">
        <v>#N/A</v>
      </c>
    </row>
    <row r="1362" spans="1:15" x14ac:dyDescent="0.25">
      <c r="A1362" t="s">
        <v>4</v>
      </c>
      <c r="B1362" t="s">
        <v>25</v>
      </c>
      <c r="C1362" s="3" t="str">
        <f>IF($B1362="GW1",VLOOKUP($A1362,Matches!$A:$AC,2,FALSE),IF($B1362="GW2",VLOOKUP($A1362,Matches!$A:$AC,9,FALSE),IF($B1362="GW3",VLOOKUP($A1362,Matches!$A:$AC,16,FALSE))))</f>
        <v>Crystal Palace</v>
      </c>
      <c r="D1362" s="6">
        <v>0.52479664130149561</v>
      </c>
      <c r="E1362" s="6">
        <v>0.22422027399717481</v>
      </c>
      <c r="F1362" s="6">
        <v>0.3005763673043208</v>
      </c>
      <c r="G1362" s="3" t="s">
        <v>1</v>
      </c>
      <c r="H1362" t="e">
        <v>#N/A</v>
      </c>
      <c r="I1362" t="e">
        <v>#N/A</v>
      </c>
      <c r="J1362" t="e">
        <v>#N/A</v>
      </c>
      <c r="K1362">
        <v>0.35467980300000002</v>
      </c>
      <c r="L1362">
        <v>0.29039301299999998</v>
      </c>
      <c r="M1362">
        <v>3.7393558E-2</v>
      </c>
      <c r="N1362" t="e">
        <v>#N/A</v>
      </c>
      <c r="O1362" t="e">
        <v>#N/A</v>
      </c>
    </row>
    <row r="1363" spans="1:15" x14ac:dyDescent="0.25">
      <c r="A1363" t="s">
        <v>4</v>
      </c>
      <c r="B1363" t="s">
        <v>25</v>
      </c>
      <c r="C1363" s="3" t="str">
        <f>IF($B1363="GW1",VLOOKUP($A1363,Matches!$A:$AC,2,FALSE),IF($B1363="GW2",VLOOKUP($A1363,Matches!$A:$AC,9,FALSE),IF($B1363="GW3",VLOOKUP($A1363,Matches!$A:$AC,16,FALSE))))</f>
        <v>Crystal Palace</v>
      </c>
      <c r="D1363" s="6">
        <v>0.52479664130149561</v>
      </c>
      <c r="E1363" s="6">
        <v>0.22422027399717481</v>
      </c>
      <c r="F1363" s="6">
        <v>0.3005763673043208</v>
      </c>
      <c r="G1363" s="3" t="s">
        <v>1</v>
      </c>
      <c r="H1363" t="e">
        <v>#N/A</v>
      </c>
      <c r="I1363" t="e">
        <v>#N/A</v>
      </c>
      <c r="J1363" t="e">
        <v>#N/A</v>
      </c>
      <c r="K1363">
        <v>0.35467980300000002</v>
      </c>
      <c r="L1363">
        <v>0.29039301299999998</v>
      </c>
      <c r="M1363">
        <v>3.7393558E-2</v>
      </c>
      <c r="N1363" t="e">
        <v>#N/A</v>
      </c>
      <c r="O1363" t="e">
        <v>#N/A</v>
      </c>
    </row>
    <row r="1364" spans="1:15" x14ac:dyDescent="0.25">
      <c r="A1364" t="s">
        <v>4</v>
      </c>
      <c r="B1364" t="s">
        <v>25</v>
      </c>
      <c r="C1364" s="3" t="str">
        <f>IF($B1364="GW1",VLOOKUP($A1364,Matches!$A:$AC,2,FALSE),IF($B1364="GW2",VLOOKUP($A1364,Matches!$A:$AC,9,FALSE),IF($B1364="GW3",VLOOKUP($A1364,Matches!$A:$AC,16,FALSE))))</f>
        <v>Crystal Palace</v>
      </c>
      <c r="D1364" s="6">
        <v>0.52479664130149561</v>
      </c>
      <c r="E1364" s="6">
        <v>0.22422027399717481</v>
      </c>
      <c r="F1364" s="6">
        <v>0.3005763673043208</v>
      </c>
      <c r="G1364" s="3" t="s">
        <v>1</v>
      </c>
      <c r="H1364">
        <v>0.11904761899999999</v>
      </c>
      <c r="I1364">
        <v>5.6022409000000002E-2</v>
      </c>
      <c r="J1364">
        <v>0.297619048</v>
      </c>
      <c r="K1364">
        <v>0.35467980300000002</v>
      </c>
      <c r="L1364">
        <v>0.29039301299999998</v>
      </c>
      <c r="M1364">
        <v>3.7393558E-2</v>
      </c>
      <c r="N1364" t="e">
        <v>#N/A</v>
      </c>
      <c r="O1364" t="e">
        <v>#N/A</v>
      </c>
    </row>
    <row r="1365" spans="1:15" x14ac:dyDescent="0.25">
      <c r="A1365" t="s">
        <v>4</v>
      </c>
      <c r="B1365" t="s">
        <v>25</v>
      </c>
      <c r="C1365" s="3" t="str">
        <f>IF($B1365="GW1",VLOOKUP($A1365,Matches!$A:$AC,2,FALSE),IF($B1365="GW2",VLOOKUP($A1365,Matches!$A:$AC,9,FALSE),IF($B1365="GW3",VLOOKUP($A1365,Matches!$A:$AC,16,FALSE))))</f>
        <v>Crystal Palace</v>
      </c>
      <c r="D1365" s="6">
        <v>0.52479664130149561</v>
      </c>
      <c r="E1365" s="6">
        <v>0.22422027399717481</v>
      </c>
      <c r="F1365" s="6">
        <v>0.3005763673043208</v>
      </c>
      <c r="G1365" s="3" t="s">
        <v>1</v>
      </c>
      <c r="H1365" t="e">
        <v>#N/A</v>
      </c>
      <c r="I1365" t="e">
        <v>#N/A</v>
      </c>
      <c r="J1365" t="e">
        <v>#N/A</v>
      </c>
      <c r="K1365">
        <v>0.35467980300000002</v>
      </c>
      <c r="L1365">
        <v>0.29039301299999998</v>
      </c>
      <c r="M1365">
        <v>3.7393558E-2</v>
      </c>
      <c r="N1365" t="e">
        <v>#N/A</v>
      </c>
      <c r="O1365" t="e">
        <v>#N/A</v>
      </c>
    </row>
    <row r="1366" spans="1:15" x14ac:dyDescent="0.25">
      <c r="A1366" t="s">
        <v>4</v>
      </c>
      <c r="B1366" t="s">
        <v>25</v>
      </c>
      <c r="C1366" s="3" t="str">
        <f>IF($B1366="GW1",VLOOKUP($A1366,Matches!$A:$AC,2,FALSE),IF($B1366="GW2",VLOOKUP($A1366,Matches!$A:$AC,9,FALSE),IF($B1366="GW3",VLOOKUP($A1366,Matches!$A:$AC,16,FALSE))))</f>
        <v>Crystal Palace</v>
      </c>
      <c r="D1366" s="6">
        <v>0.52479664130149561</v>
      </c>
      <c r="E1366" s="6">
        <v>0.22422027399717481</v>
      </c>
      <c r="F1366" s="6">
        <v>0.3005763673043208</v>
      </c>
      <c r="G1366" s="3" t="s">
        <v>1</v>
      </c>
      <c r="H1366" t="e">
        <v>#N/A</v>
      </c>
      <c r="I1366" t="e">
        <v>#N/A</v>
      </c>
      <c r="J1366" t="e">
        <v>#N/A</v>
      </c>
      <c r="K1366">
        <v>0.35467980300000002</v>
      </c>
      <c r="L1366">
        <v>0.29039301299999998</v>
      </c>
      <c r="M1366">
        <v>3.7393558E-2</v>
      </c>
      <c r="N1366" t="e">
        <v>#N/A</v>
      </c>
      <c r="O1366" t="e">
        <v>#N/A</v>
      </c>
    </row>
    <row r="1367" spans="1:15" x14ac:dyDescent="0.25">
      <c r="A1367" t="s">
        <v>4</v>
      </c>
      <c r="B1367" t="s">
        <v>25</v>
      </c>
      <c r="C1367" s="3" t="str">
        <f>IF($B1367="GW1",VLOOKUP($A1367,Matches!$A:$AC,2,FALSE),IF($B1367="GW2",VLOOKUP($A1367,Matches!$A:$AC,9,FALSE),IF($B1367="GW3",VLOOKUP($A1367,Matches!$A:$AC,16,FALSE))))</f>
        <v>Crystal Palace</v>
      </c>
      <c r="D1367" s="6">
        <v>0.52479664130149561</v>
      </c>
      <c r="E1367" s="6">
        <v>0.22422027399717481</v>
      </c>
      <c r="F1367" s="6">
        <v>0.3005763673043208</v>
      </c>
      <c r="G1367" s="3" t="s">
        <v>1</v>
      </c>
      <c r="H1367">
        <v>0.307219662</v>
      </c>
      <c r="I1367">
        <v>0.19047618999999999</v>
      </c>
      <c r="J1367">
        <v>0.26455026500000001</v>
      </c>
      <c r="K1367">
        <v>0.35467980300000002</v>
      </c>
      <c r="L1367">
        <v>0.29039301299999998</v>
      </c>
      <c r="M1367">
        <v>3.7393558E-2</v>
      </c>
      <c r="N1367" t="e">
        <v>#N/A</v>
      </c>
      <c r="O1367" t="e">
        <v>#N/A</v>
      </c>
    </row>
    <row r="1368" spans="1:15" x14ac:dyDescent="0.25">
      <c r="A1368" t="s">
        <v>4</v>
      </c>
      <c r="B1368" t="s">
        <v>25</v>
      </c>
      <c r="C1368" s="3" t="str">
        <f>IF($B1368="GW1",VLOOKUP($A1368,Matches!$A:$AC,2,FALSE),IF($B1368="GW2",VLOOKUP($A1368,Matches!$A:$AC,9,FALSE),IF($B1368="GW3",VLOOKUP($A1368,Matches!$A:$AC,16,FALSE))))</f>
        <v>Crystal Palace</v>
      </c>
      <c r="D1368" s="6">
        <v>0.52479664130149561</v>
      </c>
      <c r="E1368" s="6">
        <v>0.22422027399717481</v>
      </c>
      <c r="F1368" s="6">
        <v>0.3005763673043208</v>
      </c>
      <c r="G1368" s="3" t="s">
        <v>1</v>
      </c>
      <c r="H1368">
        <v>0.14652014699999999</v>
      </c>
      <c r="I1368">
        <v>0.15873015900000001</v>
      </c>
      <c r="J1368">
        <v>0.26455026500000001</v>
      </c>
      <c r="K1368">
        <v>0.35467980300000002</v>
      </c>
      <c r="L1368">
        <v>0.29039301299999998</v>
      </c>
      <c r="M1368">
        <v>3.7393558E-2</v>
      </c>
      <c r="N1368" t="e">
        <v>#N/A</v>
      </c>
      <c r="O1368" t="e">
        <v>#N/A</v>
      </c>
    </row>
    <row r="1369" spans="1:15" x14ac:dyDescent="0.25">
      <c r="A1369" t="s">
        <v>4</v>
      </c>
      <c r="B1369" t="s">
        <v>25</v>
      </c>
      <c r="C1369" s="3" t="str">
        <f>IF($B1369="GW1",VLOOKUP($A1369,Matches!$A:$AC,2,FALSE),IF($B1369="GW2",VLOOKUP($A1369,Matches!$A:$AC,9,FALSE),IF($B1369="GW3",VLOOKUP($A1369,Matches!$A:$AC,16,FALSE))))</f>
        <v>Crystal Palace</v>
      </c>
      <c r="D1369" s="6">
        <v>0.52479664130149561</v>
      </c>
      <c r="E1369" s="6">
        <v>0.22422027399717481</v>
      </c>
      <c r="F1369" s="6">
        <v>0.3005763673043208</v>
      </c>
      <c r="G1369" s="3" t="s">
        <v>1</v>
      </c>
      <c r="H1369">
        <v>0.21994941200000001</v>
      </c>
      <c r="I1369">
        <v>0.173160173</v>
      </c>
      <c r="J1369">
        <v>0.26455026500000001</v>
      </c>
      <c r="K1369">
        <v>0.35467980300000002</v>
      </c>
      <c r="L1369">
        <v>0.29039301299999998</v>
      </c>
      <c r="M1369">
        <v>3.7393558E-2</v>
      </c>
      <c r="N1369" t="e">
        <v>#N/A</v>
      </c>
      <c r="O1369" t="e">
        <v>#N/A</v>
      </c>
    </row>
    <row r="1370" spans="1:15" x14ac:dyDescent="0.25">
      <c r="A1370" t="s">
        <v>4</v>
      </c>
      <c r="B1370" t="s">
        <v>25</v>
      </c>
      <c r="C1370" s="3" t="str">
        <f>IF($B1370="GW1",VLOOKUP($A1370,Matches!$A:$AC,2,FALSE),IF($B1370="GW2",VLOOKUP($A1370,Matches!$A:$AC,9,FALSE),IF($B1370="GW3",VLOOKUP($A1370,Matches!$A:$AC,16,FALSE))))</f>
        <v>Crystal Palace</v>
      </c>
      <c r="D1370" s="6">
        <v>0.52479664130149561</v>
      </c>
      <c r="E1370" s="6">
        <v>0.22422027399717481</v>
      </c>
      <c r="F1370" s="6">
        <v>0.3005763673043208</v>
      </c>
      <c r="G1370" s="3" t="s">
        <v>1</v>
      </c>
      <c r="H1370" t="e">
        <v>#N/A</v>
      </c>
      <c r="I1370" t="e">
        <v>#N/A</v>
      </c>
      <c r="J1370" t="e">
        <v>#N/A</v>
      </c>
      <c r="K1370">
        <v>0.35467980300000002</v>
      </c>
      <c r="L1370">
        <v>0.29039301299999998</v>
      </c>
      <c r="M1370">
        <v>3.7393558E-2</v>
      </c>
      <c r="N1370" t="e">
        <v>#N/A</v>
      </c>
      <c r="O1370" t="e">
        <v>#N/A</v>
      </c>
    </row>
    <row r="1371" spans="1:15" x14ac:dyDescent="0.25">
      <c r="A1371" t="s">
        <v>4</v>
      </c>
      <c r="B1371" t="s">
        <v>25</v>
      </c>
      <c r="C1371" s="3" t="str">
        <f>IF($B1371="GW1",VLOOKUP($A1371,Matches!$A:$AC,2,FALSE),IF($B1371="GW2",VLOOKUP($A1371,Matches!$A:$AC,9,FALSE),IF($B1371="GW3",VLOOKUP($A1371,Matches!$A:$AC,16,FALSE))))</f>
        <v>Crystal Palace</v>
      </c>
      <c r="D1371" s="6">
        <v>0.52479664130149561</v>
      </c>
      <c r="E1371" s="6">
        <v>0.22422027399717481</v>
      </c>
      <c r="F1371" s="6">
        <v>0.3005763673043208</v>
      </c>
      <c r="G1371" s="3" t="s">
        <v>1</v>
      </c>
      <c r="H1371">
        <v>0.19047618999999999</v>
      </c>
      <c r="I1371">
        <v>0.15873015900000001</v>
      </c>
      <c r="J1371">
        <v>0.346320346</v>
      </c>
      <c r="K1371">
        <v>0.35467980300000002</v>
      </c>
      <c r="L1371">
        <v>0.29039301299999998</v>
      </c>
      <c r="M1371">
        <v>3.7393558E-2</v>
      </c>
      <c r="N1371" t="e">
        <v>#N/A</v>
      </c>
      <c r="O1371" t="e">
        <v>#N/A</v>
      </c>
    </row>
    <row r="1372" spans="1:15" x14ac:dyDescent="0.25">
      <c r="A1372" t="s">
        <v>4</v>
      </c>
      <c r="B1372" t="s">
        <v>25</v>
      </c>
      <c r="C1372" s="3" t="str">
        <f>IF($B1372="GW1",VLOOKUP($A1372,Matches!$A:$AC,2,FALSE),IF($B1372="GW2",VLOOKUP($A1372,Matches!$A:$AC,9,FALSE),IF($B1372="GW3",VLOOKUP($A1372,Matches!$A:$AC,16,FALSE))))</f>
        <v>Crystal Palace</v>
      </c>
      <c r="D1372" s="6">
        <v>0.52479664130149561</v>
      </c>
      <c r="E1372" s="6">
        <v>0.22422027399717481</v>
      </c>
      <c r="F1372" s="6">
        <v>0.3005763673043208</v>
      </c>
      <c r="G1372" s="3" t="s">
        <v>1</v>
      </c>
      <c r="H1372">
        <v>0.173160173</v>
      </c>
      <c r="I1372">
        <v>0.13605442200000001</v>
      </c>
      <c r="J1372">
        <v>0.15873015900000001</v>
      </c>
      <c r="K1372">
        <v>0.35467980300000002</v>
      </c>
      <c r="L1372">
        <v>0.29039301299999998</v>
      </c>
      <c r="M1372">
        <v>3.7393558E-2</v>
      </c>
      <c r="N1372" t="e">
        <v>#N/A</v>
      </c>
      <c r="O1372" t="e">
        <v>#N/A</v>
      </c>
    </row>
    <row r="1373" spans="1:15" x14ac:dyDescent="0.25">
      <c r="A1373" t="s">
        <v>4</v>
      </c>
      <c r="B1373" t="s">
        <v>25</v>
      </c>
      <c r="C1373" s="3" t="str">
        <f>IF($B1373="GW1",VLOOKUP($A1373,Matches!$A:$AC,2,FALSE),IF($B1373="GW2",VLOOKUP($A1373,Matches!$A:$AC,9,FALSE),IF($B1373="GW3",VLOOKUP($A1373,Matches!$A:$AC,16,FALSE))))</f>
        <v>Crystal Palace</v>
      </c>
      <c r="D1373" s="6">
        <v>0.52479664130149561</v>
      </c>
      <c r="E1373" s="6">
        <v>0.22422027399717481</v>
      </c>
      <c r="F1373" s="6">
        <v>0.3005763673043208</v>
      </c>
      <c r="G1373" s="3" t="s">
        <v>1</v>
      </c>
      <c r="H1373">
        <v>0.253968254</v>
      </c>
      <c r="I1373">
        <v>0.13605442200000001</v>
      </c>
      <c r="J1373">
        <v>0.20050125299999999</v>
      </c>
      <c r="K1373">
        <v>0.35467980300000002</v>
      </c>
      <c r="L1373">
        <v>0.29039301299999998</v>
      </c>
      <c r="M1373">
        <v>3.7393558E-2</v>
      </c>
      <c r="N1373" t="e">
        <v>#N/A</v>
      </c>
      <c r="O1373" t="e">
        <v>#N/A</v>
      </c>
    </row>
    <row r="1374" spans="1:15" x14ac:dyDescent="0.25">
      <c r="A1374" t="s">
        <v>4</v>
      </c>
      <c r="B1374" t="s">
        <v>25</v>
      </c>
      <c r="C1374" s="3" t="str">
        <f>IF($B1374="GW1",VLOOKUP($A1374,Matches!$A:$AC,2,FALSE),IF($B1374="GW2",VLOOKUP($A1374,Matches!$A:$AC,9,FALSE),IF($B1374="GW3",VLOOKUP($A1374,Matches!$A:$AC,16,FALSE))))</f>
        <v>Crystal Palace</v>
      </c>
      <c r="D1374" s="6">
        <v>0.52479664130149561</v>
      </c>
      <c r="E1374" s="6">
        <v>0.22422027399717481</v>
      </c>
      <c r="F1374" s="6">
        <v>0.3005763673043208</v>
      </c>
      <c r="G1374" s="3" t="s">
        <v>1</v>
      </c>
      <c r="H1374">
        <v>0.19047618999999999</v>
      </c>
      <c r="I1374">
        <v>0.11904761899999999</v>
      </c>
      <c r="J1374">
        <v>0.31746031699999999</v>
      </c>
      <c r="K1374">
        <v>0.35467980300000002</v>
      </c>
      <c r="L1374">
        <v>0.29039301299999998</v>
      </c>
      <c r="M1374">
        <v>3.7393558E-2</v>
      </c>
      <c r="N1374" t="e">
        <v>#N/A</v>
      </c>
      <c r="O1374" t="e">
        <v>#N/A</v>
      </c>
    </row>
    <row r="1375" spans="1:15" x14ac:dyDescent="0.25">
      <c r="A1375" t="s">
        <v>4</v>
      </c>
      <c r="B1375" t="s">
        <v>25</v>
      </c>
      <c r="C1375" s="3" t="str">
        <f>IF($B1375="GW1",VLOOKUP($A1375,Matches!$A:$AC,2,FALSE),IF($B1375="GW2",VLOOKUP($A1375,Matches!$A:$AC,9,FALSE),IF($B1375="GW3",VLOOKUP($A1375,Matches!$A:$AC,16,FALSE))))</f>
        <v>Crystal Palace</v>
      </c>
      <c r="D1375" s="6">
        <v>0.52479664130149561</v>
      </c>
      <c r="E1375" s="6">
        <v>0.22422027399717481</v>
      </c>
      <c r="F1375" s="6">
        <v>0.3005763673043208</v>
      </c>
      <c r="G1375" s="3" t="s">
        <v>1</v>
      </c>
      <c r="H1375">
        <v>0.19047618999999999</v>
      </c>
      <c r="I1375">
        <v>0.14652014699999999</v>
      </c>
      <c r="J1375">
        <v>0.26455026500000001</v>
      </c>
      <c r="K1375">
        <v>0.35467980300000002</v>
      </c>
      <c r="L1375">
        <v>0.29039301299999998</v>
      </c>
      <c r="M1375">
        <v>3.7393558E-2</v>
      </c>
      <c r="N1375" t="e">
        <v>#N/A</v>
      </c>
      <c r="O1375" t="e">
        <v>#N/A</v>
      </c>
    </row>
    <row r="1376" spans="1:15" x14ac:dyDescent="0.25">
      <c r="A1376" t="s">
        <v>4</v>
      </c>
      <c r="B1376" t="s">
        <v>25</v>
      </c>
      <c r="C1376" s="3" t="str">
        <f>IF($B1376="GW1",VLOOKUP($A1376,Matches!$A:$AC,2,FALSE),IF($B1376="GW2",VLOOKUP($A1376,Matches!$A:$AC,9,FALSE),IF($B1376="GW3",VLOOKUP($A1376,Matches!$A:$AC,16,FALSE))))</f>
        <v>Crystal Palace</v>
      </c>
      <c r="D1376" s="6">
        <v>0.52479664130149561</v>
      </c>
      <c r="E1376" s="6">
        <v>0.22422027399717481</v>
      </c>
      <c r="F1376" s="6">
        <v>0.3005763673043208</v>
      </c>
      <c r="G1376" s="3" t="s">
        <v>1</v>
      </c>
      <c r="H1376" t="e">
        <v>#N/A</v>
      </c>
      <c r="I1376" t="e">
        <v>#N/A</v>
      </c>
      <c r="J1376" t="e">
        <v>#N/A</v>
      </c>
      <c r="K1376">
        <v>0.35467980300000002</v>
      </c>
      <c r="L1376">
        <v>0.29039301299999998</v>
      </c>
      <c r="M1376">
        <v>3.7393558E-2</v>
      </c>
      <c r="N1376" t="e">
        <v>#N/A</v>
      </c>
      <c r="O1376" t="e">
        <v>#N/A</v>
      </c>
    </row>
    <row r="1377" spans="1:15" x14ac:dyDescent="0.25">
      <c r="A1377" t="s">
        <v>4</v>
      </c>
      <c r="B1377" t="s">
        <v>25</v>
      </c>
      <c r="C1377" s="3" t="str">
        <f>IF($B1377="GW1",VLOOKUP($A1377,Matches!$A:$AC,2,FALSE),IF($B1377="GW2",VLOOKUP($A1377,Matches!$A:$AC,9,FALSE),IF($B1377="GW3",VLOOKUP($A1377,Matches!$A:$AC,16,FALSE))))</f>
        <v>Crystal Palace</v>
      </c>
      <c r="D1377" s="6">
        <v>0.52479664130149561</v>
      </c>
      <c r="E1377" s="6">
        <v>0.22422027399717481</v>
      </c>
      <c r="F1377" s="6">
        <v>0.3005763673043208</v>
      </c>
      <c r="G1377" s="3" t="s">
        <v>1</v>
      </c>
      <c r="H1377">
        <v>0.27210884400000002</v>
      </c>
      <c r="I1377">
        <v>0.13605442200000001</v>
      </c>
      <c r="J1377">
        <v>0.23809523799999999</v>
      </c>
      <c r="K1377">
        <v>0.35467980300000002</v>
      </c>
      <c r="L1377">
        <v>0.29039301299999998</v>
      </c>
      <c r="M1377">
        <v>3.7393558E-2</v>
      </c>
      <c r="N1377" t="e">
        <v>#N/A</v>
      </c>
      <c r="O1377" t="e">
        <v>#N/A</v>
      </c>
    </row>
    <row r="1378" spans="1:15" x14ac:dyDescent="0.25">
      <c r="A1378" t="s">
        <v>4</v>
      </c>
      <c r="B1378" t="s">
        <v>25</v>
      </c>
      <c r="C1378" s="3" t="str">
        <f>IF($B1378="GW1",VLOOKUP($A1378,Matches!$A:$AC,2,FALSE),IF($B1378="GW2",VLOOKUP($A1378,Matches!$A:$AC,9,FALSE),IF($B1378="GW3",VLOOKUP($A1378,Matches!$A:$AC,16,FALSE))))</f>
        <v>Crystal Palace</v>
      </c>
      <c r="D1378" s="6">
        <v>0.52479664130149561</v>
      </c>
      <c r="E1378" s="6">
        <v>0.22422027399717481</v>
      </c>
      <c r="F1378" s="6">
        <v>0.3005763673043208</v>
      </c>
      <c r="G1378" s="3" t="s">
        <v>1</v>
      </c>
      <c r="H1378">
        <v>9.5238094999999995E-2</v>
      </c>
      <c r="I1378">
        <v>8.6580087E-2</v>
      </c>
      <c r="J1378">
        <v>0.36630036599999999</v>
      </c>
      <c r="K1378">
        <v>0.35467980300000002</v>
      </c>
      <c r="L1378">
        <v>0.29039301299999998</v>
      </c>
      <c r="M1378">
        <v>3.7393558E-2</v>
      </c>
      <c r="N1378" t="e">
        <v>#N/A</v>
      </c>
      <c r="O1378" t="e">
        <v>#N/A</v>
      </c>
    </row>
    <row r="1379" spans="1:15" x14ac:dyDescent="0.25">
      <c r="A1379" t="s">
        <v>4</v>
      </c>
      <c r="B1379" t="s">
        <v>25</v>
      </c>
      <c r="C1379" s="3" t="str">
        <f>IF($B1379="GW1",VLOOKUP($A1379,Matches!$A:$AC,2,FALSE),IF($B1379="GW2",VLOOKUP($A1379,Matches!$A:$AC,9,FALSE),IF($B1379="GW3",VLOOKUP($A1379,Matches!$A:$AC,16,FALSE))))</f>
        <v>Crystal Palace</v>
      </c>
      <c r="D1379" s="6">
        <v>0.52479664130149561</v>
      </c>
      <c r="E1379" s="6">
        <v>0.22422027399717481</v>
      </c>
      <c r="F1379" s="6">
        <v>0.3005763673043208</v>
      </c>
      <c r="G1379" s="3" t="s">
        <v>1</v>
      </c>
      <c r="H1379">
        <v>0.15873015900000001</v>
      </c>
      <c r="I1379">
        <v>7.3260072999999995E-2</v>
      </c>
      <c r="J1379">
        <v>0.297619048</v>
      </c>
      <c r="K1379">
        <v>0.35467980300000002</v>
      </c>
      <c r="L1379">
        <v>0.29039301299999998</v>
      </c>
      <c r="M1379">
        <v>3.7393558E-2</v>
      </c>
      <c r="N1379" t="e">
        <v>#N/A</v>
      </c>
      <c r="O1379" t="e">
        <v>#N/A</v>
      </c>
    </row>
    <row r="1380" spans="1:15" x14ac:dyDescent="0.25">
      <c r="A1380" t="s">
        <v>4</v>
      </c>
      <c r="B1380" t="s">
        <v>25</v>
      </c>
      <c r="C1380" s="3" t="str">
        <f>IF($B1380="GW1",VLOOKUP($A1380,Matches!$A:$AC,2,FALSE),IF($B1380="GW2",VLOOKUP($A1380,Matches!$A:$AC,9,FALSE),IF($B1380="GW3",VLOOKUP($A1380,Matches!$A:$AC,16,FALSE))))</f>
        <v>Crystal Palace</v>
      </c>
      <c r="D1380" s="6">
        <v>0.52479664130149561</v>
      </c>
      <c r="E1380" s="6">
        <v>0.22422027399717481</v>
      </c>
      <c r="F1380" s="6">
        <v>0.3005763673043208</v>
      </c>
      <c r="G1380" s="3" t="s">
        <v>1</v>
      </c>
      <c r="H1380" t="e">
        <v>#N/A</v>
      </c>
      <c r="I1380" t="e">
        <v>#N/A</v>
      </c>
      <c r="J1380" t="e">
        <v>#N/A</v>
      </c>
      <c r="K1380">
        <v>0.35467980300000002</v>
      </c>
      <c r="L1380">
        <v>0.29039301299999998</v>
      </c>
      <c r="M1380">
        <v>3.7393558E-2</v>
      </c>
      <c r="N1380" t="e">
        <v>#N/A</v>
      </c>
      <c r="O1380" t="e">
        <v>#N/A</v>
      </c>
    </row>
    <row r="1381" spans="1:15" x14ac:dyDescent="0.25">
      <c r="A1381" t="s">
        <v>4</v>
      </c>
      <c r="B1381" t="s">
        <v>25</v>
      </c>
      <c r="C1381" s="3" t="str">
        <f>IF($B1381="GW1",VLOOKUP($A1381,Matches!$A:$AC,2,FALSE),IF($B1381="GW2",VLOOKUP($A1381,Matches!$A:$AC,9,FALSE),IF($B1381="GW3",VLOOKUP($A1381,Matches!$A:$AC,16,FALSE))))</f>
        <v>Crystal Palace</v>
      </c>
      <c r="D1381" s="6">
        <v>0.52479664130149561</v>
      </c>
      <c r="E1381" s="6">
        <v>0.22422027399717481</v>
      </c>
      <c r="F1381" s="6">
        <v>0.3005763673043208</v>
      </c>
      <c r="G1381" s="3" t="s">
        <v>1</v>
      </c>
      <c r="H1381" t="e">
        <v>#N/A</v>
      </c>
      <c r="I1381" t="e">
        <v>#N/A</v>
      </c>
      <c r="J1381" t="e">
        <v>#N/A</v>
      </c>
      <c r="K1381">
        <v>0.35467980300000002</v>
      </c>
      <c r="L1381">
        <v>0.29039301299999998</v>
      </c>
      <c r="M1381">
        <v>3.7393558E-2</v>
      </c>
      <c r="N1381" t="e">
        <v>#N/A</v>
      </c>
      <c r="O1381" t="e">
        <v>#N/A</v>
      </c>
    </row>
    <row r="1382" spans="1:15" x14ac:dyDescent="0.25">
      <c r="A1382" t="s">
        <v>4</v>
      </c>
      <c r="B1382" t="s">
        <v>25</v>
      </c>
      <c r="C1382" s="3" t="str">
        <f>IF($B1382="GW1",VLOOKUP($A1382,Matches!$A:$AC,2,FALSE),IF($B1382="GW2",VLOOKUP($A1382,Matches!$A:$AC,9,FALSE),IF($B1382="GW3",VLOOKUP($A1382,Matches!$A:$AC,16,FALSE))))</f>
        <v>Crystal Palace</v>
      </c>
      <c r="D1382" s="6">
        <v>0.52479664130149561</v>
      </c>
      <c r="E1382" s="6">
        <v>0.22422027399717481</v>
      </c>
      <c r="F1382" s="6">
        <v>0.3005763673043208</v>
      </c>
      <c r="G1382" s="3" t="s">
        <v>1</v>
      </c>
      <c r="H1382" t="e">
        <v>#N/A</v>
      </c>
      <c r="I1382" t="e">
        <v>#N/A</v>
      </c>
      <c r="J1382" t="e">
        <v>#N/A</v>
      </c>
      <c r="K1382">
        <v>0.35467980300000002</v>
      </c>
      <c r="L1382">
        <v>0.29039301299999998</v>
      </c>
      <c r="M1382">
        <v>3.7393558E-2</v>
      </c>
      <c r="N1382" t="e">
        <v>#N/A</v>
      </c>
      <c r="O1382" t="e">
        <v>#N/A</v>
      </c>
    </row>
    <row r="1383" spans="1:15" x14ac:dyDescent="0.25">
      <c r="A1383" t="s">
        <v>4</v>
      </c>
      <c r="B1383" t="s">
        <v>25</v>
      </c>
      <c r="C1383" s="3" t="str">
        <f>IF($B1383="GW1",VLOOKUP($A1383,Matches!$A:$AC,2,FALSE),IF($B1383="GW2",VLOOKUP($A1383,Matches!$A:$AC,9,FALSE),IF($B1383="GW3",VLOOKUP($A1383,Matches!$A:$AC,16,FALSE))))</f>
        <v>Crystal Palace</v>
      </c>
      <c r="D1383" s="6">
        <v>0.52479664130149561</v>
      </c>
      <c r="E1383" s="6">
        <v>0.22422027399717481</v>
      </c>
      <c r="F1383" s="6">
        <v>0.3005763673043208</v>
      </c>
      <c r="G1383" s="3" t="s">
        <v>1</v>
      </c>
      <c r="H1383" t="e">
        <v>#N/A</v>
      </c>
      <c r="I1383" t="e">
        <v>#N/A</v>
      </c>
      <c r="J1383" t="e">
        <v>#N/A</v>
      </c>
      <c r="K1383">
        <v>0.35467980300000002</v>
      </c>
      <c r="L1383">
        <v>0.29039301299999998</v>
      </c>
      <c r="M1383">
        <v>3.7393558E-2</v>
      </c>
      <c r="N1383" t="e">
        <v>#N/A</v>
      </c>
      <c r="O1383" t="e">
        <v>#N/A</v>
      </c>
    </row>
    <row r="1384" spans="1:15" x14ac:dyDescent="0.25">
      <c r="A1384" t="s">
        <v>4</v>
      </c>
      <c r="B1384" t="s">
        <v>25</v>
      </c>
      <c r="C1384" s="3" t="str">
        <f>IF($B1384="GW1",VLOOKUP($A1384,Matches!$A:$AC,2,FALSE),IF($B1384="GW2",VLOOKUP($A1384,Matches!$A:$AC,9,FALSE),IF($B1384="GW3",VLOOKUP($A1384,Matches!$A:$AC,16,FALSE))))</f>
        <v>Crystal Palace</v>
      </c>
      <c r="D1384" s="6">
        <v>0.52479664130149561</v>
      </c>
      <c r="E1384" s="6">
        <v>0.22422027399717481</v>
      </c>
      <c r="F1384" s="6">
        <v>0.3005763673043208</v>
      </c>
      <c r="G1384" s="3" t="s">
        <v>1</v>
      </c>
      <c r="H1384">
        <v>0.42328042300000002</v>
      </c>
      <c r="I1384">
        <v>0.13605442200000001</v>
      </c>
      <c r="J1384">
        <v>0.15873015900000001</v>
      </c>
      <c r="K1384">
        <v>0.35467980300000002</v>
      </c>
      <c r="L1384">
        <v>0.29039301299999998</v>
      </c>
      <c r="M1384">
        <v>3.7393558E-2</v>
      </c>
      <c r="N1384" t="e">
        <v>#N/A</v>
      </c>
      <c r="O1384" t="e">
        <v>#N/A</v>
      </c>
    </row>
    <row r="1385" spans="1:15" x14ac:dyDescent="0.25">
      <c r="A1385" t="s">
        <v>4</v>
      </c>
      <c r="B1385" t="s">
        <v>25</v>
      </c>
      <c r="C1385" s="3" t="str">
        <f>IF($B1385="GW1",VLOOKUP($A1385,Matches!$A:$AC,2,FALSE),IF($B1385="GW2",VLOOKUP($A1385,Matches!$A:$AC,9,FALSE),IF($B1385="GW3",VLOOKUP($A1385,Matches!$A:$AC,16,FALSE))))</f>
        <v>Crystal Palace</v>
      </c>
      <c r="D1385" s="6">
        <v>0.52479664130149561</v>
      </c>
      <c r="E1385" s="6">
        <v>0.22422027399717481</v>
      </c>
      <c r="F1385" s="6">
        <v>0.3005763673043208</v>
      </c>
      <c r="G1385" s="3" t="s">
        <v>1</v>
      </c>
      <c r="H1385" t="e">
        <v>#N/A</v>
      </c>
      <c r="I1385" t="e">
        <v>#N/A</v>
      </c>
      <c r="J1385" t="e">
        <v>#N/A</v>
      </c>
      <c r="K1385">
        <v>0.35467980300000002</v>
      </c>
      <c r="L1385">
        <v>0.29039301299999998</v>
      </c>
      <c r="M1385">
        <v>3.7393558E-2</v>
      </c>
      <c r="N1385" t="e">
        <v>#N/A</v>
      </c>
      <c r="O1385" t="e">
        <v>#N/A</v>
      </c>
    </row>
    <row r="1386" spans="1:15" x14ac:dyDescent="0.25">
      <c r="A1386" t="s">
        <v>5</v>
      </c>
      <c r="B1386" t="s">
        <v>25</v>
      </c>
      <c r="C1386" s="3" t="str">
        <f>IF($B1386="GW1",VLOOKUP($A1386,Matches!$A:$AC,2,FALSE),IF($B1386="GW2",VLOOKUP($A1386,Matches!$A:$AC,9,FALSE),IF($B1386="GW3",VLOOKUP($A1386,Matches!$A:$AC,16,FALSE))))</f>
        <v>Man Utd</v>
      </c>
      <c r="D1386" s="6">
        <v>0.11121120119218407</v>
      </c>
      <c r="E1386" s="6">
        <v>0.71916576770945695</v>
      </c>
      <c r="F1386" s="6">
        <v>-0.60795456651727287</v>
      </c>
      <c r="G1386" s="3" t="s">
        <v>0</v>
      </c>
      <c r="H1386" t="e">
        <v>#N/A</v>
      </c>
      <c r="I1386" t="e">
        <v>#N/A</v>
      </c>
      <c r="J1386">
        <v>7.3260072999999995E-2</v>
      </c>
      <c r="K1386">
        <v>0.13580246900000001</v>
      </c>
      <c r="L1386">
        <v>0.625</v>
      </c>
      <c r="M1386">
        <v>0.171686747</v>
      </c>
      <c r="N1386" t="e">
        <v>#N/A</v>
      </c>
      <c r="O1386" t="e">
        <v>#N/A</v>
      </c>
    </row>
    <row r="1387" spans="1:15" x14ac:dyDescent="0.25">
      <c r="A1387" t="s">
        <v>5</v>
      </c>
      <c r="B1387" t="s">
        <v>25</v>
      </c>
      <c r="C1387" s="3" t="str">
        <f>IF($B1387="GW1",VLOOKUP($A1387,Matches!$A:$AC,2,FALSE),IF($B1387="GW2",VLOOKUP($A1387,Matches!$A:$AC,9,FALSE),IF($B1387="GW3",VLOOKUP($A1387,Matches!$A:$AC,16,FALSE))))</f>
        <v>Man Utd</v>
      </c>
      <c r="D1387" s="6">
        <v>0.11121120119218407</v>
      </c>
      <c r="E1387" s="6">
        <v>0.71916576770945695</v>
      </c>
      <c r="F1387" s="6">
        <v>-0.60795456651727287</v>
      </c>
      <c r="G1387" s="3" t="s">
        <v>0</v>
      </c>
      <c r="H1387" t="e">
        <v>#N/A</v>
      </c>
      <c r="I1387" t="e">
        <v>#N/A</v>
      </c>
      <c r="J1387">
        <v>0.13605442200000001</v>
      </c>
      <c r="K1387">
        <v>0.13580246900000001</v>
      </c>
      <c r="L1387">
        <v>0.625</v>
      </c>
      <c r="M1387">
        <v>0.171686747</v>
      </c>
      <c r="N1387" t="e">
        <v>#N/A</v>
      </c>
      <c r="O1387" t="e">
        <v>#N/A</v>
      </c>
    </row>
    <row r="1388" spans="1:15" x14ac:dyDescent="0.25">
      <c r="A1388" t="s">
        <v>5</v>
      </c>
      <c r="B1388" t="s">
        <v>25</v>
      </c>
      <c r="C1388" s="3" t="str">
        <f>IF($B1388="GW1",VLOOKUP($A1388,Matches!$A:$AC,2,FALSE),IF($B1388="GW2",VLOOKUP($A1388,Matches!$A:$AC,9,FALSE),IF($B1388="GW3",VLOOKUP($A1388,Matches!$A:$AC,16,FALSE))))</f>
        <v>Man Utd</v>
      </c>
      <c r="D1388" s="6">
        <v>0.11121120119218407</v>
      </c>
      <c r="E1388" s="6">
        <v>0.71916576770945695</v>
      </c>
      <c r="F1388" s="6">
        <v>-0.60795456651727287</v>
      </c>
      <c r="G1388" s="3" t="s">
        <v>0</v>
      </c>
      <c r="H1388" t="e">
        <v>#N/A</v>
      </c>
      <c r="I1388" t="e">
        <v>#N/A</v>
      </c>
      <c r="J1388" t="e">
        <v>#N/A</v>
      </c>
      <c r="K1388">
        <v>0.13580246900000001</v>
      </c>
      <c r="L1388">
        <v>0.625</v>
      </c>
      <c r="M1388">
        <v>0.171686747</v>
      </c>
      <c r="N1388" t="e">
        <v>#N/A</v>
      </c>
      <c r="O1388" t="e">
        <v>#N/A</v>
      </c>
    </row>
    <row r="1389" spans="1:15" x14ac:dyDescent="0.25">
      <c r="A1389" t="s">
        <v>5</v>
      </c>
      <c r="B1389" t="s">
        <v>25</v>
      </c>
      <c r="C1389" s="3" t="str">
        <f>IF($B1389="GW1",VLOOKUP($A1389,Matches!$A:$AC,2,FALSE),IF($B1389="GW2",VLOOKUP($A1389,Matches!$A:$AC,9,FALSE),IF($B1389="GW3",VLOOKUP($A1389,Matches!$A:$AC,16,FALSE))))</f>
        <v>Man Utd</v>
      </c>
      <c r="D1389" s="6">
        <v>0.11121120119218407</v>
      </c>
      <c r="E1389" s="6">
        <v>0.71916576770945695</v>
      </c>
      <c r="F1389" s="6">
        <v>-0.60795456651727287</v>
      </c>
      <c r="G1389" s="3" t="s">
        <v>0</v>
      </c>
      <c r="H1389">
        <v>4.1407867000000001E-2</v>
      </c>
      <c r="I1389">
        <v>5.6022409000000002E-2</v>
      </c>
      <c r="J1389">
        <v>0.21994941200000001</v>
      </c>
      <c r="K1389">
        <v>0.13580246900000001</v>
      </c>
      <c r="L1389">
        <v>0.625</v>
      </c>
      <c r="M1389">
        <v>0.171686747</v>
      </c>
      <c r="N1389" t="e">
        <v>#N/A</v>
      </c>
      <c r="O1389" t="e">
        <v>#N/A</v>
      </c>
    </row>
    <row r="1390" spans="1:15" x14ac:dyDescent="0.25">
      <c r="A1390" t="s">
        <v>5</v>
      </c>
      <c r="B1390" t="s">
        <v>25</v>
      </c>
      <c r="C1390" s="3" t="str">
        <f>IF($B1390="GW1",VLOOKUP($A1390,Matches!$A:$AC,2,FALSE),IF($B1390="GW2",VLOOKUP($A1390,Matches!$A:$AC,9,FALSE),IF($B1390="GW3",VLOOKUP($A1390,Matches!$A:$AC,16,FALSE))))</f>
        <v>Man Utd</v>
      </c>
      <c r="D1390" s="6">
        <v>0.11121120119218407</v>
      </c>
      <c r="E1390" s="6">
        <v>0.71916576770945695</v>
      </c>
      <c r="F1390" s="6">
        <v>-0.60795456651727287</v>
      </c>
      <c r="G1390" s="3" t="s">
        <v>0</v>
      </c>
      <c r="H1390">
        <v>3.6630036999999997E-2</v>
      </c>
      <c r="I1390">
        <v>3.2840722000000003E-2</v>
      </c>
      <c r="J1390">
        <v>0.173160173</v>
      </c>
      <c r="K1390">
        <v>0.13580246900000001</v>
      </c>
      <c r="L1390">
        <v>0.625</v>
      </c>
      <c r="M1390">
        <v>0.171686747</v>
      </c>
      <c r="N1390" t="e">
        <v>#N/A</v>
      </c>
      <c r="O1390" t="e">
        <v>#N/A</v>
      </c>
    </row>
    <row r="1391" spans="1:15" x14ac:dyDescent="0.25">
      <c r="A1391" t="s">
        <v>5</v>
      </c>
      <c r="B1391" t="s">
        <v>25</v>
      </c>
      <c r="C1391" s="3" t="str">
        <f>IF($B1391="GW1",VLOOKUP($A1391,Matches!$A:$AC,2,FALSE),IF($B1391="GW2",VLOOKUP($A1391,Matches!$A:$AC,9,FALSE),IF($B1391="GW3",VLOOKUP($A1391,Matches!$A:$AC,16,FALSE))))</f>
        <v>Man Utd</v>
      </c>
      <c r="D1391" s="6">
        <v>0.11121120119218407</v>
      </c>
      <c r="E1391" s="6">
        <v>0.71916576770945695</v>
      </c>
      <c r="F1391" s="6">
        <v>-0.60795456651727287</v>
      </c>
      <c r="G1391" s="3" t="s">
        <v>0</v>
      </c>
      <c r="H1391" t="e">
        <v>#N/A</v>
      </c>
      <c r="I1391" t="e">
        <v>#N/A</v>
      </c>
      <c r="J1391" t="e">
        <v>#N/A</v>
      </c>
      <c r="K1391">
        <v>0.13580246900000001</v>
      </c>
      <c r="L1391">
        <v>0.625</v>
      </c>
      <c r="M1391">
        <v>0.171686747</v>
      </c>
      <c r="N1391" t="e">
        <v>#N/A</v>
      </c>
      <c r="O1391" t="e">
        <v>#N/A</v>
      </c>
    </row>
    <row r="1392" spans="1:15" x14ac:dyDescent="0.25">
      <c r="A1392" t="s">
        <v>5</v>
      </c>
      <c r="B1392" t="s">
        <v>25</v>
      </c>
      <c r="C1392" s="3" t="str">
        <f>IF($B1392="GW1",VLOOKUP($A1392,Matches!$A:$AC,2,FALSE),IF($B1392="GW2",VLOOKUP($A1392,Matches!$A:$AC,9,FALSE),IF($B1392="GW3",VLOOKUP($A1392,Matches!$A:$AC,16,FALSE))))</f>
        <v>Man Utd</v>
      </c>
      <c r="D1392" s="6">
        <v>0.11121120119218407</v>
      </c>
      <c r="E1392" s="6">
        <v>0.71916576770945695</v>
      </c>
      <c r="F1392" s="6">
        <v>-0.60795456651727287</v>
      </c>
      <c r="G1392" s="3" t="s">
        <v>0</v>
      </c>
      <c r="H1392" t="e">
        <v>#N/A</v>
      </c>
      <c r="I1392" t="e">
        <v>#N/A</v>
      </c>
      <c r="J1392" t="e">
        <v>#N/A</v>
      </c>
      <c r="K1392">
        <v>0.13580246900000001</v>
      </c>
      <c r="L1392">
        <v>0.625</v>
      </c>
      <c r="M1392">
        <v>0.171686747</v>
      </c>
      <c r="N1392" t="e">
        <v>#N/A</v>
      </c>
      <c r="O1392" t="e">
        <v>#N/A</v>
      </c>
    </row>
    <row r="1393" spans="1:15" x14ac:dyDescent="0.25">
      <c r="A1393" t="s">
        <v>5</v>
      </c>
      <c r="B1393" t="s">
        <v>25</v>
      </c>
      <c r="C1393" s="3" t="str">
        <f>IF($B1393="GW1",VLOOKUP($A1393,Matches!$A:$AC,2,FALSE),IF($B1393="GW2",VLOOKUP($A1393,Matches!$A:$AC,9,FALSE),IF($B1393="GW3",VLOOKUP($A1393,Matches!$A:$AC,16,FALSE))))</f>
        <v>Man Utd</v>
      </c>
      <c r="D1393" s="6">
        <v>0.11121120119218407</v>
      </c>
      <c r="E1393" s="6">
        <v>0.71916576770945695</v>
      </c>
      <c r="F1393" s="6">
        <v>-0.60795456651727287</v>
      </c>
      <c r="G1393" s="3" t="s">
        <v>0</v>
      </c>
      <c r="H1393">
        <v>4.1407867000000001E-2</v>
      </c>
      <c r="I1393">
        <v>3.6630036999999997E-2</v>
      </c>
      <c r="J1393">
        <v>0.19047618999999999</v>
      </c>
      <c r="K1393">
        <v>0.13580246900000001</v>
      </c>
      <c r="L1393">
        <v>0.625</v>
      </c>
      <c r="M1393">
        <v>0.171686747</v>
      </c>
      <c r="N1393" t="e">
        <v>#N/A</v>
      </c>
      <c r="O1393" t="e">
        <v>#N/A</v>
      </c>
    </row>
    <row r="1394" spans="1:15" x14ac:dyDescent="0.25">
      <c r="A1394" t="s">
        <v>5</v>
      </c>
      <c r="B1394" t="s">
        <v>25</v>
      </c>
      <c r="C1394" s="3" t="str">
        <f>IF($B1394="GW1",VLOOKUP($A1394,Matches!$A:$AC,2,FALSE),IF($B1394="GW2",VLOOKUP($A1394,Matches!$A:$AC,9,FALSE),IF($B1394="GW3",VLOOKUP($A1394,Matches!$A:$AC,16,FALSE))))</f>
        <v>Man Utd</v>
      </c>
      <c r="D1394" s="6">
        <v>0.11121120119218407</v>
      </c>
      <c r="E1394" s="6">
        <v>0.71916576770945695</v>
      </c>
      <c r="F1394" s="6">
        <v>-0.60795456651727287</v>
      </c>
      <c r="G1394" s="3" t="s">
        <v>0</v>
      </c>
      <c r="H1394">
        <v>5.0125312999999998E-2</v>
      </c>
      <c r="I1394">
        <v>1.8674136000000001E-2</v>
      </c>
      <c r="J1394">
        <v>0.21994941200000001</v>
      </c>
      <c r="K1394">
        <v>0.13580246900000001</v>
      </c>
      <c r="L1394">
        <v>0.625</v>
      </c>
      <c r="M1394">
        <v>0.171686747</v>
      </c>
      <c r="N1394" t="e">
        <v>#N/A</v>
      </c>
      <c r="O1394" t="e">
        <v>#N/A</v>
      </c>
    </row>
    <row r="1395" spans="1:15" x14ac:dyDescent="0.25">
      <c r="A1395" t="s">
        <v>5</v>
      </c>
      <c r="B1395" t="s">
        <v>25</v>
      </c>
      <c r="C1395" s="3" t="str">
        <f>IF($B1395="GW1",VLOOKUP($A1395,Matches!$A:$AC,2,FALSE),IF($B1395="GW2",VLOOKUP($A1395,Matches!$A:$AC,9,FALSE),IF($B1395="GW3",VLOOKUP($A1395,Matches!$A:$AC,16,FALSE))))</f>
        <v>Man Utd</v>
      </c>
      <c r="D1395" s="6">
        <v>0.11121120119218407</v>
      </c>
      <c r="E1395" s="6">
        <v>0.71916576770945695</v>
      </c>
      <c r="F1395" s="6">
        <v>-0.60795456651727287</v>
      </c>
      <c r="G1395" s="3" t="s">
        <v>0</v>
      </c>
      <c r="H1395">
        <v>5.0125312999999998E-2</v>
      </c>
      <c r="I1395">
        <v>6.3492063000000001E-2</v>
      </c>
      <c r="J1395">
        <v>0.23809523799999999</v>
      </c>
      <c r="K1395">
        <v>0.13580246900000001</v>
      </c>
      <c r="L1395">
        <v>0.625</v>
      </c>
      <c r="M1395">
        <v>0.171686747</v>
      </c>
      <c r="N1395" t="e">
        <v>#N/A</v>
      </c>
      <c r="O1395" t="e">
        <v>#N/A</v>
      </c>
    </row>
    <row r="1396" spans="1:15" x14ac:dyDescent="0.25">
      <c r="A1396" t="s">
        <v>5</v>
      </c>
      <c r="B1396" t="s">
        <v>25</v>
      </c>
      <c r="C1396" s="3" t="str">
        <f>IF($B1396="GW1",VLOOKUP($A1396,Matches!$A:$AC,2,FALSE),IF($B1396="GW2",VLOOKUP($A1396,Matches!$A:$AC,9,FALSE),IF($B1396="GW3",VLOOKUP($A1396,Matches!$A:$AC,16,FALSE))))</f>
        <v>Man Utd</v>
      </c>
      <c r="D1396" s="6">
        <v>0.11121120119218407</v>
      </c>
      <c r="E1396" s="6">
        <v>0.71916576770945695</v>
      </c>
      <c r="F1396" s="6">
        <v>-0.60795456651727287</v>
      </c>
      <c r="G1396" s="3" t="s">
        <v>0</v>
      </c>
      <c r="H1396">
        <v>4.1407867000000001E-2</v>
      </c>
      <c r="I1396">
        <v>5.6022409000000002E-2</v>
      </c>
      <c r="J1396">
        <v>0.15873015900000001</v>
      </c>
      <c r="K1396">
        <v>0.13580246900000001</v>
      </c>
      <c r="L1396">
        <v>0.625</v>
      </c>
      <c r="M1396">
        <v>0.171686747</v>
      </c>
      <c r="N1396" t="e">
        <v>#N/A</v>
      </c>
      <c r="O1396" t="e">
        <v>#N/A</v>
      </c>
    </row>
    <row r="1397" spans="1:15" x14ac:dyDescent="0.25">
      <c r="A1397" t="s">
        <v>5</v>
      </c>
      <c r="B1397" t="s">
        <v>25</v>
      </c>
      <c r="C1397" s="3" t="str">
        <f>IF($B1397="GW1",VLOOKUP($A1397,Matches!$A:$AC,2,FALSE),IF($B1397="GW2",VLOOKUP($A1397,Matches!$A:$AC,9,FALSE),IF($B1397="GW3",VLOOKUP($A1397,Matches!$A:$AC,16,FALSE))))</f>
        <v>Man Utd</v>
      </c>
      <c r="D1397" s="6">
        <v>0.11121120119218407</v>
      </c>
      <c r="E1397" s="6">
        <v>0.71916576770945695</v>
      </c>
      <c r="F1397" s="6">
        <v>-0.60795456651727287</v>
      </c>
      <c r="G1397" s="3" t="s">
        <v>0</v>
      </c>
      <c r="H1397">
        <v>5.0125312999999998E-2</v>
      </c>
      <c r="I1397">
        <v>2.8011204000000001E-2</v>
      </c>
      <c r="J1397">
        <v>0.23809523799999999</v>
      </c>
      <c r="K1397">
        <v>0.13580246900000001</v>
      </c>
      <c r="L1397">
        <v>0.625</v>
      </c>
      <c r="M1397">
        <v>0.171686747</v>
      </c>
      <c r="N1397" t="e">
        <v>#N/A</v>
      </c>
      <c r="O1397" t="e">
        <v>#N/A</v>
      </c>
    </row>
    <row r="1398" spans="1:15" x14ac:dyDescent="0.25">
      <c r="A1398" t="s">
        <v>5</v>
      </c>
      <c r="B1398" t="s">
        <v>25</v>
      </c>
      <c r="C1398" s="3" t="str">
        <f>IF($B1398="GW1",VLOOKUP($A1398,Matches!$A:$AC,2,FALSE),IF($B1398="GW2",VLOOKUP($A1398,Matches!$A:$AC,9,FALSE),IF($B1398="GW3",VLOOKUP($A1398,Matches!$A:$AC,16,FALSE))))</f>
        <v>Man Utd</v>
      </c>
      <c r="D1398" s="6">
        <v>0.11121120119218407</v>
      </c>
      <c r="E1398" s="6">
        <v>0.71916576770945695</v>
      </c>
      <c r="F1398" s="6">
        <v>-0.60795456651727287</v>
      </c>
      <c r="G1398" s="3" t="s">
        <v>0</v>
      </c>
      <c r="H1398" t="e">
        <v>#N/A</v>
      </c>
      <c r="I1398" t="e">
        <v>#N/A</v>
      </c>
      <c r="J1398" t="e">
        <v>#N/A</v>
      </c>
      <c r="K1398">
        <v>0.13580246900000001</v>
      </c>
      <c r="L1398">
        <v>0.625</v>
      </c>
      <c r="M1398">
        <v>0.171686747</v>
      </c>
      <c r="N1398" t="e">
        <v>#N/A</v>
      </c>
      <c r="O1398" t="e">
        <v>#N/A</v>
      </c>
    </row>
    <row r="1399" spans="1:15" x14ac:dyDescent="0.25">
      <c r="A1399" t="s">
        <v>5</v>
      </c>
      <c r="B1399" t="s">
        <v>25</v>
      </c>
      <c r="C1399" s="3" t="str">
        <f>IF($B1399="GW1",VLOOKUP($A1399,Matches!$A:$AC,2,FALSE),IF($B1399="GW2",VLOOKUP($A1399,Matches!$A:$AC,9,FALSE),IF($B1399="GW3",VLOOKUP($A1399,Matches!$A:$AC,16,FALSE))))</f>
        <v>Man Utd</v>
      </c>
      <c r="D1399" s="6">
        <v>0.11121120119218407</v>
      </c>
      <c r="E1399" s="6">
        <v>0.71916576770945695</v>
      </c>
      <c r="F1399" s="6">
        <v>-0.60795456651727287</v>
      </c>
      <c r="G1399" s="3" t="s">
        <v>0</v>
      </c>
      <c r="H1399" t="e">
        <v>#N/A</v>
      </c>
      <c r="I1399" t="e">
        <v>#N/A</v>
      </c>
      <c r="J1399" t="e">
        <v>#N/A</v>
      </c>
      <c r="K1399">
        <v>0.13580246900000001</v>
      </c>
      <c r="L1399">
        <v>0.625</v>
      </c>
      <c r="M1399">
        <v>0.171686747</v>
      </c>
      <c r="N1399" t="e">
        <v>#N/A</v>
      </c>
      <c r="O1399" t="e">
        <v>#N/A</v>
      </c>
    </row>
    <row r="1400" spans="1:15" x14ac:dyDescent="0.25">
      <c r="A1400" t="s">
        <v>5</v>
      </c>
      <c r="B1400" t="s">
        <v>25</v>
      </c>
      <c r="C1400" s="3" t="str">
        <f>IF($B1400="GW1",VLOOKUP($A1400,Matches!$A:$AC,2,FALSE),IF($B1400="GW2",VLOOKUP($A1400,Matches!$A:$AC,9,FALSE),IF($B1400="GW3",VLOOKUP($A1400,Matches!$A:$AC,16,FALSE))))</f>
        <v>Man Utd</v>
      </c>
      <c r="D1400" s="6">
        <v>0.11121120119218407</v>
      </c>
      <c r="E1400" s="6">
        <v>0.71916576770945695</v>
      </c>
      <c r="F1400" s="6">
        <v>-0.60795456651727287</v>
      </c>
      <c r="G1400" s="3" t="s">
        <v>0</v>
      </c>
      <c r="H1400">
        <v>5.0125312999999998E-2</v>
      </c>
      <c r="I1400">
        <v>3.2840722000000003E-2</v>
      </c>
      <c r="J1400">
        <v>0.23809523799999999</v>
      </c>
      <c r="K1400">
        <v>0.13580246900000001</v>
      </c>
      <c r="L1400">
        <v>0.625</v>
      </c>
      <c r="M1400">
        <v>0.171686747</v>
      </c>
      <c r="N1400" t="e">
        <v>#N/A</v>
      </c>
      <c r="O1400" t="e">
        <v>#N/A</v>
      </c>
    </row>
    <row r="1401" spans="1:15" x14ac:dyDescent="0.25">
      <c r="A1401" t="s">
        <v>5</v>
      </c>
      <c r="B1401" t="s">
        <v>25</v>
      </c>
      <c r="C1401" s="3" t="str">
        <f>IF($B1401="GW1",VLOOKUP($A1401,Matches!$A:$AC,2,FALSE),IF($B1401="GW2",VLOOKUP($A1401,Matches!$A:$AC,9,FALSE),IF($B1401="GW3",VLOOKUP($A1401,Matches!$A:$AC,16,FALSE))))</f>
        <v>Man Utd</v>
      </c>
      <c r="D1401" s="6">
        <v>0.11121120119218407</v>
      </c>
      <c r="E1401" s="6">
        <v>0.71916576770945695</v>
      </c>
      <c r="F1401" s="6">
        <v>-0.60795456651727287</v>
      </c>
      <c r="G1401" s="3" t="s">
        <v>0</v>
      </c>
      <c r="H1401">
        <v>3.6630036999999997E-2</v>
      </c>
      <c r="I1401">
        <v>3.6630036999999997E-2</v>
      </c>
      <c r="J1401">
        <v>0.15873015900000001</v>
      </c>
      <c r="K1401">
        <v>0.13580246900000001</v>
      </c>
      <c r="L1401">
        <v>0.625</v>
      </c>
      <c r="M1401">
        <v>0.171686747</v>
      </c>
      <c r="N1401" t="e">
        <v>#N/A</v>
      </c>
      <c r="O1401" t="e">
        <v>#N/A</v>
      </c>
    </row>
    <row r="1402" spans="1:15" x14ac:dyDescent="0.25">
      <c r="A1402" t="s">
        <v>5</v>
      </c>
      <c r="B1402" t="s">
        <v>25</v>
      </c>
      <c r="C1402" s="3" t="str">
        <f>IF($B1402="GW1",VLOOKUP($A1402,Matches!$A:$AC,2,FALSE),IF($B1402="GW2",VLOOKUP($A1402,Matches!$A:$AC,9,FALSE),IF($B1402="GW3",VLOOKUP($A1402,Matches!$A:$AC,16,FALSE))))</f>
        <v>Man Utd</v>
      </c>
      <c r="D1402" s="6">
        <v>0.11121120119218407</v>
      </c>
      <c r="E1402" s="6">
        <v>0.71916576770945695</v>
      </c>
      <c r="F1402" s="6">
        <v>-0.60795456651727287</v>
      </c>
      <c r="G1402" s="3" t="s">
        <v>0</v>
      </c>
      <c r="H1402">
        <v>3.6630036999999997E-2</v>
      </c>
      <c r="I1402">
        <v>3.6630036999999997E-2</v>
      </c>
      <c r="J1402">
        <v>0.23809523799999999</v>
      </c>
      <c r="K1402">
        <v>0.13580246900000001</v>
      </c>
      <c r="L1402">
        <v>0.625</v>
      </c>
      <c r="M1402">
        <v>0.171686747</v>
      </c>
      <c r="N1402" t="e">
        <v>#N/A</v>
      </c>
      <c r="O1402" t="e">
        <v>#N/A</v>
      </c>
    </row>
    <row r="1403" spans="1:15" x14ac:dyDescent="0.25">
      <c r="A1403" t="s">
        <v>5</v>
      </c>
      <c r="B1403" t="s">
        <v>25</v>
      </c>
      <c r="C1403" s="3" t="str">
        <f>IF($B1403="GW1",VLOOKUP($A1403,Matches!$A:$AC,2,FALSE),IF($B1403="GW2",VLOOKUP($A1403,Matches!$A:$AC,9,FALSE),IF($B1403="GW3",VLOOKUP($A1403,Matches!$A:$AC,16,FALSE))))</f>
        <v>Man Utd</v>
      </c>
      <c r="D1403" s="6">
        <v>0.11121120119218407</v>
      </c>
      <c r="E1403" s="6">
        <v>0.71916576770945695</v>
      </c>
      <c r="F1403" s="6">
        <v>-0.60795456651727287</v>
      </c>
      <c r="G1403" s="3" t="s">
        <v>0</v>
      </c>
      <c r="H1403">
        <v>0.14652014699999999</v>
      </c>
      <c r="I1403">
        <v>8.6580087E-2</v>
      </c>
      <c r="J1403">
        <v>0.11904761899999999</v>
      </c>
      <c r="K1403">
        <v>0.13580246900000001</v>
      </c>
      <c r="L1403">
        <v>0.625</v>
      </c>
      <c r="M1403">
        <v>0.171686747</v>
      </c>
      <c r="N1403" t="e">
        <v>#N/A</v>
      </c>
      <c r="O1403" t="e">
        <v>#N/A</v>
      </c>
    </row>
    <row r="1404" spans="1:15" x14ac:dyDescent="0.25">
      <c r="A1404" t="s">
        <v>5</v>
      </c>
      <c r="B1404" t="s">
        <v>25</v>
      </c>
      <c r="C1404" s="3" t="str">
        <f>IF($B1404="GW1",VLOOKUP($A1404,Matches!$A:$AC,2,FALSE),IF($B1404="GW2",VLOOKUP($A1404,Matches!$A:$AC,9,FALSE),IF($B1404="GW3",VLOOKUP($A1404,Matches!$A:$AC,16,FALSE))))</f>
        <v>Man Utd</v>
      </c>
      <c r="D1404" s="6">
        <v>0.11121120119218407</v>
      </c>
      <c r="E1404" s="6">
        <v>0.71916576770945695</v>
      </c>
      <c r="F1404" s="6">
        <v>-0.60795456651727287</v>
      </c>
      <c r="G1404" s="3" t="s">
        <v>0</v>
      </c>
      <c r="H1404" t="e">
        <v>#N/A</v>
      </c>
      <c r="I1404" t="e">
        <v>#N/A</v>
      </c>
      <c r="J1404" t="e">
        <v>#N/A</v>
      </c>
      <c r="K1404">
        <v>0.13580246900000001</v>
      </c>
      <c r="L1404">
        <v>0.625</v>
      </c>
      <c r="M1404">
        <v>0.171686747</v>
      </c>
      <c r="N1404" t="e">
        <v>#N/A</v>
      </c>
      <c r="O1404" t="e">
        <v>#N/A</v>
      </c>
    </row>
    <row r="1405" spans="1:15" x14ac:dyDescent="0.25">
      <c r="A1405" t="s">
        <v>5</v>
      </c>
      <c r="B1405" t="s">
        <v>25</v>
      </c>
      <c r="C1405" s="3" t="str">
        <f>IF($B1405="GW1",VLOOKUP($A1405,Matches!$A:$AC,2,FALSE),IF($B1405="GW2",VLOOKUP($A1405,Matches!$A:$AC,9,FALSE),IF($B1405="GW3",VLOOKUP($A1405,Matches!$A:$AC,16,FALSE))))</f>
        <v>Man Utd</v>
      </c>
      <c r="D1405" s="6">
        <v>0.11121120119218407</v>
      </c>
      <c r="E1405" s="6">
        <v>0.71916576770945695</v>
      </c>
      <c r="F1405" s="6">
        <v>-0.60795456651727287</v>
      </c>
      <c r="G1405" s="3" t="s">
        <v>0</v>
      </c>
      <c r="H1405">
        <v>0.19047618999999999</v>
      </c>
      <c r="I1405">
        <v>8.6580087E-2</v>
      </c>
      <c r="J1405">
        <v>0.15873015900000001</v>
      </c>
      <c r="K1405">
        <v>0.13580246900000001</v>
      </c>
      <c r="L1405">
        <v>0.625</v>
      </c>
      <c r="M1405">
        <v>0.171686747</v>
      </c>
      <c r="N1405" t="e">
        <v>#N/A</v>
      </c>
      <c r="O1405" t="e">
        <v>#N/A</v>
      </c>
    </row>
    <row r="1406" spans="1:15" x14ac:dyDescent="0.25">
      <c r="A1406" t="s">
        <v>5</v>
      </c>
      <c r="B1406" t="s">
        <v>25</v>
      </c>
      <c r="C1406" s="3" t="str">
        <f>IF($B1406="GW1",VLOOKUP($A1406,Matches!$A:$AC,2,FALSE),IF($B1406="GW2",VLOOKUP($A1406,Matches!$A:$AC,9,FALSE),IF($B1406="GW3",VLOOKUP($A1406,Matches!$A:$AC,16,FALSE))))</f>
        <v>Man Utd</v>
      </c>
      <c r="D1406" s="6">
        <v>0.11121120119218407</v>
      </c>
      <c r="E1406" s="6">
        <v>0.71916576770945695</v>
      </c>
      <c r="F1406" s="6">
        <v>-0.60795456651727287</v>
      </c>
      <c r="G1406" s="3" t="s">
        <v>0</v>
      </c>
      <c r="H1406" t="e">
        <v>#N/A</v>
      </c>
      <c r="I1406" t="e">
        <v>#N/A</v>
      </c>
      <c r="J1406" t="e">
        <v>#N/A</v>
      </c>
      <c r="K1406">
        <v>0.13580246900000001</v>
      </c>
      <c r="L1406">
        <v>0.625</v>
      </c>
      <c r="M1406">
        <v>0.171686747</v>
      </c>
      <c r="N1406" t="e">
        <v>#N/A</v>
      </c>
      <c r="O1406" t="e">
        <v>#N/A</v>
      </c>
    </row>
    <row r="1407" spans="1:15" x14ac:dyDescent="0.25">
      <c r="A1407" t="s">
        <v>5</v>
      </c>
      <c r="B1407" t="s">
        <v>25</v>
      </c>
      <c r="C1407" s="3" t="str">
        <f>IF($B1407="GW1",VLOOKUP($A1407,Matches!$A:$AC,2,FALSE),IF($B1407="GW2",VLOOKUP($A1407,Matches!$A:$AC,9,FALSE),IF($B1407="GW3",VLOOKUP($A1407,Matches!$A:$AC,16,FALSE))))</f>
        <v>Man Utd</v>
      </c>
      <c r="D1407" s="6">
        <v>0.11121120119218407</v>
      </c>
      <c r="E1407" s="6">
        <v>0.71916576770945695</v>
      </c>
      <c r="F1407" s="6">
        <v>-0.60795456651727287</v>
      </c>
      <c r="G1407" s="3" t="s">
        <v>0</v>
      </c>
      <c r="H1407" t="e">
        <v>#N/A</v>
      </c>
      <c r="I1407" t="e">
        <v>#N/A</v>
      </c>
      <c r="J1407" t="e">
        <v>#N/A</v>
      </c>
      <c r="K1407">
        <v>0.13580246900000001</v>
      </c>
      <c r="L1407">
        <v>0.625</v>
      </c>
      <c r="M1407">
        <v>0.171686747</v>
      </c>
      <c r="N1407" t="e">
        <v>#N/A</v>
      </c>
      <c r="O1407" t="e">
        <v>#N/A</v>
      </c>
    </row>
    <row r="1408" spans="1:15" x14ac:dyDescent="0.25">
      <c r="A1408" t="s">
        <v>5</v>
      </c>
      <c r="B1408" t="s">
        <v>25</v>
      </c>
      <c r="C1408" s="3" t="str">
        <f>IF($B1408="GW1",VLOOKUP($A1408,Matches!$A:$AC,2,FALSE),IF($B1408="GW2",VLOOKUP($A1408,Matches!$A:$AC,9,FALSE),IF($B1408="GW3",VLOOKUP($A1408,Matches!$A:$AC,16,FALSE))))</f>
        <v>Man Utd</v>
      </c>
      <c r="D1408" s="6">
        <v>0.11121120119218407</v>
      </c>
      <c r="E1408" s="6">
        <v>0.71916576770945695</v>
      </c>
      <c r="F1408" s="6">
        <v>-0.60795456651727287</v>
      </c>
      <c r="G1408" s="3" t="s">
        <v>0</v>
      </c>
      <c r="H1408">
        <v>6.3492063000000001E-2</v>
      </c>
      <c r="I1408">
        <v>6.3492063000000001E-2</v>
      </c>
      <c r="J1408">
        <v>0.23809523799999999</v>
      </c>
      <c r="K1408">
        <v>0.13580246900000001</v>
      </c>
      <c r="L1408">
        <v>0.625</v>
      </c>
      <c r="M1408">
        <v>0.171686747</v>
      </c>
      <c r="N1408" t="e">
        <v>#N/A</v>
      </c>
      <c r="O1408" t="e">
        <v>#N/A</v>
      </c>
    </row>
    <row r="1409" spans="1:15" x14ac:dyDescent="0.25">
      <c r="A1409" t="s">
        <v>5</v>
      </c>
      <c r="B1409" t="s">
        <v>25</v>
      </c>
      <c r="C1409" s="3" t="str">
        <f>IF($B1409="GW1",VLOOKUP($A1409,Matches!$A:$AC,2,FALSE),IF($B1409="GW2",VLOOKUP($A1409,Matches!$A:$AC,9,FALSE),IF($B1409="GW3",VLOOKUP($A1409,Matches!$A:$AC,16,FALSE))))</f>
        <v>Man Utd</v>
      </c>
      <c r="D1409" s="6">
        <v>0.11121120119218407</v>
      </c>
      <c r="E1409" s="6">
        <v>0.71916576770945695</v>
      </c>
      <c r="F1409" s="6">
        <v>-0.60795456651727287</v>
      </c>
      <c r="G1409" s="3" t="s">
        <v>0</v>
      </c>
      <c r="H1409">
        <v>0.14652014699999999</v>
      </c>
      <c r="I1409">
        <v>6.3492063000000001E-2</v>
      </c>
      <c r="J1409">
        <v>0.15873015900000001</v>
      </c>
      <c r="K1409">
        <v>0.13580246900000001</v>
      </c>
      <c r="L1409">
        <v>0.625</v>
      </c>
      <c r="M1409">
        <v>0.171686747</v>
      </c>
      <c r="N1409" t="e">
        <v>#N/A</v>
      </c>
      <c r="O1409" t="e">
        <v>#N/A</v>
      </c>
    </row>
    <row r="1410" spans="1:15" x14ac:dyDescent="0.25">
      <c r="A1410" t="s">
        <v>5</v>
      </c>
      <c r="B1410" t="s">
        <v>25</v>
      </c>
      <c r="C1410" s="3" t="str">
        <f>IF($B1410="GW1",VLOOKUP($A1410,Matches!$A:$AC,2,FALSE),IF($B1410="GW2",VLOOKUP($A1410,Matches!$A:$AC,9,FALSE),IF($B1410="GW3",VLOOKUP($A1410,Matches!$A:$AC,16,FALSE))))</f>
        <v>Man Utd</v>
      </c>
      <c r="D1410" s="6">
        <v>0.11121120119218407</v>
      </c>
      <c r="E1410" s="6">
        <v>0.71916576770945695</v>
      </c>
      <c r="F1410" s="6">
        <v>-0.60795456651727287</v>
      </c>
      <c r="G1410" s="3" t="s">
        <v>0</v>
      </c>
      <c r="H1410">
        <v>0.10025062699999999</v>
      </c>
      <c r="I1410">
        <v>7.3260072999999995E-2</v>
      </c>
      <c r="J1410">
        <v>0.28011204499999998</v>
      </c>
      <c r="K1410">
        <v>0.13580246900000001</v>
      </c>
      <c r="L1410">
        <v>0.625</v>
      </c>
      <c r="M1410">
        <v>0.171686747</v>
      </c>
      <c r="N1410" t="e">
        <v>#N/A</v>
      </c>
      <c r="O1410" t="e">
        <v>#N/A</v>
      </c>
    </row>
    <row r="1411" spans="1:15" x14ac:dyDescent="0.25">
      <c r="A1411" t="s">
        <v>5</v>
      </c>
      <c r="B1411" t="s">
        <v>25</v>
      </c>
      <c r="C1411" s="3" t="str">
        <f>IF($B1411="GW1",VLOOKUP($A1411,Matches!$A:$AC,2,FALSE),IF($B1411="GW2",VLOOKUP($A1411,Matches!$A:$AC,9,FALSE),IF($B1411="GW3",VLOOKUP($A1411,Matches!$A:$AC,16,FALSE))))</f>
        <v>Man Utd</v>
      </c>
      <c r="D1411" s="6">
        <v>0.11121120119218407</v>
      </c>
      <c r="E1411" s="6">
        <v>0.71916576770945695</v>
      </c>
      <c r="F1411" s="6">
        <v>-0.60795456651727287</v>
      </c>
      <c r="G1411" s="3" t="s">
        <v>0</v>
      </c>
      <c r="H1411">
        <v>0.112044818</v>
      </c>
      <c r="I1411">
        <v>8.6580087E-2</v>
      </c>
      <c r="J1411">
        <v>0.13605442200000001</v>
      </c>
      <c r="K1411">
        <v>0.13580246900000001</v>
      </c>
      <c r="L1411">
        <v>0.625</v>
      </c>
      <c r="M1411">
        <v>0.171686747</v>
      </c>
      <c r="N1411" t="e">
        <v>#N/A</v>
      </c>
      <c r="O1411" t="e">
        <v>#N/A</v>
      </c>
    </row>
    <row r="1412" spans="1:15" x14ac:dyDescent="0.25">
      <c r="A1412" t="s">
        <v>5</v>
      </c>
      <c r="B1412" t="s">
        <v>25</v>
      </c>
      <c r="C1412" s="3" t="str">
        <f>IF($B1412="GW1",VLOOKUP($A1412,Matches!$A:$AC,2,FALSE),IF($B1412="GW2",VLOOKUP($A1412,Matches!$A:$AC,9,FALSE),IF($B1412="GW3",VLOOKUP($A1412,Matches!$A:$AC,16,FALSE))))</f>
        <v>Man Utd</v>
      </c>
      <c r="D1412" s="6">
        <v>0.11121120119218407</v>
      </c>
      <c r="E1412" s="6">
        <v>0.71916576770945695</v>
      </c>
      <c r="F1412" s="6">
        <v>-0.60795456651727287</v>
      </c>
      <c r="G1412" s="3" t="s">
        <v>0</v>
      </c>
      <c r="H1412">
        <v>8.6580087E-2</v>
      </c>
      <c r="I1412">
        <v>7.3260072999999995E-2</v>
      </c>
      <c r="J1412">
        <v>0.21994941200000001</v>
      </c>
      <c r="K1412">
        <v>0.13580246900000001</v>
      </c>
      <c r="L1412">
        <v>0.625</v>
      </c>
      <c r="M1412">
        <v>0.171686747</v>
      </c>
      <c r="N1412" t="e">
        <v>#N/A</v>
      </c>
      <c r="O1412" t="e">
        <v>#N/A</v>
      </c>
    </row>
    <row r="1413" spans="1:15" x14ac:dyDescent="0.25">
      <c r="A1413" t="s">
        <v>5</v>
      </c>
      <c r="B1413" t="s">
        <v>25</v>
      </c>
      <c r="C1413" s="3" t="str">
        <f>IF($B1413="GW1",VLOOKUP($A1413,Matches!$A:$AC,2,FALSE),IF($B1413="GW2",VLOOKUP($A1413,Matches!$A:$AC,9,FALSE),IF($B1413="GW3",VLOOKUP($A1413,Matches!$A:$AC,16,FALSE))))</f>
        <v>Man Utd</v>
      </c>
      <c r="D1413" s="6">
        <v>0.11121120119218407</v>
      </c>
      <c r="E1413" s="6">
        <v>0.71916576770945695</v>
      </c>
      <c r="F1413" s="6">
        <v>-0.60795456651727287</v>
      </c>
      <c r="G1413" s="3" t="s">
        <v>0</v>
      </c>
      <c r="H1413">
        <v>0.112044818</v>
      </c>
      <c r="I1413">
        <v>6.3492063000000001E-2</v>
      </c>
      <c r="J1413">
        <v>0.13605442200000001</v>
      </c>
      <c r="K1413">
        <v>0.13580246900000001</v>
      </c>
      <c r="L1413">
        <v>0.625</v>
      </c>
      <c r="M1413">
        <v>0.171686747</v>
      </c>
      <c r="N1413" t="e">
        <v>#N/A</v>
      </c>
      <c r="O1413" t="e">
        <v>#N/A</v>
      </c>
    </row>
    <row r="1414" spans="1:15" x14ac:dyDescent="0.25">
      <c r="A1414" t="s">
        <v>5</v>
      </c>
      <c r="B1414" t="s">
        <v>25</v>
      </c>
      <c r="C1414" s="3" t="str">
        <f>IF($B1414="GW1",VLOOKUP($A1414,Matches!$A:$AC,2,FALSE),IF($B1414="GW2",VLOOKUP($A1414,Matches!$A:$AC,9,FALSE),IF($B1414="GW3",VLOOKUP($A1414,Matches!$A:$AC,16,FALSE))))</f>
        <v>Man Utd</v>
      </c>
      <c r="D1414" s="6">
        <v>0.11121120119218407</v>
      </c>
      <c r="E1414" s="6">
        <v>0.71916576770945695</v>
      </c>
      <c r="F1414" s="6">
        <v>-0.60795456651727287</v>
      </c>
      <c r="G1414" s="3" t="s">
        <v>0</v>
      </c>
      <c r="H1414">
        <v>0.10025062699999999</v>
      </c>
      <c r="I1414">
        <v>6.3492063000000001E-2</v>
      </c>
      <c r="J1414">
        <v>0.19047618999999999</v>
      </c>
      <c r="K1414">
        <v>0.13580246900000001</v>
      </c>
      <c r="L1414">
        <v>0.625</v>
      </c>
      <c r="M1414">
        <v>0.171686747</v>
      </c>
      <c r="N1414" t="e">
        <v>#N/A</v>
      </c>
      <c r="O1414" t="e">
        <v>#N/A</v>
      </c>
    </row>
    <row r="1415" spans="1:15" x14ac:dyDescent="0.25">
      <c r="A1415" t="s">
        <v>5</v>
      </c>
      <c r="B1415" t="s">
        <v>25</v>
      </c>
      <c r="C1415" s="3" t="str">
        <f>IF($B1415="GW1",VLOOKUP($A1415,Matches!$A:$AC,2,FALSE),IF($B1415="GW2",VLOOKUP($A1415,Matches!$A:$AC,9,FALSE),IF($B1415="GW3",VLOOKUP($A1415,Matches!$A:$AC,16,FALSE))))</f>
        <v>Man Utd</v>
      </c>
      <c r="D1415" s="6">
        <v>0.11121120119218407</v>
      </c>
      <c r="E1415" s="6">
        <v>0.71916576770945695</v>
      </c>
      <c r="F1415" s="6">
        <v>-0.60795456651727287</v>
      </c>
      <c r="G1415" s="3" t="s">
        <v>0</v>
      </c>
      <c r="H1415" t="e">
        <v>#N/A</v>
      </c>
      <c r="I1415" t="e">
        <v>#N/A</v>
      </c>
      <c r="J1415" t="e">
        <v>#N/A</v>
      </c>
      <c r="K1415">
        <v>0.13580246900000001</v>
      </c>
      <c r="L1415">
        <v>0.625</v>
      </c>
      <c r="M1415">
        <v>0.171686747</v>
      </c>
      <c r="N1415" t="e">
        <v>#N/A</v>
      </c>
      <c r="O1415" t="e">
        <v>#N/A</v>
      </c>
    </row>
    <row r="1416" spans="1:15" x14ac:dyDescent="0.25">
      <c r="A1416" t="s">
        <v>5</v>
      </c>
      <c r="B1416" t="s">
        <v>25</v>
      </c>
      <c r="C1416" s="3" t="str">
        <f>IF($B1416="GW1",VLOOKUP($A1416,Matches!$A:$AC,2,FALSE),IF($B1416="GW2",VLOOKUP($A1416,Matches!$A:$AC,9,FALSE),IF($B1416="GW3",VLOOKUP($A1416,Matches!$A:$AC,16,FALSE))))</f>
        <v>Man Utd</v>
      </c>
      <c r="D1416" s="6">
        <v>0.11121120119218407</v>
      </c>
      <c r="E1416" s="6">
        <v>0.71916576770945695</v>
      </c>
      <c r="F1416" s="6">
        <v>-0.60795456651727287</v>
      </c>
      <c r="G1416" s="3" t="s">
        <v>0</v>
      </c>
      <c r="H1416">
        <v>0.112044818</v>
      </c>
      <c r="I1416">
        <v>6.3492063000000001E-2</v>
      </c>
      <c r="J1416">
        <v>0.19047618999999999</v>
      </c>
      <c r="K1416">
        <v>0.13580246900000001</v>
      </c>
      <c r="L1416">
        <v>0.625</v>
      </c>
      <c r="M1416">
        <v>0.171686747</v>
      </c>
      <c r="N1416" t="e">
        <v>#N/A</v>
      </c>
      <c r="O1416" t="e">
        <v>#N/A</v>
      </c>
    </row>
    <row r="1417" spans="1:15" x14ac:dyDescent="0.25">
      <c r="A1417" t="s">
        <v>5</v>
      </c>
      <c r="B1417" t="s">
        <v>25</v>
      </c>
      <c r="C1417" s="3" t="str">
        <f>IF($B1417="GW1",VLOOKUP($A1417,Matches!$A:$AC,2,FALSE),IF($B1417="GW2",VLOOKUP($A1417,Matches!$A:$AC,9,FALSE),IF($B1417="GW3",VLOOKUP($A1417,Matches!$A:$AC,16,FALSE))))</f>
        <v>Man Utd</v>
      </c>
      <c r="D1417" s="6">
        <v>0.11121120119218407</v>
      </c>
      <c r="E1417" s="6">
        <v>0.71916576770945695</v>
      </c>
      <c r="F1417" s="6">
        <v>-0.60795456651727287</v>
      </c>
      <c r="G1417" s="3" t="s">
        <v>0</v>
      </c>
      <c r="H1417" t="e">
        <v>#N/A</v>
      </c>
      <c r="I1417" t="e">
        <v>#N/A</v>
      </c>
      <c r="J1417" t="e">
        <v>#N/A</v>
      </c>
      <c r="K1417">
        <v>0.13580246900000001</v>
      </c>
      <c r="L1417">
        <v>0.625</v>
      </c>
      <c r="M1417">
        <v>0.171686747</v>
      </c>
      <c r="N1417" t="e">
        <v>#N/A</v>
      </c>
      <c r="O1417" t="e">
        <v>#N/A</v>
      </c>
    </row>
    <row r="1418" spans="1:15" x14ac:dyDescent="0.25">
      <c r="A1418" t="s">
        <v>5</v>
      </c>
      <c r="B1418" t="s">
        <v>25</v>
      </c>
      <c r="C1418" s="3" t="str">
        <f>IF($B1418="GW1",VLOOKUP($A1418,Matches!$A:$AC,2,FALSE),IF($B1418="GW2",VLOOKUP($A1418,Matches!$A:$AC,9,FALSE),IF($B1418="GW3",VLOOKUP($A1418,Matches!$A:$AC,16,FALSE))))</f>
        <v>Man Utd</v>
      </c>
      <c r="D1418" s="6">
        <v>0.11121120119218407</v>
      </c>
      <c r="E1418" s="6">
        <v>0.71916576770945695</v>
      </c>
      <c r="F1418" s="6">
        <v>-0.60795456651727287</v>
      </c>
      <c r="G1418" s="3" t="s">
        <v>0</v>
      </c>
      <c r="H1418">
        <v>0.14652014699999999</v>
      </c>
      <c r="I1418">
        <v>7.3260072999999995E-2</v>
      </c>
      <c r="J1418">
        <v>0.19047618999999999</v>
      </c>
      <c r="K1418">
        <v>0.13580246900000001</v>
      </c>
      <c r="L1418">
        <v>0.625</v>
      </c>
      <c r="M1418">
        <v>0.171686747</v>
      </c>
      <c r="N1418" t="e">
        <v>#N/A</v>
      </c>
      <c r="O1418" t="e">
        <v>#N/A</v>
      </c>
    </row>
    <row r="1419" spans="1:15" x14ac:dyDescent="0.25">
      <c r="A1419" t="s">
        <v>5</v>
      </c>
      <c r="B1419" t="s">
        <v>25</v>
      </c>
      <c r="C1419" s="3" t="str">
        <f>IF($B1419="GW1",VLOOKUP($A1419,Matches!$A:$AC,2,FALSE),IF($B1419="GW2",VLOOKUP($A1419,Matches!$A:$AC,9,FALSE),IF($B1419="GW3",VLOOKUP($A1419,Matches!$A:$AC,16,FALSE))))</f>
        <v>Man Utd</v>
      </c>
      <c r="D1419" s="6">
        <v>0.11121120119218407</v>
      </c>
      <c r="E1419" s="6">
        <v>0.71916576770945695</v>
      </c>
      <c r="F1419" s="6">
        <v>-0.60795456651727287</v>
      </c>
      <c r="G1419" s="3" t="s">
        <v>0</v>
      </c>
      <c r="H1419" t="e">
        <v>#N/A</v>
      </c>
      <c r="I1419" t="e">
        <v>#N/A</v>
      </c>
      <c r="J1419" t="e">
        <v>#N/A</v>
      </c>
      <c r="K1419">
        <v>0.13580246900000001</v>
      </c>
      <c r="L1419">
        <v>0.625</v>
      </c>
      <c r="M1419">
        <v>0.171686747</v>
      </c>
      <c r="N1419" t="e">
        <v>#N/A</v>
      </c>
      <c r="O1419" t="e">
        <v>#N/A</v>
      </c>
    </row>
    <row r="1420" spans="1:15" x14ac:dyDescent="0.25">
      <c r="A1420" t="s">
        <v>5</v>
      </c>
      <c r="B1420" t="s">
        <v>25</v>
      </c>
      <c r="C1420" s="3" t="str">
        <f>IF($B1420="GW1",VLOOKUP($A1420,Matches!$A:$AC,2,FALSE),IF($B1420="GW2",VLOOKUP($A1420,Matches!$A:$AC,9,FALSE),IF($B1420="GW3",VLOOKUP($A1420,Matches!$A:$AC,16,FALSE))))</f>
        <v>Man Utd</v>
      </c>
      <c r="D1420" s="6">
        <v>0.11121120119218407</v>
      </c>
      <c r="E1420" s="6">
        <v>0.71916576770945695</v>
      </c>
      <c r="F1420" s="6">
        <v>-0.60795456651727287</v>
      </c>
      <c r="G1420" s="3" t="s">
        <v>0</v>
      </c>
      <c r="H1420">
        <v>0.173160173</v>
      </c>
      <c r="I1420">
        <v>8.6580087E-2</v>
      </c>
      <c r="J1420">
        <v>0.23809523799999999</v>
      </c>
      <c r="K1420">
        <v>0.13580246900000001</v>
      </c>
      <c r="L1420">
        <v>0.625</v>
      </c>
      <c r="M1420">
        <v>0.171686747</v>
      </c>
      <c r="N1420" t="e">
        <v>#N/A</v>
      </c>
      <c r="O1420" t="e">
        <v>#N/A</v>
      </c>
    </row>
    <row r="1421" spans="1:15" x14ac:dyDescent="0.25">
      <c r="A1421" t="s">
        <v>5</v>
      </c>
      <c r="B1421" t="s">
        <v>25</v>
      </c>
      <c r="C1421" s="3" t="str">
        <f>IF($B1421="GW1",VLOOKUP($A1421,Matches!$A:$AC,2,FALSE),IF($B1421="GW2",VLOOKUP($A1421,Matches!$A:$AC,9,FALSE),IF($B1421="GW3",VLOOKUP($A1421,Matches!$A:$AC,16,FALSE))))</f>
        <v>Man Utd</v>
      </c>
      <c r="D1421" s="6">
        <v>0.11121120119218407</v>
      </c>
      <c r="E1421" s="6">
        <v>0.71916576770945695</v>
      </c>
      <c r="F1421" s="6">
        <v>-0.60795456651727287</v>
      </c>
      <c r="G1421" s="3" t="s">
        <v>0</v>
      </c>
      <c r="H1421">
        <v>0.14652014699999999</v>
      </c>
      <c r="I1421">
        <v>7.3260072999999995E-2</v>
      </c>
      <c r="J1421">
        <v>0.21994941200000001</v>
      </c>
      <c r="K1421">
        <v>0.13580246900000001</v>
      </c>
      <c r="L1421">
        <v>0.625</v>
      </c>
      <c r="M1421">
        <v>0.171686747</v>
      </c>
      <c r="N1421" t="e">
        <v>#N/A</v>
      </c>
      <c r="O1421" t="e">
        <v>#N/A</v>
      </c>
    </row>
    <row r="1422" spans="1:15" x14ac:dyDescent="0.25">
      <c r="A1422" t="s">
        <v>5</v>
      </c>
      <c r="B1422" t="s">
        <v>25</v>
      </c>
      <c r="C1422" s="3" t="str">
        <f>IF($B1422="GW1",VLOOKUP($A1422,Matches!$A:$AC,2,FALSE),IF($B1422="GW2",VLOOKUP($A1422,Matches!$A:$AC,9,FALSE),IF($B1422="GW3",VLOOKUP($A1422,Matches!$A:$AC,16,FALSE))))</f>
        <v>Man Utd</v>
      </c>
      <c r="D1422" s="6">
        <v>0.11121120119218407</v>
      </c>
      <c r="E1422" s="6">
        <v>0.71916576770945695</v>
      </c>
      <c r="F1422" s="6">
        <v>-0.60795456651727287</v>
      </c>
      <c r="G1422" s="3" t="s">
        <v>0</v>
      </c>
      <c r="H1422" t="e">
        <v>#N/A</v>
      </c>
      <c r="I1422" t="e">
        <v>#N/A</v>
      </c>
      <c r="J1422" t="e">
        <v>#N/A</v>
      </c>
      <c r="K1422">
        <v>0.13580246900000001</v>
      </c>
      <c r="L1422">
        <v>0.625</v>
      </c>
      <c r="M1422">
        <v>0.171686747</v>
      </c>
      <c r="N1422" t="e">
        <v>#N/A</v>
      </c>
      <c r="O1422" t="e">
        <v>#N/A</v>
      </c>
    </row>
    <row r="1423" spans="1:15" x14ac:dyDescent="0.25">
      <c r="A1423" t="s">
        <v>6</v>
      </c>
      <c r="B1423" t="s">
        <v>25</v>
      </c>
      <c r="C1423" s="3" t="str">
        <f>IF($B1423="GW1",VLOOKUP($A1423,Matches!$A:$AC,2,FALSE),IF($B1423="GW2",VLOOKUP($A1423,Matches!$A:$AC,9,FALSE),IF($B1423="GW3",VLOOKUP($A1423,Matches!$A:$AC,16,FALSE))))</f>
        <v>Spurs</v>
      </c>
      <c r="D1423" s="6">
        <v>0.21060168902554596</v>
      </c>
      <c r="E1423" s="6">
        <v>0.57110222729868643</v>
      </c>
      <c r="F1423" s="6">
        <v>-0.36050053827314044</v>
      </c>
      <c r="G1423" s="3" t="s">
        <v>0</v>
      </c>
      <c r="H1423" t="e">
        <v>#N/A</v>
      </c>
      <c r="I1423" t="e">
        <v>#N/A</v>
      </c>
      <c r="J1423" t="e">
        <v>#N/A</v>
      </c>
      <c r="K1423">
        <v>0.157303371</v>
      </c>
      <c r="L1423">
        <v>0.558510638</v>
      </c>
      <c r="M1423">
        <v>0.13580246900000001</v>
      </c>
      <c r="N1423" t="e">
        <v>#N/A</v>
      </c>
      <c r="O1423" t="e">
        <v>#N/A</v>
      </c>
    </row>
    <row r="1424" spans="1:15" x14ac:dyDescent="0.25">
      <c r="A1424" t="s">
        <v>6</v>
      </c>
      <c r="B1424" t="s">
        <v>25</v>
      </c>
      <c r="C1424" s="3" t="str">
        <f>IF($B1424="GW1",VLOOKUP($A1424,Matches!$A:$AC,2,FALSE),IF($B1424="GW2",VLOOKUP($A1424,Matches!$A:$AC,9,FALSE),IF($B1424="GW3",VLOOKUP($A1424,Matches!$A:$AC,16,FALSE))))</f>
        <v>Spurs</v>
      </c>
      <c r="D1424" s="6">
        <v>0.21060168902554596</v>
      </c>
      <c r="E1424" s="6">
        <v>0.57110222729868643</v>
      </c>
      <c r="F1424" s="6">
        <v>-0.36050053827314044</v>
      </c>
      <c r="G1424" s="3" t="s">
        <v>0</v>
      </c>
      <c r="H1424" t="e">
        <v>#N/A</v>
      </c>
      <c r="I1424" t="e">
        <v>#N/A</v>
      </c>
      <c r="J1424">
        <v>0.126984127</v>
      </c>
      <c r="K1424">
        <v>0.157303371</v>
      </c>
      <c r="L1424">
        <v>0.558510638</v>
      </c>
      <c r="M1424">
        <v>0.13580246900000001</v>
      </c>
      <c r="N1424" t="e">
        <v>#N/A</v>
      </c>
      <c r="O1424" t="e">
        <v>#N/A</v>
      </c>
    </row>
    <row r="1425" spans="1:15" x14ac:dyDescent="0.25">
      <c r="A1425" t="s">
        <v>6</v>
      </c>
      <c r="B1425" t="s">
        <v>25</v>
      </c>
      <c r="C1425" s="3" t="str">
        <f>IF($B1425="GW1",VLOOKUP($A1425,Matches!$A:$AC,2,FALSE),IF($B1425="GW2",VLOOKUP($A1425,Matches!$A:$AC,9,FALSE),IF($B1425="GW3",VLOOKUP($A1425,Matches!$A:$AC,16,FALSE))))</f>
        <v>Spurs</v>
      </c>
      <c r="D1425" s="6">
        <v>0.21060168902554596</v>
      </c>
      <c r="E1425" s="6">
        <v>0.57110222729868643</v>
      </c>
      <c r="F1425" s="6">
        <v>-0.36050053827314044</v>
      </c>
      <c r="G1425" s="3" t="s">
        <v>0</v>
      </c>
      <c r="H1425" t="e">
        <v>#N/A</v>
      </c>
      <c r="I1425" t="e">
        <v>#N/A</v>
      </c>
      <c r="J1425" t="e">
        <v>#N/A</v>
      </c>
      <c r="K1425">
        <v>0.157303371</v>
      </c>
      <c r="L1425">
        <v>0.558510638</v>
      </c>
      <c r="M1425">
        <v>0.13580246900000001</v>
      </c>
      <c r="N1425" t="e">
        <v>#N/A</v>
      </c>
      <c r="O1425" t="e">
        <v>#N/A</v>
      </c>
    </row>
    <row r="1426" spans="1:15" x14ac:dyDescent="0.25">
      <c r="A1426" t="s">
        <v>6</v>
      </c>
      <c r="B1426" t="s">
        <v>25</v>
      </c>
      <c r="C1426" s="3" t="str">
        <f>IF($B1426="GW1",VLOOKUP($A1426,Matches!$A:$AC,2,FALSE),IF($B1426="GW2",VLOOKUP($A1426,Matches!$A:$AC,9,FALSE),IF($B1426="GW3",VLOOKUP($A1426,Matches!$A:$AC,16,FALSE))))</f>
        <v>Spurs</v>
      </c>
      <c r="D1426" s="6">
        <v>0.21060168902554596</v>
      </c>
      <c r="E1426" s="6">
        <v>0.57110222729868643</v>
      </c>
      <c r="F1426" s="6">
        <v>-0.36050053827314044</v>
      </c>
      <c r="G1426" s="3" t="s">
        <v>0</v>
      </c>
      <c r="H1426" t="e">
        <v>#N/A</v>
      </c>
      <c r="I1426" t="e">
        <v>#N/A</v>
      </c>
      <c r="J1426">
        <v>0.20050125299999999</v>
      </c>
      <c r="K1426">
        <v>0.157303371</v>
      </c>
      <c r="L1426">
        <v>0.558510638</v>
      </c>
      <c r="M1426">
        <v>0.13580246900000001</v>
      </c>
      <c r="N1426" t="e">
        <v>#N/A</v>
      </c>
      <c r="O1426" t="e">
        <v>#N/A</v>
      </c>
    </row>
    <row r="1427" spans="1:15" x14ac:dyDescent="0.25">
      <c r="A1427" t="s">
        <v>6</v>
      </c>
      <c r="B1427" t="s">
        <v>25</v>
      </c>
      <c r="C1427" s="3" t="str">
        <f>IF($B1427="GW1",VLOOKUP($A1427,Matches!$A:$AC,2,FALSE),IF($B1427="GW2",VLOOKUP($A1427,Matches!$A:$AC,9,FALSE),IF($B1427="GW3",VLOOKUP($A1427,Matches!$A:$AC,16,FALSE))))</f>
        <v>Spurs</v>
      </c>
      <c r="D1427" s="6">
        <v>0.21060168902554596</v>
      </c>
      <c r="E1427" s="6">
        <v>0.57110222729868643</v>
      </c>
      <c r="F1427" s="6">
        <v>-0.36050053827314044</v>
      </c>
      <c r="G1427" s="3" t="s">
        <v>0</v>
      </c>
      <c r="H1427" t="e">
        <v>#N/A</v>
      </c>
      <c r="I1427" t="e">
        <v>#N/A</v>
      </c>
      <c r="J1427">
        <v>0.20050125299999999</v>
      </c>
      <c r="K1427">
        <v>0.157303371</v>
      </c>
      <c r="L1427">
        <v>0.558510638</v>
      </c>
      <c r="M1427">
        <v>0.13580246900000001</v>
      </c>
      <c r="N1427" t="e">
        <v>#N/A</v>
      </c>
      <c r="O1427" t="e">
        <v>#N/A</v>
      </c>
    </row>
    <row r="1428" spans="1:15" x14ac:dyDescent="0.25">
      <c r="A1428" t="s">
        <v>6</v>
      </c>
      <c r="B1428" t="s">
        <v>25</v>
      </c>
      <c r="C1428" s="3" t="str">
        <f>IF($B1428="GW1",VLOOKUP($A1428,Matches!$A:$AC,2,FALSE),IF($B1428="GW2",VLOOKUP($A1428,Matches!$A:$AC,9,FALSE),IF($B1428="GW3",VLOOKUP($A1428,Matches!$A:$AC,16,FALSE))))</f>
        <v>Spurs</v>
      </c>
      <c r="D1428" s="6">
        <v>0.21060168902554596</v>
      </c>
      <c r="E1428" s="6">
        <v>0.57110222729868643</v>
      </c>
      <c r="F1428" s="6">
        <v>-0.36050053827314044</v>
      </c>
      <c r="G1428" s="3" t="s">
        <v>0</v>
      </c>
      <c r="H1428" t="e">
        <v>#N/A</v>
      </c>
      <c r="I1428" t="e">
        <v>#N/A</v>
      </c>
      <c r="J1428" t="e">
        <v>#N/A</v>
      </c>
      <c r="K1428">
        <v>0.157303371</v>
      </c>
      <c r="L1428">
        <v>0.558510638</v>
      </c>
      <c r="M1428">
        <v>0.13580246900000001</v>
      </c>
      <c r="N1428" t="e">
        <v>#N/A</v>
      </c>
      <c r="O1428" t="e">
        <v>#N/A</v>
      </c>
    </row>
    <row r="1429" spans="1:15" x14ac:dyDescent="0.25">
      <c r="A1429" t="s">
        <v>6</v>
      </c>
      <c r="B1429" t="s">
        <v>25</v>
      </c>
      <c r="C1429" s="3" t="str">
        <f>IF($B1429="GW1",VLOOKUP($A1429,Matches!$A:$AC,2,FALSE),IF($B1429="GW2",VLOOKUP($A1429,Matches!$A:$AC,9,FALSE),IF($B1429="GW3",VLOOKUP($A1429,Matches!$A:$AC,16,FALSE))))</f>
        <v>Spurs</v>
      </c>
      <c r="D1429" s="6">
        <v>0.21060168902554596</v>
      </c>
      <c r="E1429" s="6">
        <v>0.57110222729868643</v>
      </c>
      <c r="F1429" s="6">
        <v>-0.36050053827314044</v>
      </c>
      <c r="G1429" s="3" t="s">
        <v>0</v>
      </c>
      <c r="H1429">
        <v>5.6022409000000002E-2</v>
      </c>
      <c r="I1429">
        <v>6.3492063000000001E-2</v>
      </c>
      <c r="J1429">
        <v>0.297619048</v>
      </c>
      <c r="K1429">
        <v>0.157303371</v>
      </c>
      <c r="L1429">
        <v>0.558510638</v>
      </c>
      <c r="M1429">
        <v>0.13580246900000001</v>
      </c>
      <c r="N1429" t="e">
        <v>#N/A</v>
      </c>
      <c r="O1429" t="e">
        <v>#N/A</v>
      </c>
    </row>
    <row r="1430" spans="1:15" x14ac:dyDescent="0.25">
      <c r="A1430" t="s">
        <v>6</v>
      </c>
      <c r="B1430" t="s">
        <v>25</v>
      </c>
      <c r="C1430" s="3" t="str">
        <f>IF($B1430="GW1",VLOOKUP($A1430,Matches!$A:$AC,2,FALSE),IF($B1430="GW2",VLOOKUP($A1430,Matches!$A:$AC,9,FALSE),IF($B1430="GW3",VLOOKUP($A1430,Matches!$A:$AC,16,FALSE))))</f>
        <v>Spurs</v>
      </c>
      <c r="D1430" s="6">
        <v>0.21060168902554596</v>
      </c>
      <c r="E1430" s="6">
        <v>0.57110222729868643</v>
      </c>
      <c r="F1430" s="6">
        <v>-0.36050053827314044</v>
      </c>
      <c r="G1430" s="3" t="s">
        <v>0</v>
      </c>
      <c r="H1430">
        <v>5.6022409000000002E-2</v>
      </c>
      <c r="I1430">
        <v>5.6022409000000002E-2</v>
      </c>
      <c r="J1430">
        <v>0.253968254</v>
      </c>
      <c r="K1430">
        <v>0.157303371</v>
      </c>
      <c r="L1430">
        <v>0.558510638</v>
      </c>
      <c r="M1430">
        <v>0.13580246900000001</v>
      </c>
      <c r="N1430" t="e">
        <v>#N/A</v>
      </c>
      <c r="O1430" t="e">
        <v>#N/A</v>
      </c>
    </row>
    <row r="1431" spans="1:15" x14ac:dyDescent="0.25">
      <c r="A1431" t="s">
        <v>6</v>
      </c>
      <c r="B1431" t="s">
        <v>25</v>
      </c>
      <c r="C1431" s="3" t="str">
        <f>IF($B1431="GW1",VLOOKUP($A1431,Matches!$A:$AC,2,FALSE),IF($B1431="GW2",VLOOKUP($A1431,Matches!$A:$AC,9,FALSE),IF($B1431="GW3",VLOOKUP($A1431,Matches!$A:$AC,16,FALSE))))</f>
        <v>Spurs</v>
      </c>
      <c r="D1431" s="6">
        <v>0.21060168902554596</v>
      </c>
      <c r="E1431" s="6">
        <v>0.57110222729868643</v>
      </c>
      <c r="F1431" s="6">
        <v>-0.36050053827314044</v>
      </c>
      <c r="G1431" s="3" t="s">
        <v>0</v>
      </c>
      <c r="H1431">
        <v>8.6580087E-2</v>
      </c>
      <c r="I1431">
        <v>0.11904761899999999</v>
      </c>
      <c r="J1431">
        <v>0.20050125299999999</v>
      </c>
      <c r="K1431">
        <v>0.157303371</v>
      </c>
      <c r="L1431">
        <v>0.558510638</v>
      </c>
      <c r="M1431">
        <v>0.13580246900000001</v>
      </c>
      <c r="N1431" t="e">
        <v>#N/A</v>
      </c>
      <c r="O1431" t="e">
        <v>#N/A</v>
      </c>
    </row>
    <row r="1432" spans="1:15" x14ac:dyDescent="0.25">
      <c r="A1432" t="s">
        <v>6</v>
      </c>
      <c r="B1432" t="s">
        <v>25</v>
      </c>
      <c r="C1432" s="3" t="str">
        <f>IF($B1432="GW1",VLOOKUP($A1432,Matches!$A:$AC,2,FALSE),IF($B1432="GW2",VLOOKUP($A1432,Matches!$A:$AC,9,FALSE),IF($B1432="GW3",VLOOKUP($A1432,Matches!$A:$AC,16,FALSE))))</f>
        <v>Spurs</v>
      </c>
      <c r="D1432" s="6">
        <v>0.21060168902554596</v>
      </c>
      <c r="E1432" s="6">
        <v>0.57110222729868643</v>
      </c>
      <c r="F1432" s="6">
        <v>-0.36050053827314044</v>
      </c>
      <c r="G1432" s="3" t="s">
        <v>0</v>
      </c>
      <c r="H1432" t="e">
        <v>#N/A</v>
      </c>
      <c r="I1432" t="e">
        <v>#N/A</v>
      </c>
      <c r="J1432" t="e">
        <v>#N/A</v>
      </c>
      <c r="K1432">
        <v>0.157303371</v>
      </c>
      <c r="L1432">
        <v>0.558510638</v>
      </c>
      <c r="M1432">
        <v>0.13580246900000001</v>
      </c>
      <c r="N1432" t="e">
        <v>#N/A</v>
      </c>
      <c r="O1432" t="e">
        <v>#N/A</v>
      </c>
    </row>
    <row r="1433" spans="1:15" x14ac:dyDescent="0.25">
      <c r="A1433" t="s">
        <v>6</v>
      </c>
      <c r="B1433" t="s">
        <v>25</v>
      </c>
      <c r="C1433" s="3" t="str">
        <f>IF($B1433="GW1",VLOOKUP($A1433,Matches!$A:$AC,2,FALSE),IF($B1433="GW2",VLOOKUP($A1433,Matches!$A:$AC,9,FALSE),IF($B1433="GW3",VLOOKUP($A1433,Matches!$A:$AC,16,FALSE))))</f>
        <v>Spurs</v>
      </c>
      <c r="D1433" s="6">
        <v>0.21060168902554596</v>
      </c>
      <c r="E1433" s="6">
        <v>0.57110222729868643</v>
      </c>
      <c r="F1433" s="6">
        <v>-0.36050053827314044</v>
      </c>
      <c r="G1433" s="3" t="s">
        <v>0</v>
      </c>
      <c r="H1433" t="e">
        <v>#N/A</v>
      </c>
      <c r="I1433" t="e">
        <v>#N/A</v>
      </c>
      <c r="J1433" t="e">
        <v>#N/A</v>
      </c>
      <c r="K1433">
        <v>0.157303371</v>
      </c>
      <c r="L1433">
        <v>0.558510638</v>
      </c>
      <c r="M1433">
        <v>0.13580246900000001</v>
      </c>
      <c r="N1433" t="e">
        <v>#N/A</v>
      </c>
      <c r="O1433" t="e">
        <v>#N/A</v>
      </c>
    </row>
    <row r="1434" spans="1:15" x14ac:dyDescent="0.25">
      <c r="A1434" t="s">
        <v>6</v>
      </c>
      <c r="B1434" t="s">
        <v>25</v>
      </c>
      <c r="C1434" s="3" t="str">
        <f>IF($B1434="GW1",VLOOKUP($A1434,Matches!$A:$AC,2,FALSE),IF($B1434="GW2",VLOOKUP($A1434,Matches!$A:$AC,9,FALSE),IF($B1434="GW3",VLOOKUP($A1434,Matches!$A:$AC,16,FALSE))))</f>
        <v>Spurs</v>
      </c>
      <c r="D1434" s="6">
        <v>0.21060168902554596</v>
      </c>
      <c r="E1434" s="6">
        <v>0.57110222729868643</v>
      </c>
      <c r="F1434" s="6">
        <v>-0.36050053827314044</v>
      </c>
      <c r="G1434" s="3" t="s">
        <v>0</v>
      </c>
      <c r="H1434">
        <v>8.6580087E-2</v>
      </c>
      <c r="I1434">
        <v>8.6580087E-2</v>
      </c>
      <c r="J1434">
        <v>0.20050125299999999</v>
      </c>
      <c r="K1434">
        <v>0.157303371</v>
      </c>
      <c r="L1434">
        <v>0.558510638</v>
      </c>
      <c r="M1434">
        <v>0.13580246900000001</v>
      </c>
      <c r="N1434" t="e">
        <v>#N/A</v>
      </c>
      <c r="O1434" t="e">
        <v>#N/A</v>
      </c>
    </row>
    <row r="1435" spans="1:15" x14ac:dyDescent="0.25">
      <c r="A1435" t="s">
        <v>6</v>
      </c>
      <c r="B1435" t="s">
        <v>25</v>
      </c>
      <c r="C1435" s="3" t="str">
        <f>IF($B1435="GW1",VLOOKUP($A1435,Matches!$A:$AC,2,FALSE),IF($B1435="GW2",VLOOKUP($A1435,Matches!$A:$AC,9,FALSE),IF($B1435="GW3",VLOOKUP($A1435,Matches!$A:$AC,16,FALSE))))</f>
        <v>Spurs</v>
      </c>
      <c r="D1435" s="6">
        <v>0.21060168902554596</v>
      </c>
      <c r="E1435" s="6">
        <v>0.57110222729868643</v>
      </c>
      <c r="F1435" s="6">
        <v>-0.36050053827314044</v>
      </c>
      <c r="G1435" s="3" t="s">
        <v>0</v>
      </c>
      <c r="H1435">
        <v>7.3260072999999995E-2</v>
      </c>
      <c r="I1435">
        <v>9.5238094999999995E-2</v>
      </c>
      <c r="J1435">
        <v>0.27210884400000002</v>
      </c>
      <c r="K1435">
        <v>0.157303371</v>
      </c>
      <c r="L1435">
        <v>0.558510638</v>
      </c>
      <c r="M1435">
        <v>0.13580246900000001</v>
      </c>
      <c r="N1435" t="e">
        <v>#N/A</v>
      </c>
      <c r="O1435" t="e">
        <v>#N/A</v>
      </c>
    </row>
    <row r="1436" spans="1:15" x14ac:dyDescent="0.25">
      <c r="A1436" t="s">
        <v>6</v>
      </c>
      <c r="B1436" t="s">
        <v>25</v>
      </c>
      <c r="C1436" s="3" t="str">
        <f>IF($B1436="GW1",VLOOKUP($A1436,Matches!$A:$AC,2,FALSE),IF($B1436="GW2",VLOOKUP($A1436,Matches!$A:$AC,9,FALSE),IF($B1436="GW3",VLOOKUP($A1436,Matches!$A:$AC,16,FALSE))))</f>
        <v>Spurs</v>
      </c>
      <c r="D1436" s="6">
        <v>0.21060168902554596</v>
      </c>
      <c r="E1436" s="6">
        <v>0.57110222729868643</v>
      </c>
      <c r="F1436" s="6">
        <v>-0.36050053827314044</v>
      </c>
      <c r="G1436" s="3" t="s">
        <v>0</v>
      </c>
      <c r="H1436">
        <v>7.3260072999999995E-2</v>
      </c>
      <c r="I1436">
        <v>4.5351474000000003E-2</v>
      </c>
      <c r="J1436">
        <v>0.253968254</v>
      </c>
      <c r="K1436">
        <v>0.157303371</v>
      </c>
      <c r="L1436">
        <v>0.558510638</v>
      </c>
      <c r="M1436">
        <v>0.13580246900000001</v>
      </c>
      <c r="N1436" t="e">
        <v>#N/A</v>
      </c>
      <c r="O1436" t="e">
        <v>#N/A</v>
      </c>
    </row>
    <row r="1437" spans="1:15" x14ac:dyDescent="0.25">
      <c r="A1437" t="s">
        <v>6</v>
      </c>
      <c r="B1437" t="s">
        <v>25</v>
      </c>
      <c r="C1437" s="3" t="str">
        <f>IF($B1437="GW1",VLOOKUP($A1437,Matches!$A:$AC,2,FALSE),IF($B1437="GW2",VLOOKUP($A1437,Matches!$A:$AC,9,FALSE),IF($B1437="GW3",VLOOKUP($A1437,Matches!$A:$AC,16,FALSE))))</f>
        <v>Spurs</v>
      </c>
      <c r="D1437" s="6">
        <v>0.21060168902554596</v>
      </c>
      <c r="E1437" s="6">
        <v>0.57110222729868643</v>
      </c>
      <c r="F1437" s="6">
        <v>-0.36050053827314044</v>
      </c>
      <c r="G1437" s="3" t="s">
        <v>0</v>
      </c>
      <c r="H1437" t="e">
        <v>#N/A</v>
      </c>
      <c r="I1437" t="e">
        <v>#N/A</v>
      </c>
      <c r="J1437" t="e">
        <v>#N/A</v>
      </c>
      <c r="K1437">
        <v>0.157303371</v>
      </c>
      <c r="L1437">
        <v>0.558510638</v>
      </c>
      <c r="M1437">
        <v>0.13580246900000001</v>
      </c>
      <c r="N1437" t="e">
        <v>#N/A</v>
      </c>
      <c r="O1437" t="e">
        <v>#N/A</v>
      </c>
    </row>
    <row r="1438" spans="1:15" x14ac:dyDescent="0.25">
      <c r="A1438" t="s">
        <v>6</v>
      </c>
      <c r="B1438" t="s">
        <v>25</v>
      </c>
      <c r="C1438" s="3" t="str">
        <f>IF($B1438="GW1",VLOOKUP($A1438,Matches!$A:$AC,2,FALSE),IF($B1438="GW2",VLOOKUP($A1438,Matches!$A:$AC,9,FALSE),IF($B1438="GW3",VLOOKUP($A1438,Matches!$A:$AC,16,FALSE))))</f>
        <v>Spurs</v>
      </c>
      <c r="D1438" s="6">
        <v>0.21060168902554596</v>
      </c>
      <c r="E1438" s="6">
        <v>0.57110222729868643</v>
      </c>
      <c r="F1438" s="6">
        <v>-0.36050053827314044</v>
      </c>
      <c r="G1438" s="3" t="s">
        <v>0</v>
      </c>
      <c r="H1438" t="e">
        <v>#N/A</v>
      </c>
      <c r="I1438" t="e">
        <v>#N/A</v>
      </c>
      <c r="J1438" t="e">
        <v>#N/A</v>
      </c>
      <c r="K1438">
        <v>0.157303371</v>
      </c>
      <c r="L1438">
        <v>0.558510638</v>
      </c>
      <c r="M1438">
        <v>0.13580246900000001</v>
      </c>
      <c r="N1438" t="e">
        <v>#N/A</v>
      </c>
      <c r="O1438" t="e">
        <v>#N/A</v>
      </c>
    </row>
    <row r="1439" spans="1:15" x14ac:dyDescent="0.25">
      <c r="A1439" t="s">
        <v>6</v>
      </c>
      <c r="B1439" t="s">
        <v>25</v>
      </c>
      <c r="C1439" s="3" t="str">
        <f>IF($B1439="GW1",VLOOKUP($A1439,Matches!$A:$AC,2,FALSE),IF($B1439="GW2",VLOOKUP($A1439,Matches!$A:$AC,9,FALSE),IF($B1439="GW3",VLOOKUP($A1439,Matches!$A:$AC,16,FALSE))))</f>
        <v>Spurs</v>
      </c>
      <c r="D1439" s="6">
        <v>0.21060168902554596</v>
      </c>
      <c r="E1439" s="6">
        <v>0.57110222729868643</v>
      </c>
      <c r="F1439" s="6">
        <v>-0.36050053827314044</v>
      </c>
      <c r="G1439" s="3" t="s">
        <v>0</v>
      </c>
      <c r="H1439">
        <v>0.23809523799999999</v>
      </c>
      <c r="I1439">
        <v>0.13605442200000001</v>
      </c>
      <c r="J1439">
        <v>0.21994941200000001</v>
      </c>
      <c r="K1439">
        <v>0.157303371</v>
      </c>
      <c r="L1439">
        <v>0.558510638</v>
      </c>
      <c r="M1439">
        <v>0.13580246900000001</v>
      </c>
      <c r="N1439" t="e">
        <v>#N/A</v>
      </c>
      <c r="O1439" t="e">
        <v>#N/A</v>
      </c>
    </row>
    <row r="1440" spans="1:15" x14ac:dyDescent="0.25">
      <c r="A1440" t="s">
        <v>6</v>
      </c>
      <c r="B1440" t="s">
        <v>25</v>
      </c>
      <c r="C1440" s="3" t="str">
        <f>IF($B1440="GW1",VLOOKUP($A1440,Matches!$A:$AC,2,FALSE),IF($B1440="GW2",VLOOKUP($A1440,Matches!$A:$AC,9,FALSE),IF($B1440="GW3",VLOOKUP($A1440,Matches!$A:$AC,16,FALSE))))</f>
        <v>Spurs</v>
      </c>
      <c r="D1440" s="6">
        <v>0.21060168902554596</v>
      </c>
      <c r="E1440" s="6">
        <v>0.57110222729868643</v>
      </c>
      <c r="F1440" s="6">
        <v>-0.36050053827314044</v>
      </c>
      <c r="G1440" s="3" t="s">
        <v>0</v>
      </c>
      <c r="H1440">
        <v>0.26455026500000001</v>
      </c>
      <c r="I1440">
        <v>0.15873015900000001</v>
      </c>
      <c r="J1440">
        <v>0.21994941200000001</v>
      </c>
      <c r="K1440">
        <v>0.157303371</v>
      </c>
      <c r="L1440">
        <v>0.558510638</v>
      </c>
      <c r="M1440">
        <v>0.13580246900000001</v>
      </c>
      <c r="N1440" t="e">
        <v>#N/A</v>
      </c>
      <c r="O1440" t="e">
        <v>#N/A</v>
      </c>
    </row>
    <row r="1441" spans="1:15" x14ac:dyDescent="0.25">
      <c r="A1441" t="s">
        <v>6</v>
      </c>
      <c r="B1441" t="s">
        <v>25</v>
      </c>
      <c r="C1441" s="3" t="str">
        <f>IF($B1441="GW1",VLOOKUP($A1441,Matches!$A:$AC,2,FALSE),IF($B1441="GW2",VLOOKUP($A1441,Matches!$A:$AC,9,FALSE),IF($B1441="GW3",VLOOKUP($A1441,Matches!$A:$AC,16,FALSE))))</f>
        <v>Spurs</v>
      </c>
      <c r="D1441" s="6">
        <v>0.21060168902554596</v>
      </c>
      <c r="E1441" s="6">
        <v>0.57110222729868643</v>
      </c>
      <c r="F1441" s="6">
        <v>-0.36050053827314044</v>
      </c>
      <c r="G1441" s="3" t="s">
        <v>0</v>
      </c>
      <c r="H1441">
        <v>0.19047618999999999</v>
      </c>
      <c r="I1441">
        <v>0.13605442200000001</v>
      </c>
      <c r="J1441">
        <v>0.173160173</v>
      </c>
      <c r="K1441">
        <v>0.157303371</v>
      </c>
      <c r="L1441">
        <v>0.558510638</v>
      </c>
      <c r="M1441">
        <v>0.13580246900000001</v>
      </c>
      <c r="N1441" t="e">
        <v>#N/A</v>
      </c>
      <c r="O1441" t="e">
        <v>#N/A</v>
      </c>
    </row>
    <row r="1442" spans="1:15" x14ac:dyDescent="0.25">
      <c r="A1442" t="s">
        <v>6</v>
      </c>
      <c r="B1442" t="s">
        <v>25</v>
      </c>
      <c r="C1442" s="3" t="str">
        <f>IF($B1442="GW1",VLOOKUP($A1442,Matches!$A:$AC,2,FALSE),IF($B1442="GW2",VLOOKUP($A1442,Matches!$A:$AC,9,FALSE),IF($B1442="GW3",VLOOKUP($A1442,Matches!$A:$AC,16,FALSE))))</f>
        <v>Spurs</v>
      </c>
      <c r="D1442" s="6">
        <v>0.21060168902554596</v>
      </c>
      <c r="E1442" s="6">
        <v>0.57110222729868643</v>
      </c>
      <c r="F1442" s="6">
        <v>-0.36050053827314044</v>
      </c>
      <c r="G1442" s="3" t="s">
        <v>0</v>
      </c>
      <c r="H1442">
        <v>7.3260072999999995E-2</v>
      </c>
      <c r="I1442">
        <v>6.3492063000000001E-2</v>
      </c>
      <c r="J1442">
        <v>0.297619048</v>
      </c>
      <c r="K1442">
        <v>0.157303371</v>
      </c>
      <c r="L1442">
        <v>0.558510638</v>
      </c>
      <c r="M1442">
        <v>0.13580246900000001</v>
      </c>
      <c r="N1442" t="e">
        <v>#N/A</v>
      </c>
      <c r="O1442" t="e">
        <v>#N/A</v>
      </c>
    </row>
    <row r="1443" spans="1:15" x14ac:dyDescent="0.25">
      <c r="A1443" t="s">
        <v>6</v>
      </c>
      <c r="B1443" t="s">
        <v>25</v>
      </c>
      <c r="C1443" s="3" t="str">
        <f>IF($B1443="GW1",VLOOKUP($A1443,Matches!$A:$AC,2,FALSE),IF($B1443="GW2",VLOOKUP($A1443,Matches!$A:$AC,9,FALSE),IF($B1443="GW3",VLOOKUP($A1443,Matches!$A:$AC,16,FALSE))))</f>
        <v>Spurs</v>
      </c>
      <c r="D1443" s="6">
        <v>0.21060168902554596</v>
      </c>
      <c r="E1443" s="6">
        <v>0.57110222729868643</v>
      </c>
      <c r="F1443" s="6">
        <v>-0.36050053827314044</v>
      </c>
      <c r="G1443" s="3" t="s">
        <v>0</v>
      </c>
      <c r="H1443">
        <v>0.21994941200000001</v>
      </c>
      <c r="I1443">
        <v>0.173160173</v>
      </c>
      <c r="J1443">
        <v>0.173160173</v>
      </c>
      <c r="K1443">
        <v>0.157303371</v>
      </c>
      <c r="L1443">
        <v>0.558510638</v>
      </c>
      <c r="M1443">
        <v>0.13580246900000001</v>
      </c>
      <c r="N1443" t="e">
        <v>#N/A</v>
      </c>
      <c r="O1443" t="e">
        <v>#N/A</v>
      </c>
    </row>
    <row r="1444" spans="1:15" x14ac:dyDescent="0.25">
      <c r="A1444" t="s">
        <v>6</v>
      </c>
      <c r="B1444" t="s">
        <v>25</v>
      </c>
      <c r="C1444" s="3" t="str">
        <f>IF($B1444="GW1",VLOOKUP($A1444,Matches!$A:$AC,2,FALSE),IF($B1444="GW2",VLOOKUP($A1444,Matches!$A:$AC,9,FALSE),IF($B1444="GW3",VLOOKUP($A1444,Matches!$A:$AC,16,FALSE))))</f>
        <v>Spurs</v>
      </c>
      <c r="D1444" s="6">
        <v>0.21060168902554596</v>
      </c>
      <c r="E1444" s="6">
        <v>0.57110222729868643</v>
      </c>
      <c r="F1444" s="6">
        <v>-0.36050053827314044</v>
      </c>
      <c r="G1444" s="3" t="s">
        <v>0</v>
      </c>
      <c r="H1444" t="e">
        <v>#N/A</v>
      </c>
      <c r="I1444" t="e">
        <v>#N/A</v>
      </c>
      <c r="J1444" t="e">
        <v>#N/A</v>
      </c>
      <c r="K1444">
        <v>0.157303371</v>
      </c>
      <c r="L1444">
        <v>0.558510638</v>
      </c>
      <c r="M1444">
        <v>0.13580246900000001</v>
      </c>
      <c r="N1444" t="e">
        <v>#N/A</v>
      </c>
      <c r="O1444" t="e">
        <v>#N/A</v>
      </c>
    </row>
    <row r="1445" spans="1:15" x14ac:dyDescent="0.25">
      <c r="A1445" t="s">
        <v>6</v>
      </c>
      <c r="B1445" t="s">
        <v>25</v>
      </c>
      <c r="C1445" s="3" t="str">
        <f>IF($B1445="GW1",VLOOKUP($A1445,Matches!$A:$AC,2,FALSE),IF($B1445="GW2",VLOOKUP($A1445,Matches!$A:$AC,9,FALSE),IF($B1445="GW3",VLOOKUP($A1445,Matches!$A:$AC,16,FALSE))))</f>
        <v>Spurs</v>
      </c>
      <c r="D1445" s="6">
        <v>0.21060168902554596</v>
      </c>
      <c r="E1445" s="6">
        <v>0.57110222729868643</v>
      </c>
      <c r="F1445" s="6">
        <v>-0.36050053827314044</v>
      </c>
      <c r="G1445" s="3" t="s">
        <v>0</v>
      </c>
      <c r="H1445" t="e">
        <v>#N/A</v>
      </c>
      <c r="I1445" t="e">
        <v>#N/A</v>
      </c>
      <c r="J1445" t="e">
        <v>#N/A</v>
      </c>
      <c r="K1445">
        <v>0.157303371</v>
      </c>
      <c r="L1445">
        <v>0.558510638</v>
      </c>
      <c r="M1445">
        <v>0.13580246900000001</v>
      </c>
      <c r="N1445" t="e">
        <v>#N/A</v>
      </c>
      <c r="O1445" t="e">
        <v>#N/A</v>
      </c>
    </row>
    <row r="1446" spans="1:15" x14ac:dyDescent="0.25">
      <c r="A1446" t="s">
        <v>6</v>
      </c>
      <c r="B1446" t="s">
        <v>25</v>
      </c>
      <c r="C1446" s="3" t="str">
        <f>IF($B1446="GW1",VLOOKUP($A1446,Matches!$A:$AC,2,FALSE),IF($B1446="GW2",VLOOKUP($A1446,Matches!$A:$AC,9,FALSE),IF($B1446="GW3",VLOOKUP($A1446,Matches!$A:$AC,16,FALSE))))</f>
        <v>Spurs</v>
      </c>
      <c r="D1446" s="6">
        <v>0.21060168902554596</v>
      </c>
      <c r="E1446" s="6">
        <v>0.57110222729868643</v>
      </c>
      <c r="F1446" s="6">
        <v>-0.36050053827314044</v>
      </c>
      <c r="G1446" s="3" t="s">
        <v>0</v>
      </c>
      <c r="H1446">
        <v>0.19047618999999999</v>
      </c>
      <c r="I1446">
        <v>0.11904761899999999</v>
      </c>
      <c r="J1446">
        <v>0.253968254</v>
      </c>
      <c r="K1446">
        <v>0.157303371</v>
      </c>
      <c r="L1446">
        <v>0.558510638</v>
      </c>
      <c r="M1446">
        <v>0.13580246900000001</v>
      </c>
      <c r="N1446" t="e">
        <v>#N/A</v>
      </c>
      <c r="O1446" t="e">
        <v>#N/A</v>
      </c>
    </row>
    <row r="1447" spans="1:15" x14ac:dyDescent="0.25">
      <c r="A1447" t="s">
        <v>6</v>
      </c>
      <c r="B1447" t="s">
        <v>25</v>
      </c>
      <c r="C1447" s="3" t="str">
        <f>IF($B1447="GW1",VLOOKUP($A1447,Matches!$A:$AC,2,FALSE),IF($B1447="GW2",VLOOKUP($A1447,Matches!$A:$AC,9,FALSE),IF($B1447="GW3",VLOOKUP($A1447,Matches!$A:$AC,16,FALSE))))</f>
        <v>Spurs</v>
      </c>
      <c r="D1447" s="6">
        <v>0.21060168902554596</v>
      </c>
      <c r="E1447" s="6">
        <v>0.57110222729868643</v>
      </c>
      <c r="F1447" s="6">
        <v>-0.36050053827314044</v>
      </c>
      <c r="G1447" s="3" t="s">
        <v>0</v>
      </c>
      <c r="H1447">
        <v>0.15873015900000001</v>
      </c>
      <c r="I1447">
        <v>9.5238094999999995E-2</v>
      </c>
      <c r="J1447">
        <v>0.31746031699999999</v>
      </c>
      <c r="K1447">
        <v>0.157303371</v>
      </c>
      <c r="L1447">
        <v>0.558510638</v>
      </c>
      <c r="M1447">
        <v>0.13580246900000001</v>
      </c>
      <c r="N1447" t="e">
        <v>#N/A</v>
      </c>
      <c r="O1447" t="e">
        <v>#N/A</v>
      </c>
    </row>
    <row r="1448" spans="1:15" x14ac:dyDescent="0.25">
      <c r="A1448" t="s">
        <v>6</v>
      </c>
      <c r="B1448" t="s">
        <v>25</v>
      </c>
      <c r="C1448" s="3" t="str">
        <f>IF($B1448="GW1",VLOOKUP($A1448,Matches!$A:$AC,2,FALSE),IF($B1448="GW2",VLOOKUP($A1448,Matches!$A:$AC,9,FALSE),IF($B1448="GW3",VLOOKUP($A1448,Matches!$A:$AC,16,FALSE))))</f>
        <v>Spurs</v>
      </c>
      <c r="D1448" s="6">
        <v>0.21060168902554596</v>
      </c>
      <c r="E1448" s="6">
        <v>0.57110222729868643</v>
      </c>
      <c r="F1448" s="6">
        <v>-0.36050053827314044</v>
      </c>
      <c r="G1448" s="3" t="s">
        <v>0</v>
      </c>
      <c r="H1448" t="e">
        <v>#N/A</v>
      </c>
      <c r="I1448" t="e">
        <v>#N/A</v>
      </c>
      <c r="J1448" t="e">
        <v>#N/A</v>
      </c>
      <c r="K1448">
        <v>0.157303371</v>
      </c>
      <c r="L1448">
        <v>0.558510638</v>
      </c>
      <c r="M1448">
        <v>0.13580246900000001</v>
      </c>
      <c r="N1448" t="e">
        <v>#N/A</v>
      </c>
      <c r="O1448" t="e">
        <v>#N/A</v>
      </c>
    </row>
    <row r="1449" spans="1:15" x14ac:dyDescent="0.25">
      <c r="A1449" t="s">
        <v>6</v>
      </c>
      <c r="B1449" t="s">
        <v>25</v>
      </c>
      <c r="C1449" s="3" t="str">
        <f>IF($B1449="GW1",VLOOKUP($A1449,Matches!$A:$AC,2,FALSE),IF($B1449="GW2",VLOOKUP($A1449,Matches!$A:$AC,9,FALSE),IF($B1449="GW3",VLOOKUP($A1449,Matches!$A:$AC,16,FALSE))))</f>
        <v>Spurs</v>
      </c>
      <c r="D1449" s="6">
        <v>0.21060168902554596</v>
      </c>
      <c r="E1449" s="6">
        <v>0.57110222729868643</v>
      </c>
      <c r="F1449" s="6">
        <v>-0.36050053827314044</v>
      </c>
      <c r="G1449" s="3" t="s">
        <v>0</v>
      </c>
      <c r="H1449">
        <v>0.13605442200000001</v>
      </c>
      <c r="I1449">
        <v>0.13605442200000001</v>
      </c>
      <c r="J1449">
        <v>0.20050125299999999</v>
      </c>
      <c r="K1449">
        <v>0.157303371</v>
      </c>
      <c r="L1449">
        <v>0.558510638</v>
      </c>
      <c r="M1449">
        <v>0.13580246900000001</v>
      </c>
      <c r="N1449" t="e">
        <v>#N/A</v>
      </c>
      <c r="O1449" t="e">
        <v>#N/A</v>
      </c>
    </row>
    <row r="1450" spans="1:15" x14ac:dyDescent="0.25">
      <c r="A1450" t="s">
        <v>6</v>
      </c>
      <c r="B1450" t="s">
        <v>25</v>
      </c>
      <c r="C1450" s="3" t="str">
        <f>IF($B1450="GW1",VLOOKUP($A1450,Matches!$A:$AC,2,FALSE),IF($B1450="GW2",VLOOKUP($A1450,Matches!$A:$AC,9,FALSE),IF($B1450="GW3",VLOOKUP($A1450,Matches!$A:$AC,16,FALSE))))</f>
        <v>Spurs</v>
      </c>
      <c r="D1450" s="6">
        <v>0.21060168902554596</v>
      </c>
      <c r="E1450" s="6">
        <v>0.57110222729868643</v>
      </c>
      <c r="F1450" s="6">
        <v>-0.36050053827314044</v>
      </c>
      <c r="G1450" s="3" t="s">
        <v>0</v>
      </c>
      <c r="H1450" t="e">
        <v>#N/A</v>
      </c>
      <c r="I1450" t="e">
        <v>#N/A</v>
      </c>
      <c r="J1450" t="e">
        <v>#N/A</v>
      </c>
      <c r="K1450">
        <v>0.157303371</v>
      </c>
      <c r="L1450">
        <v>0.558510638</v>
      </c>
      <c r="M1450">
        <v>0.13580246900000001</v>
      </c>
      <c r="N1450" t="e">
        <v>#N/A</v>
      </c>
      <c r="O1450" t="e">
        <v>#N/A</v>
      </c>
    </row>
    <row r="1451" spans="1:15" x14ac:dyDescent="0.25">
      <c r="A1451" t="s">
        <v>6</v>
      </c>
      <c r="B1451" t="s">
        <v>25</v>
      </c>
      <c r="C1451" s="3" t="str">
        <f>IF($B1451="GW1",VLOOKUP($A1451,Matches!$A:$AC,2,FALSE),IF($B1451="GW2",VLOOKUP($A1451,Matches!$A:$AC,9,FALSE),IF($B1451="GW3",VLOOKUP($A1451,Matches!$A:$AC,16,FALSE))))</f>
        <v>Spurs</v>
      </c>
      <c r="D1451" s="6">
        <v>0.21060168902554596</v>
      </c>
      <c r="E1451" s="6">
        <v>0.57110222729868643</v>
      </c>
      <c r="F1451" s="6">
        <v>-0.36050053827314044</v>
      </c>
      <c r="G1451" s="3" t="s">
        <v>0</v>
      </c>
      <c r="H1451" t="e">
        <v>#N/A</v>
      </c>
      <c r="I1451" t="e">
        <v>#N/A</v>
      </c>
      <c r="J1451" t="e">
        <v>#N/A</v>
      </c>
      <c r="K1451">
        <v>0.157303371</v>
      </c>
      <c r="L1451">
        <v>0.558510638</v>
      </c>
      <c r="M1451">
        <v>0.13580246900000001</v>
      </c>
      <c r="N1451" t="e">
        <v>#N/A</v>
      </c>
      <c r="O1451" t="e">
        <v>#N/A</v>
      </c>
    </row>
    <row r="1452" spans="1:15" x14ac:dyDescent="0.25">
      <c r="A1452" t="s">
        <v>6</v>
      </c>
      <c r="B1452" t="s">
        <v>25</v>
      </c>
      <c r="C1452" s="3" t="str">
        <f>IF($B1452="GW1",VLOOKUP($A1452,Matches!$A:$AC,2,FALSE),IF($B1452="GW2",VLOOKUP($A1452,Matches!$A:$AC,9,FALSE),IF($B1452="GW3",VLOOKUP($A1452,Matches!$A:$AC,16,FALSE))))</f>
        <v>Spurs</v>
      </c>
      <c r="D1452" s="6">
        <v>0.21060168902554596</v>
      </c>
      <c r="E1452" s="6">
        <v>0.57110222729868643</v>
      </c>
      <c r="F1452" s="6">
        <v>-0.36050053827314044</v>
      </c>
      <c r="G1452" s="3" t="s">
        <v>0</v>
      </c>
      <c r="H1452" t="e">
        <v>#N/A</v>
      </c>
      <c r="I1452" t="e">
        <v>#N/A</v>
      </c>
      <c r="J1452" t="e">
        <v>#N/A</v>
      </c>
      <c r="K1452">
        <v>0.157303371</v>
      </c>
      <c r="L1452">
        <v>0.558510638</v>
      </c>
      <c r="M1452">
        <v>0.13580246900000001</v>
      </c>
      <c r="N1452" t="e">
        <v>#N/A</v>
      </c>
      <c r="O1452" t="e">
        <v>#N/A</v>
      </c>
    </row>
    <row r="1453" spans="1:15" x14ac:dyDescent="0.25">
      <c r="A1453" t="s">
        <v>6</v>
      </c>
      <c r="B1453" t="s">
        <v>25</v>
      </c>
      <c r="C1453" s="3" t="str">
        <f>IF($B1453="GW1",VLOOKUP($A1453,Matches!$A:$AC,2,FALSE),IF($B1453="GW2",VLOOKUP($A1453,Matches!$A:$AC,9,FALSE),IF($B1453="GW3",VLOOKUP($A1453,Matches!$A:$AC,16,FALSE))))</f>
        <v>Spurs</v>
      </c>
      <c r="D1453" s="6">
        <v>0.21060168902554596</v>
      </c>
      <c r="E1453" s="6">
        <v>0.57110222729868643</v>
      </c>
      <c r="F1453" s="6">
        <v>-0.36050053827314044</v>
      </c>
      <c r="G1453" s="3" t="s">
        <v>0</v>
      </c>
      <c r="H1453">
        <v>0.11904761899999999</v>
      </c>
      <c r="I1453">
        <v>0.105820106</v>
      </c>
      <c r="J1453">
        <v>0.21994941200000001</v>
      </c>
      <c r="K1453">
        <v>0.157303371</v>
      </c>
      <c r="L1453">
        <v>0.558510638</v>
      </c>
      <c r="M1453">
        <v>0.13580246900000001</v>
      </c>
      <c r="N1453" t="e">
        <v>#N/A</v>
      </c>
      <c r="O1453" t="e">
        <v>#N/A</v>
      </c>
    </row>
    <row r="1454" spans="1:15" x14ac:dyDescent="0.25">
      <c r="A1454" t="s">
        <v>6</v>
      </c>
      <c r="B1454" t="s">
        <v>25</v>
      </c>
      <c r="C1454" s="3" t="str">
        <f>IF($B1454="GW1",VLOOKUP($A1454,Matches!$A:$AC,2,FALSE),IF($B1454="GW2",VLOOKUP($A1454,Matches!$A:$AC,9,FALSE),IF($B1454="GW3",VLOOKUP($A1454,Matches!$A:$AC,16,FALSE))))</f>
        <v>Spurs</v>
      </c>
      <c r="D1454" s="6">
        <v>0.21060168902554596</v>
      </c>
      <c r="E1454" s="6">
        <v>0.57110222729868643</v>
      </c>
      <c r="F1454" s="6">
        <v>-0.36050053827314044</v>
      </c>
      <c r="G1454" s="3" t="s">
        <v>0</v>
      </c>
      <c r="H1454">
        <v>0.307219662</v>
      </c>
      <c r="I1454">
        <v>7.3260072999999995E-2</v>
      </c>
      <c r="J1454">
        <v>0.21994941200000001</v>
      </c>
      <c r="K1454">
        <v>0.157303371</v>
      </c>
      <c r="L1454">
        <v>0.558510638</v>
      </c>
      <c r="M1454">
        <v>0.13580246900000001</v>
      </c>
      <c r="N1454" t="e">
        <v>#N/A</v>
      </c>
      <c r="O1454" t="e">
        <v>#N/A</v>
      </c>
    </row>
    <row r="1455" spans="1:15" x14ac:dyDescent="0.25">
      <c r="A1455" t="s">
        <v>6</v>
      </c>
      <c r="B1455" t="s">
        <v>25</v>
      </c>
      <c r="C1455" s="3" t="str">
        <f>IF($B1455="GW1",VLOOKUP($A1455,Matches!$A:$AC,2,FALSE),IF($B1455="GW2",VLOOKUP($A1455,Matches!$A:$AC,9,FALSE),IF($B1455="GW3",VLOOKUP($A1455,Matches!$A:$AC,16,FALSE))))</f>
        <v>Spurs</v>
      </c>
      <c r="D1455" s="6">
        <v>0.21060168902554596</v>
      </c>
      <c r="E1455" s="6">
        <v>0.57110222729868643</v>
      </c>
      <c r="F1455" s="6">
        <v>-0.36050053827314044</v>
      </c>
      <c r="G1455" s="3" t="s">
        <v>0</v>
      </c>
      <c r="H1455" t="e">
        <v>#N/A</v>
      </c>
      <c r="I1455" t="e">
        <v>#N/A</v>
      </c>
      <c r="J1455" t="e">
        <v>#N/A</v>
      </c>
      <c r="K1455">
        <v>0.157303371</v>
      </c>
      <c r="L1455">
        <v>0.558510638</v>
      </c>
      <c r="M1455">
        <v>0.13580246900000001</v>
      </c>
      <c r="N1455" t="e">
        <v>#N/A</v>
      </c>
      <c r="O1455" t="e">
        <v>#N/A</v>
      </c>
    </row>
    <row r="1456" spans="1:15" x14ac:dyDescent="0.25">
      <c r="A1456" t="s">
        <v>6</v>
      </c>
      <c r="B1456" t="s">
        <v>25</v>
      </c>
      <c r="C1456" s="3" t="str">
        <f>IF($B1456="GW1",VLOOKUP($A1456,Matches!$A:$AC,2,FALSE),IF($B1456="GW2",VLOOKUP($A1456,Matches!$A:$AC,9,FALSE),IF($B1456="GW3",VLOOKUP($A1456,Matches!$A:$AC,16,FALSE))))</f>
        <v>Spurs</v>
      </c>
      <c r="D1456" s="6">
        <v>0.21060168902554596</v>
      </c>
      <c r="E1456" s="6">
        <v>0.57110222729868643</v>
      </c>
      <c r="F1456" s="6">
        <v>-0.36050053827314044</v>
      </c>
      <c r="G1456" s="3" t="s">
        <v>0</v>
      </c>
      <c r="H1456" t="e">
        <v>#N/A</v>
      </c>
      <c r="I1456" t="e">
        <v>#N/A</v>
      </c>
      <c r="J1456" t="e">
        <v>#N/A</v>
      </c>
      <c r="K1456">
        <v>0.157303371</v>
      </c>
      <c r="L1456">
        <v>0.558510638</v>
      </c>
      <c r="M1456">
        <v>0.13580246900000001</v>
      </c>
      <c r="N1456" t="e">
        <v>#N/A</v>
      </c>
      <c r="O1456" t="e">
        <v>#N/A</v>
      </c>
    </row>
    <row r="1457" spans="1:15" x14ac:dyDescent="0.25">
      <c r="A1457" t="s">
        <v>6</v>
      </c>
      <c r="B1457" t="s">
        <v>25</v>
      </c>
      <c r="C1457" s="3" t="str">
        <f>IF($B1457="GW1",VLOOKUP($A1457,Matches!$A:$AC,2,FALSE),IF($B1457="GW2",VLOOKUP($A1457,Matches!$A:$AC,9,FALSE),IF($B1457="GW3",VLOOKUP($A1457,Matches!$A:$AC,16,FALSE))))</f>
        <v>Spurs</v>
      </c>
      <c r="D1457" s="6">
        <v>0.21060168902554596</v>
      </c>
      <c r="E1457" s="6">
        <v>0.57110222729868643</v>
      </c>
      <c r="F1457" s="6">
        <v>-0.36050053827314044</v>
      </c>
      <c r="G1457" s="3" t="s">
        <v>0</v>
      </c>
      <c r="H1457">
        <v>0.307219662</v>
      </c>
      <c r="I1457">
        <v>9.5238094999999995E-2</v>
      </c>
      <c r="J1457">
        <v>0.253968254</v>
      </c>
      <c r="K1457">
        <v>0.157303371</v>
      </c>
      <c r="L1457">
        <v>0.558510638</v>
      </c>
      <c r="M1457">
        <v>0.13580246900000001</v>
      </c>
      <c r="N1457" t="e">
        <v>#N/A</v>
      </c>
      <c r="O1457" t="e">
        <v>#N/A</v>
      </c>
    </row>
    <row r="1458" spans="1:15" x14ac:dyDescent="0.25">
      <c r="A1458" t="s">
        <v>7</v>
      </c>
      <c r="B1458" t="s">
        <v>25</v>
      </c>
      <c r="C1458" s="3" t="str">
        <f>IF($B1458="GW1",VLOOKUP($A1458,Matches!$A:$AC,2,FALSE),IF($B1458="GW2",VLOOKUP($A1458,Matches!$A:$AC,9,FALSE),IF($B1458="GW3",VLOOKUP($A1458,Matches!$A:$AC,16,FALSE))))</f>
        <v>Sunderland</v>
      </c>
      <c r="D1458" s="6">
        <v>0.3691535309535236</v>
      </c>
      <c r="E1458" s="6">
        <v>0.36362314097669179</v>
      </c>
      <c r="F1458" s="6">
        <v>5.5303899768318066E-3</v>
      </c>
      <c r="G1458" s="3" t="s">
        <v>0</v>
      </c>
      <c r="H1458" t="e">
        <v>#N/A</v>
      </c>
      <c r="I1458" t="e">
        <v>#N/A</v>
      </c>
      <c r="J1458">
        <v>0.20050125299999999</v>
      </c>
      <c r="K1458">
        <v>0.26778242699999999</v>
      </c>
      <c r="L1458">
        <v>0.41099476400000001</v>
      </c>
      <c r="M1458">
        <v>6.4254522999999994E-2</v>
      </c>
      <c r="N1458" t="e">
        <v>#N/A</v>
      </c>
      <c r="O1458" t="e">
        <v>#N/A</v>
      </c>
    </row>
    <row r="1459" spans="1:15" x14ac:dyDescent="0.25">
      <c r="A1459" t="s">
        <v>7</v>
      </c>
      <c r="B1459" t="s">
        <v>25</v>
      </c>
      <c r="C1459" s="3" t="str">
        <f>IF($B1459="GW1",VLOOKUP($A1459,Matches!$A:$AC,2,FALSE),IF($B1459="GW2",VLOOKUP($A1459,Matches!$A:$AC,9,FALSE),IF($B1459="GW3",VLOOKUP($A1459,Matches!$A:$AC,16,FALSE))))</f>
        <v>Sunderland</v>
      </c>
      <c r="D1459" s="6">
        <v>0.3691535309535236</v>
      </c>
      <c r="E1459" s="6">
        <v>0.36362314097669179</v>
      </c>
      <c r="F1459" s="6">
        <v>5.5303899768318066E-3</v>
      </c>
      <c r="G1459" s="3" t="s">
        <v>0</v>
      </c>
      <c r="H1459" t="e">
        <v>#N/A</v>
      </c>
      <c r="I1459" t="e">
        <v>#N/A</v>
      </c>
      <c r="J1459">
        <v>0.13605442200000001</v>
      </c>
      <c r="K1459">
        <v>0.26778242699999999</v>
      </c>
      <c r="L1459">
        <v>0.41099476400000001</v>
      </c>
      <c r="M1459">
        <v>6.4254522999999994E-2</v>
      </c>
      <c r="N1459" t="e">
        <v>#N/A</v>
      </c>
      <c r="O1459" t="e">
        <v>#N/A</v>
      </c>
    </row>
    <row r="1460" spans="1:15" x14ac:dyDescent="0.25">
      <c r="A1460" t="s">
        <v>7</v>
      </c>
      <c r="B1460" t="s">
        <v>25</v>
      </c>
      <c r="C1460" s="3" t="str">
        <f>IF($B1460="GW1",VLOOKUP($A1460,Matches!$A:$AC,2,FALSE),IF($B1460="GW2",VLOOKUP($A1460,Matches!$A:$AC,9,FALSE),IF($B1460="GW3",VLOOKUP($A1460,Matches!$A:$AC,16,FALSE))))</f>
        <v>Sunderland</v>
      </c>
      <c r="D1460" s="6">
        <v>0.3691535309535236</v>
      </c>
      <c r="E1460" s="6">
        <v>0.36362314097669179</v>
      </c>
      <c r="F1460" s="6">
        <v>5.5303899768318066E-3</v>
      </c>
      <c r="G1460" s="3" t="s">
        <v>0</v>
      </c>
      <c r="H1460" t="e">
        <v>#N/A</v>
      </c>
      <c r="I1460" t="e">
        <v>#N/A</v>
      </c>
      <c r="J1460">
        <v>0.105820106</v>
      </c>
      <c r="K1460">
        <v>0.26778242699999999</v>
      </c>
      <c r="L1460">
        <v>0.41099476400000001</v>
      </c>
      <c r="M1460">
        <v>6.4254522999999994E-2</v>
      </c>
      <c r="N1460" t="e">
        <v>#N/A</v>
      </c>
      <c r="O1460" t="e">
        <v>#N/A</v>
      </c>
    </row>
    <row r="1461" spans="1:15" x14ac:dyDescent="0.25">
      <c r="A1461" t="s">
        <v>7</v>
      </c>
      <c r="B1461" t="s">
        <v>25</v>
      </c>
      <c r="C1461" s="3" t="str">
        <f>IF($B1461="GW1",VLOOKUP($A1461,Matches!$A:$AC,2,FALSE),IF($B1461="GW2",VLOOKUP($A1461,Matches!$A:$AC,9,FALSE),IF($B1461="GW3",VLOOKUP($A1461,Matches!$A:$AC,16,FALSE))))</f>
        <v>Sunderland</v>
      </c>
      <c r="D1461" s="6">
        <v>0.3691535309535236</v>
      </c>
      <c r="E1461" s="6">
        <v>0.36362314097669179</v>
      </c>
      <c r="F1461" s="6">
        <v>5.5303899768318066E-3</v>
      </c>
      <c r="G1461" s="3" t="s">
        <v>0</v>
      </c>
      <c r="H1461" t="e">
        <v>#N/A</v>
      </c>
      <c r="I1461" t="e">
        <v>#N/A</v>
      </c>
      <c r="J1461">
        <v>0.13605442200000001</v>
      </c>
      <c r="K1461">
        <v>0.26778242699999999</v>
      </c>
      <c r="L1461">
        <v>0.41099476400000001</v>
      </c>
      <c r="M1461">
        <v>6.4254522999999994E-2</v>
      </c>
      <c r="N1461" t="e">
        <v>#N/A</v>
      </c>
      <c r="O1461" t="e">
        <v>#N/A</v>
      </c>
    </row>
    <row r="1462" spans="1:15" x14ac:dyDescent="0.25">
      <c r="A1462" t="s">
        <v>7</v>
      </c>
      <c r="B1462" t="s">
        <v>25</v>
      </c>
      <c r="C1462" s="3" t="str">
        <f>IF($B1462="GW1",VLOOKUP($A1462,Matches!$A:$AC,2,FALSE),IF($B1462="GW2",VLOOKUP($A1462,Matches!$A:$AC,9,FALSE),IF($B1462="GW3",VLOOKUP($A1462,Matches!$A:$AC,16,FALSE))))</f>
        <v>Sunderland</v>
      </c>
      <c r="D1462" s="6">
        <v>0.3691535309535236</v>
      </c>
      <c r="E1462" s="6">
        <v>0.36362314097669179</v>
      </c>
      <c r="F1462" s="6">
        <v>5.5303899768318066E-3</v>
      </c>
      <c r="G1462" s="3" t="s">
        <v>0</v>
      </c>
      <c r="H1462" t="e">
        <v>#N/A</v>
      </c>
      <c r="I1462" t="e">
        <v>#N/A</v>
      </c>
      <c r="J1462" t="e">
        <v>#N/A</v>
      </c>
      <c r="K1462">
        <v>0.26778242699999999</v>
      </c>
      <c r="L1462">
        <v>0.41099476400000001</v>
      </c>
      <c r="M1462">
        <v>6.4254522999999994E-2</v>
      </c>
      <c r="N1462" t="e">
        <v>#N/A</v>
      </c>
      <c r="O1462" t="e">
        <v>#N/A</v>
      </c>
    </row>
    <row r="1463" spans="1:15" x14ac:dyDescent="0.25">
      <c r="A1463" t="s">
        <v>7</v>
      </c>
      <c r="B1463" t="s">
        <v>25</v>
      </c>
      <c r="C1463" s="3" t="str">
        <f>IF($B1463="GW1",VLOOKUP($A1463,Matches!$A:$AC,2,FALSE),IF($B1463="GW2",VLOOKUP($A1463,Matches!$A:$AC,9,FALSE),IF($B1463="GW3",VLOOKUP($A1463,Matches!$A:$AC,16,FALSE))))</f>
        <v>Sunderland</v>
      </c>
      <c r="D1463" s="6">
        <v>0.3691535309535236</v>
      </c>
      <c r="E1463" s="6">
        <v>0.36362314097669179</v>
      </c>
      <c r="F1463" s="6">
        <v>5.5303899768318066E-3</v>
      </c>
      <c r="G1463" s="3" t="s">
        <v>0</v>
      </c>
      <c r="H1463">
        <v>7.3260072999999995E-2</v>
      </c>
      <c r="I1463">
        <v>5.0125312999999998E-2</v>
      </c>
      <c r="J1463">
        <v>0.21994941200000001</v>
      </c>
      <c r="K1463">
        <v>0.26778242699999999</v>
      </c>
      <c r="L1463">
        <v>0.41099476400000001</v>
      </c>
      <c r="M1463">
        <v>6.4254522999999994E-2</v>
      </c>
      <c r="N1463" t="e">
        <v>#N/A</v>
      </c>
      <c r="O1463" t="e">
        <v>#N/A</v>
      </c>
    </row>
    <row r="1464" spans="1:15" x14ac:dyDescent="0.25">
      <c r="A1464" t="s">
        <v>7</v>
      </c>
      <c r="B1464" t="s">
        <v>25</v>
      </c>
      <c r="C1464" s="3" t="str">
        <f>IF($B1464="GW1",VLOOKUP($A1464,Matches!$A:$AC,2,FALSE),IF($B1464="GW2",VLOOKUP($A1464,Matches!$A:$AC,9,FALSE),IF($B1464="GW3",VLOOKUP($A1464,Matches!$A:$AC,16,FALSE))))</f>
        <v>Sunderland</v>
      </c>
      <c r="D1464" s="6">
        <v>0.3691535309535236</v>
      </c>
      <c r="E1464" s="6">
        <v>0.36362314097669179</v>
      </c>
      <c r="F1464" s="6">
        <v>5.5303899768318066E-3</v>
      </c>
      <c r="G1464" s="3" t="s">
        <v>0</v>
      </c>
      <c r="H1464">
        <v>0.126984127</v>
      </c>
      <c r="I1464">
        <v>0.11904761899999999</v>
      </c>
      <c r="J1464">
        <v>0.27210884400000002</v>
      </c>
      <c r="K1464">
        <v>0.26778242699999999</v>
      </c>
      <c r="L1464">
        <v>0.41099476400000001</v>
      </c>
      <c r="M1464">
        <v>6.4254522999999994E-2</v>
      </c>
      <c r="N1464" t="e">
        <v>#N/A</v>
      </c>
      <c r="O1464" t="e">
        <v>#N/A</v>
      </c>
    </row>
    <row r="1465" spans="1:15" x14ac:dyDescent="0.25">
      <c r="A1465" t="s">
        <v>7</v>
      </c>
      <c r="B1465" t="s">
        <v>25</v>
      </c>
      <c r="C1465" s="3" t="str">
        <f>IF($B1465="GW1",VLOOKUP($A1465,Matches!$A:$AC,2,FALSE),IF($B1465="GW2",VLOOKUP($A1465,Matches!$A:$AC,9,FALSE),IF($B1465="GW3",VLOOKUP($A1465,Matches!$A:$AC,16,FALSE))))</f>
        <v>Sunderland</v>
      </c>
      <c r="D1465" s="6">
        <v>0.3691535309535236</v>
      </c>
      <c r="E1465" s="6">
        <v>0.36362314097669179</v>
      </c>
      <c r="F1465" s="6">
        <v>5.5303899768318066E-3</v>
      </c>
      <c r="G1465" s="3" t="s">
        <v>0</v>
      </c>
      <c r="H1465">
        <v>5.0125312999999998E-2</v>
      </c>
      <c r="I1465">
        <v>8.6580087E-2</v>
      </c>
      <c r="J1465">
        <v>0.253968254</v>
      </c>
      <c r="K1465">
        <v>0.26778242699999999</v>
      </c>
      <c r="L1465">
        <v>0.41099476400000001</v>
      </c>
      <c r="M1465">
        <v>6.4254522999999994E-2</v>
      </c>
      <c r="N1465" t="e">
        <v>#N/A</v>
      </c>
      <c r="O1465" t="e">
        <v>#N/A</v>
      </c>
    </row>
    <row r="1466" spans="1:15" x14ac:dyDescent="0.25">
      <c r="A1466" t="s">
        <v>7</v>
      </c>
      <c r="B1466" t="s">
        <v>25</v>
      </c>
      <c r="C1466" s="3" t="str">
        <f>IF($B1466="GW1",VLOOKUP($A1466,Matches!$A:$AC,2,FALSE),IF($B1466="GW2",VLOOKUP($A1466,Matches!$A:$AC,9,FALSE),IF($B1466="GW3",VLOOKUP($A1466,Matches!$A:$AC,16,FALSE))))</f>
        <v>Sunderland</v>
      </c>
      <c r="D1466" s="6">
        <v>0.3691535309535236</v>
      </c>
      <c r="E1466" s="6">
        <v>0.36362314097669179</v>
      </c>
      <c r="F1466" s="6">
        <v>5.5303899768318066E-3</v>
      </c>
      <c r="G1466" s="3" t="s">
        <v>0</v>
      </c>
      <c r="H1466">
        <v>6.3492063000000001E-2</v>
      </c>
      <c r="I1466">
        <v>8.6580087E-2</v>
      </c>
      <c r="J1466">
        <v>0.13605442200000001</v>
      </c>
      <c r="K1466">
        <v>0.26778242699999999</v>
      </c>
      <c r="L1466">
        <v>0.41099476400000001</v>
      </c>
      <c r="M1466">
        <v>6.4254522999999994E-2</v>
      </c>
      <c r="N1466" t="e">
        <v>#N/A</v>
      </c>
      <c r="O1466" t="e">
        <v>#N/A</v>
      </c>
    </row>
    <row r="1467" spans="1:15" x14ac:dyDescent="0.25">
      <c r="A1467" t="s">
        <v>7</v>
      </c>
      <c r="B1467" t="s">
        <v>25</v>
      </c>
      <c r="C1467" s="3" t="str">
        <f>IF($B1467="GW1",VLOOKUP($A1467,Matches!$A:$AC,2,FALSE),IF($B1467="GW2",VLOOKUP($A1467,Matches!$A:$AC,9,FALSE),IF($B1467="GW3",VLOOKUP($A1467,Matches!$A:$AC,16,FALSE))))</f>
        <v>Sunderland</v>
      </c>
      <c r="D1467" s="6">
        <v>0.3691535309535236</v>
      </c>
      <c r="E1467" s="6">
        <v>0.36362314097669179</v>
      </c>
      <c r="F1467" s="6">
        <v>5.5303899768318066E-3</v>
      </c>
      <c r="G1467" s="3" t="s">
        <v>0</v>
      </c>
      <c r="H1467">
        <v>7.3260072999999995E-2</v>
      </c>
      <c r="I1467">
        <v>6.3492063000000001E-2</v>
      </c>
      <c r="J1467">
        <v>0.297619048</v>
      </c>
      <c r="K1467">
        <v>0.26778242699999999</v>
      </c>
      <c r="L1467">
        <v>0.41099476400000001</v>
      </c>
      <c r="M1467">
        <v>6.4254522999999994E-2</v>
      </c>
      <c r="N1467" t="e">
        <v>#N/A</v>
      </c>
      <c r="O1467" t="e">
        <v>#N/A</v>
      </c>
    </row>
    <row r="1468" spans="1:15" x14ac:dyDescent="0.25">
      <c r="A1468" t="s">
        <v>7</v>
      </c>
      <c r="B1468" t="s">
        <v>25</v>
      </c>
      <c r="C1468" s="3" t="str">
        <f>IF($B1468="GW1",VLOOKUP($A1468,Matches!$A:$AC,2,FALSE),IF($B1468="GW2",VLOOKUP($A1468,Matches!$A:$AC,9,FALSE),IF($B1468="GW3",VLOOKUP($A1468,Matches!$A:$AC,16,FALSE))))</f>
        <v>Sunderland</v>
      </c>
      <c r="D1468" s="6">
        <v>0.3691535309535236</v>
      </c>
      <c r="E1468" s="6">
        <v>0.36362314097669179</v>
      </c>
      <c r="F1468" s="6">
        <v>5.5303899768318066E-3</v>
      </c>
      <c r="G1468" s="3" t="s">
        <v>0</v>
      </c>
      <c r="H1468">
        <v>7.3260072999999995E-2</v>
      </c>
      <c r="I1468">
        <v>4.1407867000000001E-2</v>
      </c>
      <c r="J1468">
        <v>0.13605442200000001</v>
      </c>
      <c r="K1468">
        <v>0.26778242699999999</v>
      </c>
      <c r="L1468">
        <v>0.41099476400000001</v>
      </c>
      <c r="M1468">
        <v>6.4254522999999994E-2</v>
      </c>
      <c r="N1468" t="e">
        <v>#N/A</v>
      </c>
      <c r="O1468" t="e">
        <v>#N/A</v>
      </c>
    </row>
    <row r="1469" spans="1:15" x14ac:dyDescent="0.25">
      <c r="A1469" t="s">
        <v>7</v>
      </c>
      <c r="B1469" t="s">
        <v>25</v>
      </c>
      <c r="C1469" s="3" t="str">
        <f>IF($B1469="GW1",VLOOKUP($A1469,Matches!$A:$AC,2,FALSE),IF($B1469="GW2",VLOOKUP($A1469,Matches!$A:$AC,9,FALSE),IF($B1469="GW3",VLOOKUP($A1469,Matches!$A:$AC,16,FALSE))))</f>
        <v>Sunderland</v>
      </c>
      <c r="D1469" s="6">
        <v>0.3691535309535236</v>
      </c>
      <c r="E1469" s="6">
        <v>0.36362314097669179</v>
      </c>
      <c r="F1469" s="6">
        <v>5.5303899768318066E-3</v>
      </c>
      <c r="G1469" s="3" t="s">
        <v>0</v>
      </c>
      <c r="H1469" t="e">
        <v>#N/A</v>
      </c>
      <c r="I1469" t="e">
        <v>#N/A</v>
      </c>
      <c r="J1469" t="e">
        <v>#N/A</v>
      </c>
      <c r="K1469">
        <v>0.26778242699999999</v>
      </c>
      <c r="L1469">
        <v>0.41099476400000001</v>
      </c>
      <c r="M1469">
        <v>6.4254522999999994E-2</v>
      </c>
      <c r="N1469" t="e">
        <v>#N/A</v>
      </c>
      <c r="O1469" t="e">
        <v>#N/A</v>
      </c>
    </row>
    <row r="1470" spans="1:15" x14ac:dyDescent="0.25">
      <c r="A1470" t="s">
        <v>7</v>
      </c>
      <c r="B1470" t="s">
        <v>25</v>
      </c>
      <c r="C1470" s="3" t="str">
        <f>IF($B1470="GW1",VLOOKUP($A1470,Matches!$A:$AC,2,FALSE),IF($B1470="GW2",VLOOKUP($A1470,Matches!$A:$AC,9,FALSE),IF($B1470="GW3",VLOOKUP($A1470,Matches!$A:$AC,16,FALSE))))</f>
        <v>Sunderland</v>
      </c>
      <c r="D1470" s="6">
        <v>0.3691535309535236</v>
      </c>
      <c r="E1470" s="6">
        <v>0.36362314097669179</v>
      </c>
      <c r="F1470" s="6">
        <v>5.5303899768318066E-3</v>
      </c>
      <c r="G1470" s="3" t="s">
        <v>0</v>
      </c>
      <c r="H1470">
        <v>5.0125312999999998E-2</v>
      </c>
      <c r="I1470">
        <v>3.2840722000000003E-2</v>
      </c>
      <c r="J1470">
        <v>0.21994941200000001</v>
      </c>
      <c r="K1470">
        <v>0.26778242699999999</v>
      </c>
      <c r="L1470">
        <v>0.41099476400000001</v>
      </c>
      <c r="M1470">
        <v>6.4254522999999994E-2</v>
      </c>
      <c r="N1470" t="e">
        <v>#N/A</v>
      </c>
      <c r="O1470" t="e">
        <v>#N/A</v>
      </c>
    </row>
    <row r="1471" spans="1:15" x14ac:dyDescent="0.25">
      <c r="A1471" t="s">
        <v>7</v>
      </c>
      <c r="B1471" t="s">
        <v>25</v>
      </c>
      <c r="C1471" s="3" t="str">
        <f>IF($B1471="GW1",VLOOKUP($A1471,Matches!$A:$AC,2,FALSE),IF($B1471="GW2",VLOOKUP($A1471,Matches!$A:$AC,9,FALSE),IF($B1471="GW3",VLOOKUP($A1471,Matches!$A:$AC,16,FALSE))))</f>
        <v>Sunderland</v>
      </c>
      <c r="D1471" s="6">
        <v>0.3691535309535236</v>
      </c>
      <c r="E1471" s="6">
        <v>0.36362314097669179</v>
      </c>
      <c r="F1471" s="6">
        <v>5.5303899768318066E-3</v>
      </c>
      <c r="G1471" s="3" t="s">
        <v>0</v>
      </c>
      <c r="H1471">
        <v>7.3260072999999995E-2</v>
      </c>
      <c r="I1471">
        <v>5.6022409000000002E-2</v>
      </c>
      <c r="J1471">
        <v>0.21994941200000001</v>
      </c>
      <c r="K1471">
        <v>0.26778242699999999</v>
      </c>
      <c r="L1471">
        <v>0.41099476400000001</v>
      </c>
      <c r="M1471">
        <v>6.4254522999999994E-2</v>
      </c>
      <c r="N1471" t="e">
        <v>#N/A</v>
      </c>
      <c r="O1471" t="e">
        <v>#N/A</v>
      </c>
    </row>
    <row r="1472" spans="1:15" x14ac:dyDescent="0.25">
      <c r="A1472" t="s">
        <v>7</v>
      </c>
      <c r="B1472" t="s">
        <v>25</v>
      </c>
      <c r="C1472" s="3" t="str">
        <f>IF($B1472="GW1",VLOOKUP($A1472,Matches!$A:$AC,2,FALSE),IF($B1472="GW2",VLOOKUP($A1472,Matches!$A:$AC,9,FALSE),IF($B1472="GW3",VLOOKUP($A1472,Matches!$A:$AC,16,FALSE))))</f>
        <v>Sunderland</v>
      </c>
      <c r="D1472" s="6">
        <v>0.3691535309535236</v>
      </c>
      <c r="E1472" s="6">
        <v>0.36362314097669179</v>
      </c>
      <c r="F1472" s="6">
        <v>5.5303899768318066E-3</v>
      </c>
      <c r="G1472" s="3" t="s">
        <v>0</v>
      </c>
      <c r="H1472" t="e">
        <v>#N/A</v>
      </c>
      <c r="I1472" t="e">
        <v>#N/A</v>
      </c>
      <c r="J1472" t="e">
        <v>#N/A</v>
      </c>
      <c r="K1472">
        <v>0.26778242699999999</v>
      </c>
      <c r="L1472">
        <v>0.41099476400000001</v>
      </c>
      <c r="M1472">
        <v>6.4254522999999994E-2</v>
      </c>
      <c r="N1472" t="e">
        <v>#N/A</v>
      </c>
      <c r="O1472" t="e">
        <v>#N/A</v>
      </c>
    </row>
    <row r="1473" spans="1:15" x14ac:dyDescent="0.25">
      <c r="A1473" t="s">
        <v>7</v>
      </c>
      <c r="B1473" t="s">
        <v>25</v>
      </c>
      <c r="C1473" s="3" t="str">
        <f>IF($B1473="GW1",VLOOKUP($A1473,Matches!$A:$AC,2,FALSE),IF($B1473="GW2",VLOOKUP($A1473,Matches!$A:$AC,9,FALSE),IF($B1473="GW3",VLOOKUP($A1473,Matches!$A:$AC,16,FALSE))))</f>
        <v>Sunderland</v>
      </c>
      <c r="D1473" s="6">
        <v>0.3691535309535236</v>
      </c>
      <c r="E1473" s="6">
        <v>0.36362314097669179</v>
      </c>
      <c r="F1473" s="6">
        <v>5.5303899768318066E-3</v>
      </c>
      <c r="G1473" s="3" t="s">
        <v>0</v>
      </c>
      <c r="H1473">
        <v>7.3260072999999995E-2</v>
      </c>
      <c r="I1473">
        <v>4.1407867000000001E-2</v>
      </c>
      <c r="J1473">
        <v>0.253968254</v>
      </c>
      <c r="K1473">
        <v>0.26778242699999999</v>
      </c>
      <c r="L1473">
        <v>0.41099476400000001</v>
      </c>
      <c r="M1473">
        <v>6.4254522999999994E-2</v>
      </c>
      <c r="N1473" t="e">
        <v>#N/A</v>
      </c>
      <c r="O1473" t="e">
        <v>#N/A</v>
      </c>
    </row>
    <row r="1474" spans="1:15" x14ac:dyDescent="0.25">
      <c r="A1474" t="s">
        <v>7</v>
      </c>
      <c r="B1474" t="s">
        <v>25</v>
      </c>
      <c r="C1474" s="3" t="str">
        <f>IF($B1474="GW1",VLOOKUP($A1474,Matches!$A:$AC,2,FALSE),IF($B1474="GW2",VLOOKUP($A1474,Matches!$A:$AC,9,FALSE),IF($B1474="GW3",VLOOKUP($A1474,Matches!$A:$AC,16,FALSE))))</f>
        <v>Sunderland</v>
      </c>
      <c r="D1474" s="6">
        <v>0.3691535309535236</v>
      </c>
      <c r="E1474" s="6">
        <v>0.36362314097669179</v>
      </c>
      <c r="F1474" s="6">
        <v>5.5303899768318066E-3</v>
      </c>
      <c r="G1474" s="3" t="s">
        <v>0</v>
      </c>
      <c r="H1474" t="e">
        <v>#N/A</v>
      </c>
      <c r="I1474" t="e">
        <v>#N/A</v>
      </c>
      <c r="J1474" t="e">
        <v>#N/A</v>
      </c>
      <c r="K1474">
        <v>0.26778242699999999</v>
      </c>
      <c r="L1474">
        <v>0.41099476400000001</v>
      </c>
      <c r="M1474">
        <v>6.4254522999999994E-2</v>
      </c>
      <c r="N1474" t="e">
        <v>#N/A</v>
      </c>
      <c r="O1474" t="e">
        <v>#N/A</v>
      </c>
    </row>
    <row r="1475" spans="1:15" x14ac:dyDescent="0.25">
      <c r="A1475" t="s">
        <v>7</v>
      </c>
      <c r="B1475" t="s">
        <v>25</v>
      </c>
      <c r="C1475" s="3" t="str">
        <f>IF($B1475="GW1",VLOOKUP($A1475,Matches!$A:$AC,2,FALSE),IF($B1475="GW2",VLOOKUP($A1475,Matches!$A:$AC,9,FALSE),IF($B1475="GW3",VLOOKUP($A1475,Matches!$A:$AC,16,FALSE))))</f>
        <v>Sunderland</v>
      </c>
      <c r="D1475" s="6">
        <v>0.3691535309535236</v>
      </c>
      <c r="E1475" s="6">
        <v>0.36362314097669179</v>
      </c>
      <c r="F1475" s="6">
        <v>5.5303899768318066E-3</v>
      </c>
      <c r="G1475" s="3" t="s">
        <v>0</v>
      </c>
      <c r="H1475" t="e">
        <v>#N/A</v>
      </c>
      <c r="I1475" t="e">
        <v>#N/A</v>
      </c>
      <c r="J1475" t="e">
        <v>#N/A</v>
      </c>
      <c r="K1475">
        <v>0.26778242699999999</v>
      </c>
      <c r="L1475">
        <v>0.41099476400000001</v>
      </c>
      <c r="M1475">
        <v>6.4254522999999994E-2</v>
      </c>
      <c r="N1475" t="e">
        <v>#N/A</v>
      </c>
      <c r="O1475" t="e">
        <v>#N/A</v>
      </c>
    </row>
    <row r="1476" spans="1:15" x14ac:dyDescent="0.25">
      <c r="A1476" t="s">
        <v>7</v>
      </c>
      <c r="B1476" t="s">
        <v>25</v>
      </c>
      <c r="C1476" s="3" t="str">
        <f>IF($B1476="GW1",VLOOKUP($A1476,Matches!$A:$AC,2,FALSE),IF($B1476="GW2",VLOOKUP($A1476,Matches!$A:$AC,9,FALSE),IF($B1476="GW3",VLOOKUP($A1476,Matches!$A:$AC,16,FALSE))))</f>
        <v>Sunderland</v>
      </c>
      <c r="D1476" s="6">
        <v>0.3691535309535236</v>
      </c>
      <c r="E1476" s="6">
        <v>0.36362314097669179</v>
      </c>
      <c r="F1476" s="6">
        <v>5.5303899768318066E-3</v>
      </c>
      <c r="G1476" s="3" t="s">
        <v>0</v>
      </c>
      <c r="H1476">
        <v>0.23809523799999999</v>
      </c>
      <c r="I1476">
        <v>0.11904761899999999</v>
      </c>
      <c r="J1476">
        <v>0.21994941200000001</v>
      </c>
      <c r="K1476">
        <v>0.26778242699999999</v>
      </c>
      <c r="L1476">
        <v>0.41099476400000001</v>
      </c>
      <c r="M1476">
        <v>6.4254522999999994E-2</v>
      </c>
      <c r="N1476" t="e">
        <v>#N/A</v>
      </c>
      <c r="O1476" t="e">
        <v>#N/A</v>
      </c>
    </row>
    <row r="1477" spans="1:15" x14ac:dyDescent="0.25">
      <c r="A1477" t="s">
        <v>7</v>
      </c>
      <c r="B1477" t="s">
        <v>25</v>
      </c>
      <c r="C1477" s="3" t="str">
        <f>IF($B1477="GW1",VLOOKUP($A1477,Matches!$A:$AC,2,FALSE),IF($B1477="GW2",VLOOKUP($A1477,Matches!$A:$AC,9,FALSE),IF($B1477="GW3",VLOOKUP($A1477,Matches!$A:$AC,16,FALSE))))</f>
        <v>Sunderland</v>
      </c>
      <c r="D1477" s="6">
        <v>0.3691535309535236</v>
      </c>
      <c r="E1477" s="6">
        <v>0.36362314097669179</v>
      </c>
      <c r="F1477" s="6">
        <v>5.5303899768318066E-3</v>
      </c>
      <c r="G1477" s="3" t="s">
        <v>0</v>
      </c>
      <c r="H1477">
        <v>0.19047618999999999</v>
      </c>
      <c r="I1477">
        <v>0.21164021199999999</v>
      </c>
      <c r="J1477">
        <v>0.13605442200000001</v>
      </c>
      <c r="K1477">
        <v>0.26778242699999999</v>
      </c>
      <c r="L1477">
        <v>0.41099476400000001</v>
      </c>
      <c r="M1477">
        <v>6.4254522999999994E-2</v>
      </c>
      <c r="N1477" t="e">
        <v>#N/A</v>
      </c>
      <c r="O1477" t="e">
        <v>#N/A</v>
      </c>
    </row>
    <row r="1478" spans="1:15" x14ac:dyDescent="0.25">
      <c r="A1478" t="s">
        <v>7</v>
      </c>
      <c r="B1478" t="s">
        <v>25</v>
      </c>
      <c r="C1478" s="3" t="str">
        <f>IF($B1478="GW1",VLOOKUP($A1478,Matches!$A:$AC,2,FALSE),IF($B1478="GW2",VLOOKUP($A1478,Matches!$A:$AC,9,FALSE),IF($B1478="GW3",VLOOKUP($A1478,Matches!$A:$AC,16,FALSE))))</f>
        <v>Sunderland</v>
      </c>
      <c r="D1478" s="6">
        <v>0.3691535309535236</v>
      </c>
      <c r="E1478" s="6">
        <v>0.36362314097669179</v>
      </c>
      <c r="F1478" s="6">
        <v>5.5303899768318066E-3</v>
      </c>
      <c r="G1478" s="3" t="s">
        <v>0</v>
      </c>
      <c r="H1478">
        <v>0.20050125299999999</v>
      </c>
      <c r="I1478">
        <v>0.13605442200000001</v>
      </c>
      <c r="J1478">
        <v>0.20050125299999999</v>
      </c>
      <c r="K1478">
        <v>0.26778242699999999</v>
      </c>
      <c r="L1478">
        <v>0.41099476400000001</v>
      </c>
      <c r="M1478">
        <v>6.4254522999999994E-2</v>
      </c>
      <c r="N1478" t="e">
        <v>#N/A</v>
      </c>
      <c r="O1478" t="e">
        <v>#N/A</v>
      </c>
    </row>
    <row r="1479" spans="1:15" x14ac:dyDescent="0.25">
      <c r="A1479" t="s">
        <v>7</v>
      </c>
      <c r="B1479" t="s">
        <v>25</v>
      </c>
      <c r="C1479" s="3" t="str">
        <f>IF($B1479="GW1",VLOOKUP($A1479,Matches!$A:$AC,2,FALSE),IF($B1479="GW2",VLOOKUP($A1479,Matches!$A:$AC,9,FALSE),IF($B1479="GW3",VLOOKUP($A1479,Matches!$A:$AC,16,FALSE))))</f>
        <v>Sunderland</v>
      </c>
      <c r="D1479" s="6">
        <v>0.3691535309535236</v>
      </c>
      <c r="E1479" s="6">
        <v>0.36362314097669179</v>
      </c>
      <c r="F1479" s="6">
        <v>5.5303899768318066E-3</v>
      </c>
      <c r="G1479" s="3" t="s">
        <v>0</v>
      </c>
      <c r="H1479">
        <v>0.21994941200000001</v>
      </c>
      <c r="I1479">
        <v>0.14652014699999999</v>
      </c>
      <c r="J1479">
        <v>0.173160173</v>
      </c>
      <c r="K1479">
        <v>0.26778242699999999</v>
      </c>
      <c r="L1479">
        <v>0.41099476400000001</v>
      </c>
      <c r="M1479">
        <v>6.4254522999999994E-2</v>
      </c>
      <c r="N1479" t="e">
        <v>#N/A</v>
      </c>
      <c r="O1479" t="e">
        <v>#N/A</v>
      </c>
    </row>
    <row r="1480" spans="1:15" x14ac:dyDescent="0.25">
      <c r="A1480" t="s">
        <v>7</v>
      </c>
      <c r="B1480" t="s">
        <v>25</v>
      </c>
      <c r="C1480" s="3" t="str">
        <f>IF($B1480="GW1",VLOOKUP($A1480,Matches!$A:$AC,2,FALSE),IF($B1480="GW2",VLOOKUP($A1480,Matches!$A:$AC,9,FALSE),IF($B1480="GW3",VLOOKUP($A1480,Matches!$A:$AC,16,FALSE))))</f>
        <v>Sunderland</v>
      </c>
      <c r="D1480" s="6">
        <v>0.3691535309535236</v>
      </c>
      <c r="E1480" s="6">
        <v>0.36362314097669179</v>
      </c>
      <c r="F1480" s="6">
        <v>5.5303899768318066E-3</v>
      </c>
      <c r="G1480" s="3" t="s">
        <v>0</v>
      </c>
      <c r="H1480">
        <v>9.5238094999999995E-2</v>
      </c>
      <c r="I1480">
        <v>0.11904761899999999</v>
      </c>
      <c r="J1480">
        <v>0.21994941200000001</v>
      </c>
      <c r="K1480">
        <v>0.26778242699999999</v>
      </c>
      <c r="L1480">
        <v>0.41099476400000001</v>
      </c>
      <c r="M1480">
        <v>6.4254522999999994E-2</v>
      </c>
      <c r="N1480" t="e">
        <v>#N/A</v>
      </c>
      <c r="O1480" t="e">
        <v>#N/A</v>
      </c>
    </row>
    <row r="1481" spans="1:15" x14ac:dyDescent="0.25">
      <c r="A1481" t="s">
        <v>7</v>
      </c>
      <c r="B1481" t="s">
        <v>25</v>
      </c>
      <c r="C1481" s="3" t="str">
        <f>IF($B1481="GW1",VLOOKUP($A1481,Matches!$A:$AC,2,FALSE),IF($B1481="GW2",VLOOKUP($A1481,Matches!$A:$AC,9,FALSE),IF($B1481="GW3",VLOOKUP($A1481,Matches!$A:$AC,16,FALSE))))</f>
        <v>Sunderland</v>
      </c>
      <c r="D1481" s="6">
        <v>0.3691535309535236</v>
      </c>
      <c r="E1481" s="6">
        <v>0.36362314097669179</v>
      </c>
      <c r="F1481" s="6">
        <v>5.5303899768318066E-3</v>
      </c>
      <c r="G1481" s="3" t="s">
        <v>0</v>
      </c>
      <c r="H1481">
        <v>9.5238094999999995E-2</v>
      </c>
      <c r="I1481">
        <v>0.105820106</v>
      </c>
      <c r="J1481">
        <v>0.27210884400000002</v>
      </c>
      <c r="K1481">
        <v>0.26778242699999999</v>
      </c>
      <c r="L1481">
        <v>0.41099476400000001</v>
      </c>
      <c r="M1481">
        <v>6.4254522999999994E-2</v>
      </c>
      <c r="N1481" t="e">
        <v>#N/A</v>
      </c>
      <c r="O1481" t="e">
        <v>#N/A</v>
      </c>
    </row>
    <row r="1482" spans="1:15" x14ac:dyDescent="0.25">
      <c r="A1482" t="s">
        <v>7</v>
      </c>
      <c r="B1482" t="s">
        <v>25</v>
      </c>
      <c r="C1482" s="3" t="str">
        <f>IF($B1482="GW1",VLOOKUP($A1482,Matches!$A:$AC,2,FALSE),IF($B1482="GW2",VLOOKUP($A1482,Matches!$A:$AC,9,FALSE),IF($B1482="GW3",VLOOKUP($A1482,Matches!$A:$AC,16,FALSE))))</f>
        <v>Sunderland</v>
      </c>
      <c r="D1482" s="6">
        <v>0.3691535309535236</v>
      </c>
      <c r="E1482" s="6">
        <v>0.36362314097669179</v>
      </c>
      <c r="F1482" s="6">
        <v>5.5303899768318066E-3</v>
      </c>
      <c r="G1482" s="3" t="s">
        <v>0</v>
      </c>
      <c r="H1482">
        <v>9.5238094999999995E-2</v>
      </c>
      <c r="I1482">
        <v>0.15873015900000001</v>
      </c>
      <c r="J1482">
        <v>0.15873015900000001</v>
      </c>
      <c r="K1482">
        <v>0.26778242699999999</v>
      </c>
      <c r="L1482">
        <v>0.41099476400000001</v>
      </c>
      <c r="M1482">
        <v>6.4254522999999994E-2</v>
      </c>
      <c r="N1482" t="e">
        <v>#N/A</v>
      </c>
      <c r="O1482" t="e">
        <v>#N/A</v>
      </c>
    </row>
    <row r="1483" spans="1:15" x14ac:dyDescent="0.25">
      <c r="A1483" t="s">
        <v>7</v>
      </c>
      <c r="B1483" t="s">
        <v>25</v>
      </c>
      <c r="C1483" s="3" t="str">
        <f>IF($B1483="GW1",VLOOKUP($A1483,Matches!$A:$AC,2,FALSE),IF($B1483="GW2",VLOOKUP($A1483,Matches!$A:$AC,9,FALSE),IF($B1483="GW3",VLOOKUP($A1483,Matches!$A:$AC,16,FALSE))))</f>
        <v>Sunderland</v>
      </c>
      <c r="D1483" s="6">
        <v>0.3691535309535236</v>
      </c>
      <c r="E1483" s="6">
        <v>0.36362314097669179</v>
      </c>
      <c r="F1483" s="6">
        <v>5.5303899768318066E-3</v>
      </c>
      <c r="G1483" s="3" t="s">
        <v>0</v>
      </c>
      <c r="H1483" t="e">
        <v>#N/A</v>
      </c>
      <c r="I1483" t="e">
        <v>#N/A</v>
      </c>
      <c r="J1483" t="e">
        <v>#N/A</v>
      </c>
      <c r="K1483">
        <v>0.26778242699999999</v>
      </c>
      <c r="L1483">
        <v>0.41099476400000001</v>
      </c>
      <c r="M1483">
        <v>6.4254522999999994E-2</v>
      </c>
      <c r="N1483" t="e">
        <v>#N/A</v>
      </c>
      <c r="O1483" t="e">
        <v>#N/A</v>
      </c>
    </row>
    <row r="1484" spans="1:15" x14ac:dyDescent="0.25">
      <c r="A1484" t="s">
        <v>7</v>
      </c>
      <c r="B1484" t="s">
        <v>25</v>
      </c>
      <c r="C1484" s="3" t="str">
        <f>IF($B1484="GW1",VLOOKUP($A1484,Matches!$A:$AC,2,FALSE),IF($B1484="GW2",VLOOKUP($A1484,Matches!$A:$AC,9,FALSE),IF($B1484="GW3",VLOOKUP($A1484,Matches!$A:$AC,16,FALSE))))</f>
        <v>Sunderland</v>
      </c>
      <c r="D1484" s="6">
        <v>0.3691535309535236</v>
      </c>
      <c r="E1484" s="6">
        <v>0.36362314097669179</v>
      </c>
      <c r="F1484" s="6">
        <v>5.5303899768318066E-3</v>
      </c>
      <c r="G1484" s="3" t="s">
        <v>0</v>
      </c>
      <c r="H1484">
        <v>0.11904761899999999</v>
      </c>
      <c r="I1484">
        <v>9.5238094999999995E-2</v>
      </c>
      <c r="J1484">
        <v>0.253968254</v>
      </c>
      <c r="K1484">
        <v>0.26778242699999999</v>
      </c>
      <c r="L1484">
        <v>0.41099476400000001</v>
      </c>
      <c r="M1484">
        <v>6.4254522999999994E-2</v>
      </c>
      <c r="N1484" t="e">
        <v>#N/A</v>
      </c>
      <c r="O1484" t="e">
        <v>#N/A</v>
      </c>
    </row>
    <row r="1485" spans="1:15" x14ac:dyDescent="0.25">
      <c r="A1485" t="s">
        <v>7</v>
      </c>
      <c r="B1485" t="s">
        <v>25</v>
      </c>
      <c r="C1485" s="3" t="str">
        <f>IF($B1485="GW1",VLOOKUP($A1485,Matches!$A:$AC,2,FALSE),IF($B1485="GW2",VLOOKUP($A1485,Matches!$A:$AC,9,FALSE),IF($B1485="GW3",VLOOKUP($A1485,Matches!$A:$AC,16,FALSE))))</f>
        <v>Sunderland</v>
      </c>
      <c r="D1485" s="6">
        <v>0.3691535309535236</v>
      </c>
      <c r="E1485" s="6">
        <v>0.36362314097669179</v>
      </c>
      <c r="F1485" s="6">
        <v>5.5303899768318066E-3</v>
      </c>
      <c r="G1485" s="3" t="s">
        <v>0</v>
      </c>
      <c r="H1485">
        <v>0.20050125299999999</v>
      </c>
      <c r="I1485">
        <v>9.5238094999999995E-2</v>
      </c>
      <c r="J1485">
        <v>0.21994941200000001</v>
      </c>
      <c r="K1485">
        <v>0.26778242699999999</v>
      </c>
      <c r="L1485">
        <v>0.41099476400000001</v>
      </c>
      <c r="M1485">
        <v>6.4254522999999994E-2</v>
      </c>
      <c r="N1485" t="e">
        <v>#N/A</v>
      </c>
      <c r="O1485" t="e">
        <v>#N/A</v>
      </c>
    </row>
    <row r="1486" spans="1:15" x14ac:dyDescent="0.25">
      <c r="A1486" t="s">
        <v>7</v>
      </c>
      <c r="B1486" t="s">
        <v>25</v>
      </c>
      <c r="C1486" s="3" t="str">
        <f>IF($B1486="GW1",VLOOKUP($A1486,Matches!$A:$AC,2,FALSE),IF($B1486="GW2",VLOOKUP($A1486,Matches!$A:$AC,9,FALSE),IF($B1486="GW3",VLOOKUP($A1486,Matches!$A:$AC,16,FALSE))))</f>
        <v>Sunderland</v>
      </c>
      <c r="D1486" s="6">
        <v>0.3691535309535236</v>
      </c>
      <c r="E1486" s="6">
        <v>0.36362314097669179</v>
      </c>
      <c r="F1486" s="6">
        <v>5.5303899768318066E-3</v>
      </c>
      <c r="G1486" s="3" t="s">
        <v>0</v>
      </c>
      <c r="H1486">
        <v>0.15873015900000001</v>
      </c>
      <c r="I1486">
        <v>8.6580087E-2</v>
      </c>
      <c r="J1486">
        <v>0.19047618999999999</v>
      </c>
      <c r="K1486">
        <v>0.26778242699999999</v>
      </c>
      <c r="L1486">
        <v>0.41099476400000001</v>
      </c>
      <c r="M1486">
        <v>6.4254522999999994E-2</v>
      </c>
      <c r="N1486" t="e">
        <v>#N/A</v>
      </c>
      <c r="O1486" t="e">
        <v>#N/A</v>
      </c>
    </row>
    <row r="1487" spans="1:15" x14ac:dyDescent="0.25">
      <c r="A1487" t="s">
        <v>7</v>
      </c>
      <c r="B1487" t="s">
        <v>25</v>
      </c>
      <c r="C1487" s="3" t="str">
        <f>IF($B1487="GW1",VLOOKUP($A1487,Matches!$A:$AC,2,FALSE),IF($B1487="GW2",VLOOKUP($A1487,Matches!$A:$AC,9,FALSE),IF($B1487="GW3",VLOOKUP($A1487,Matches!$A:$AC,16,FALSE))))</f>
        <v>Sunderland</v>
      </c>
      <c r="D1487" s="6">
        <v>0.3691535309535236</v>
      </c>
      <c r="E1487" s="6">
        <v>0.36362314097669179</v>
      </c>
      <c r="F1487" s="6">
        <v>5.5303899768318066E-3</v>
      </c>
      <c r="G1487" s="3" t="s">
        <v>0</v>
      </c>
      <c r="H1487">
        <v>0.11904761899999999</v>
      </c>
      <c r="I1487">
        <v>8.6580087E-2</v>
      </c>
      <c r="J1487">
        <v>0.27210884400000002</v>
      </c>
      <c r="K1487">
        <v>0.26778242699999999</v>
      </c>
      <c r="L1487">
        <v>0.41099476400000001</v>
      </c>
      <c r="M1487">
        <v>6.4254522999999994E-2</v>
      </c>
      <c r="N1487" t="e">
        <v>#N/A</v>
      </c>
      <c r="O1487" t="e">
        <v>#N/A</v>
      </c>
    </row>
    <row r="1488" spans="1:15" x14ac:dyDescent="0.25">
      <c r="A1488" t="s">
        <v>7</v>
      </c>
      <c r="B1488" t="s">
        <v>25</v>
      </c>
      <c r="C1488" s="3" t="str">
        <f>IF($B1488="GW1",VLOOKUP($A1488,Matches!$A:$AC,2,FALSE),IF($B1488="GW2",VLOOKUP($A1488,Matches!$A:$AC,9,FALSE),IF($B1488="GW3",VLOOKUP($A1488,Matches!$A:$AC,16,FALSE))))</f>
        <v>Sunderland</v>
      </c>
      <c r="D1488" s="6">
        <v>0.3691535309535236</v>
      </c>
      <c r="E1488" s="6">
        <v>0.36362314097669179</v>
      </c>
      <c r="F1488" s="6">
        <v>5.5303899768318066E-3</v>
      </c>
      <c r="G1488" s="3" t="s">
        <v>0</v>
      </c>
      <c r="H1488" t="e">
        <v>#N/A</v>
      </c>
      <c r="I1488" t="e">
        <v>#N/A</v>
      </c>
      <c r="J1488" t="e">
        <v>#N/A</v>
      </c>
      <c r="K1488">
        <v>0.26778242699999999</v>
      </c>
      <c r="L1488">
        <v>0.41099476400000001</v>
      </c>
      <c r="M1488">
        <v>6.4254522999999994E-2</v>
      </c>
      <c r="N1488" t="e">
        <v>#N/A</v>
      </c>
      <c r="O1488" t="e">
        <v>#N/A</v>
      </c>
    </row>
    <row r="1489" spans="1:15" x14ac:dyDescent="0.25">
      <c r="A1489" t="s">
        <v>7</v>
      </c>
      <c r="B1489" t="s">
        <v>25</v>
      </c>
      <c r="C1489" s="3" t="str">
        <f>IF($B1489="GW1",VLOOKUP($A1489,Matches!$A:$AC,2,FALSE),IF($B1489="GW2",VLOOKUP($A1489,Matches!$A:$AC,9,FALSE),IF($B1489="GW3",VLOOKUP($A1489,Matches!$A:$AC,16,FALSE))))</f>
        <v>Sunderland</v>
      </c>
      <c r="D1489" s="6">
        <v>0.3691535309535236</v>
      </c>
      <c r="E1489" s="6">
        <v>0.36362314097669179</v>
      </c>
      <c r="F1489" s="6">
        <v>5.5303899768318066E-3</v>
      </c>
      <c r="G1489" s="3" t="s">
        <v>0</v>
      </c>
      <c r="H1489">
        <v>0.19047618999999999</v>
      </c>
      <c r="I1489">
        <v>8.6580087E-2</v>
      </c>
      <c r="J1489">
        <v>0.173160173</v>
      </c>
      <c r="K1489">
        <v>0.26778242699999999</v>
      </c>
      <c r="L1489">
        <v>0.41099476400000001</v>
      </c>
      <c r="M1489">
        <v>6.4254522999999994E-2</v>
      </c>
      <c r="N1489" t="e">
        <v>#N/A</v>
      </c>
      <c r="O1489" t="e">
        <v>#N/A</v>
      </c>
    </row>
    <row r="1490" spans="1:15" x14ac:dyDescent="0.25">
      <c r="A1490" t="s">
        <v>7</v>
      </c>
      <c r="B1490" t="s">
        <v>25</v>
      </c>
      <c r="C1490" s="3" t="str">
        <f>IF($B1490="GW1",VLOOKUP($A1490,Matches!$A:$AC,2,FALSE),IF($B1490="GW2",VLOOKUP($A1490,Matches!$A:$AC,9,FALSE),IF($B1490="GW3",VLOOKUP($A1490,Matches!$A:$AC,16,FALSE))))</f>
        <v>Sunderland</v>
      </c>
      <c r="D1490" s="6">
        <v>0.3691535309535236</v>
      </c>
      <c r="E1490" s="6">
        <v>0.36362314097669179</v>
      </c>
      <c r="F1490" s="6">
        <v>5.5303899768318066E-3</v>
      </c>
      <c r="G1490" s="3" t="s">
        <v>0</v>
      </c>
      <c r="H1490" t="e">
        <v>#N/A</v>
      </c>
      <c r="I1490" t="e">
        <v>#N/A</v>
      </c>
      <c r="J1490" t="e">
        <v>#N/A</v>
      </c>
      <c r="K1490">
        <v>0.26778242699999999</v>
      </c>
      <c r="L1490">
        <v>0.41099476400000001</v>
      </c>
      <c r="M1490">
        <v>6.4254522999999994E-2</v>
      </c>
      <c r="N1490" t="e">
        <v>#N/A</v>
      </c>
      <c r="O1490" t="e">
        <v>#N/A</v>
      </c>
    </row>
    <row r="1491" spans="1:15" x14ac:dyDescent="0.25">
      <c r="A1491" t="s">
        <v>7</v>
      </c>
      <c r="B1491" t="s">
        <v>25</v>
      </c>
      <c r="C1491" s="3" t="str">
        <f>IF($B1491="GW1",VLOOKUP($A1491,Matches!$A:$AC,2,FALSE),IF($B1491="GW2",VLOOKUP($A1491,Matches!$A:$AC,9,FALSE),IF($B1491="GW3",VLOOKUP($A1491,Matches!$A:$AC,16,FALSE))))</f>
        <v>Sunderland</v>
      </c>
      <c r="D1491" s="6">
        <v>0.3691535309535236</v>
      </c>
      <c r="E1491" s="6">
        <v>0.36362314097669179</v>
      </c>
      <c r="F1491" s="6">
        <v>5.5303899768318066E-3</v>
      </c>
      <c r="G1491" s="3" t="s">
        <v>0</v>
      </c>
      <c r="H1491">
        <v>0.307219662</v>
      </c>
      <c r="I1491">
        <v>0.11904761899999999</v>
      </c>
      <c r="J1491">
        <v>0.173160173</v>
      </c>
      <c r="K1491">
        <v>0.26778242699999999</v>
      </c>
      <c r="L1491">
        <v>0.41099476400000001</v>
      </c>
      <c r="M1491">
        <v>6.4254522999999994E-2</v>
      </c>
      <c r="N1491" t="e">
        <v>#N/A</v>
      </c>
      <c r="O1491" t="e">
        <v>#N/A</v>
      </c>
    </row>
    <row r="1492" spans="1:15" x14ac:dyDescent="0.25">
      <c r="A1492" t="s">
        <v>7</v>
      </c>
      <c r="B1492" t="s">
        <v>25</v>
      </c>
      <c r="C1492" s="3" t="str">
        <f>IF($B1492="GW1",VLOOKUP($A1492,Matches!$A:$AC,2,FALSE),IF($B1492="GW2",VLOOKUP($A1492,Matches!$A:$AC,9,FALSE),IF($B1492="GW3",VLOOKUP($A1492,Matches!$A:$AC,16,FALSE))))</f>
        <v>Sunderland</v>
      </c>
      <c r="D1492" s="6">
        <v>0.3691535309535236</v>
      </c>
      <c r="E1492" s="6">
        <v>0.36362314097669179</v>
      </c>
      <c r="F1492" s="6">
        <v>5.5303899768318066E-3</v>
      </c>
      <c r="G1492" s="3" t="s">
        <v>0</v>
      </c>
      <c r="H1492">
        <v>0.346320346</v>
      </c>
      <c r="I1492">
        <v>9.5238094999999995E-2</v>
      </c>
      <c r="J1492">
        <v>0.27210884400000002</v>
      </c>
      <c r="K1492">
        <v>0.26778242699999999</v>
      </c>
      <c r="L1492">
        <v>0.41099476400000001</v>
      </c>
      <c r="M1492">
        <v>6.4254522999999994E-2</v>
      </c>
      <c r="N1492" t="e">
        <v>#N/A</v>
      </c>
      <c r="O1492" t="e">
        <v>#N/A</v>
      </c>
    </row>
    <row r="1493" spans="1:15" x14ac:dyDescent="0.25">
      <c r="A1493" t="s">
        <v>7</v>
      </c>
      <c r="B1493" t="s">
        <v>25</v>
      </c>
      <c r="C1493" s="3" t="str">
        <f>IF($B1493="GW1",VLOOKUP($A1493,Matches!$A:$AC,2,FALSE),IF($B1493="GW2",VLOOKUP($A1493,Matches!$A:$AC,9,FALSE),IF($B1493="GW3",VLOOKUP($A1493,Matches!$A:$AC,16,FALSE))))</f>
        <v>Sunderland</v>
      </c>
      <c r="D1493" s="6">
        <v>0.3691535309535236</v>
      </c>
      <c r="E1493" s="6">
        <v>0.36362314097669179</v>
      </c>
      <c r="F1493" s="6">
        <v>5.5303899768318066E-3</v>
      </c>
      <c r="G1493" s="3" t="s">
        <v>0</v>
      </c>
      <c r="H1493" t="e">
        <v>#N/A</v>
      </c>
      <c r="I1493" t="e">
        <v>#N/A</v>
      </c>
      <c r="J1493" t="e">
        <v>#N/A</v>
      </c>
      <c r="K1493">
        <v>0.26778242699999999</v>
      </c>
      <c r="L1493">
        <v>0.41099476400000001</v>
      </c>
      <c r="M1493">
        <v>6.4254522999999994E-2</v>
      </c>
      <c r="N1493" t="e">
        <v>#N/A</v>
      </c>
      <c r="O1493" t="e">
        <v>#N/A</v>
      </c>
    </row>
    <row r="1494" spans="1:15" x14ac:dyDescent="0.25">
      <c r="A1494" t="s">
        <v>8</v>
      </c>
      <c r="B1494" t="s">
        <v>25</v>
      </c>
      <c r="C1494" s="3" t="str">
        <f>IF($B1494="GW1",VLOOKUP($A1494,Matches!$A:$AC,2,FALSE),IF($B1494="GW2",VLOOKUP($A1494,Matches!$A:$AC,9,FALSE),IF($B1494="GW3",VLOOKUP($A1494,Matches!$A:$AC,16,FALSE))))</f>
        <v>Man City</v>
      </c>
      <c r="D1494" s="6">
        <v>0.22683966972144087</v>
      </c>
      <c r="E1494" s="6">
        <v>0.54543471146503764</v>
      </c>
      <c r="F1494" s="6">
        <v>-0.31859504174359676</v>
      </c>
      <c r="G1494" s="3" t="s">
        <v>1</v>
      </c>
      <c r="H1494" t="e">
        <v>#N/A</v>
      </c>
      <c r="I1494" t="e">
        <v>#N/A</v>
      </c>
      <c r="J1494">
        <v>0.19047618999999999</v>
      </c>
      <c r="K1494">
        <v>0.14586071</v>
      </c>
      <c r="L1494">
        <v>0.58900523599999999</v>
      </c>
      <c r="M1494">
        <v>0.157303371</v>
      </c>
      <c r="N1494" t="e">
        <v>#N/A</v>
      </c>
      <c r="O1494" t="e">
        <v>#N/A</v>
      </c>
    </row>
    <row r="1495" spans="1:15" x14ac:dyDescent="0.25">
      <c r="A1495" t="s">
        <v>8</v>
      </c>
      <c r="B1495" t="s">
        <v>25</v>
      </c>
      <c r="C1495" s="3" t="str">
        <f>IF($B1495="GW1",VLOOKUP($A1495,Matches!$A:$AC,2,FALSE),IF($B1495="GW2",VLOOKUP($A1495,Matches!$A:$AC,9,FALSE),IF($B1495="GW3",VLOOKUP($A1495,Matches!$A:$AC,16,FALSE))))</f>
        <v>Man City</v>
      </c>
      <c r="D1495" s="6">
        <v>0.22683966972144087</v>
      </c>
      <c r="E1495" s="6">
        <v>0.54543471146503764</v>
      </c>
      <c r="F1495" s="6">
        <v>-0.31859504174359676</v>
      </c>
      <c r="G1495" s="3" t="s">
        <v>1</v>
      </c>
      <c r="H1495" t="e">
        <v>#N/A</v>
      </c>
      <c r="I1495" t="e">
        <v>#N/A</v>
      </c>
      <c r="J1495">
        <v>0.19047618999999999</v>
      </c>
      <c r="K1495">
        <v>0.14586071</v>
      </c>
      <c r="L1495">
        <v>0.58900523599999999</v>
      </c>
      <c r="M1495">
        <v>0.157303371</v>
      </c>
      <c r="N1495" t="e">
        <v>#N/A</v>
      </c>
      <c r="O1495" t="e">
        <v>#N/A</v>
      </c>
    </row>
    <row r="1496" spans="1:15" x14ac:dyDescent="0.25">
      <c r="A1496" t="s">
        <v>8</v>
      </c>
      <c r="B1496" t="s">
        <v>25</v>
      </c>
      <c r="C1496" s="3" t="str">
        <f>IF($B1496="GW1",VLOOKUP($A1496,Matches!$A:$AC,2,FALSE),IF($B1496="GW2",VLOOKUP($A1496,Matches!$A:$AC,9,FALSE),IF($B1496="GW3",VLOOKUP($A1496,Matches!$A:$AC,16,FALSE))))</f>
        <v>Man City</v>
      </c>
      <c r="D1496" s="6">
        <v>0.22683966972144087</v>
      </c>
      <c r="E1496" s="6">
        <v>0.54543471146503764</v>
      </c>
      <c r="F1496" s="6">
        <v>-0.31859504174359676</v>
      </c>
      <c r="G1496" s="3" t="s">
        <v>1</v>
      </c>
      <c r="H1496" t="e">
        <v>#N/A</v>
      </c>
      <c r="I1496" t="e">
        <v>#N/A</v>
      </c>
      <c r="J1496" t="e">
        <v>#N/A</v>
      </c>
      <c r="K1496">
        <v>0.14586071</v>
      </c>
      <c r="L1496">
        <v>0.58900523599999999</v>
      </c>
      <c r="M1496">
        <v>0.157303371</v>
      </c>
      <c r="N1496" t="e">
        <v>#N/A</v>
      </c>
      <c r="O1496" t="e">
        <v>#N/A</v>
      </c>
    </row>
    <row r="1497" spans="1:15" x14ac:dyDescent="0.25">
      <c r="A1497" t="s">
        <v>8</v>
      </c>
      <c r="B1497" t="s">
        <v>25</v>
      </c>
      <c r="C1497" s="3" t="str">
        <f>IF($B1497="GW1",VLOOKUP($A1497,Matches!$A:$AC,2,FALSE),IF($B1497="GW2",VLOOKUP($A1497,Matches!$A:$AC,9,FALSE),IF($B1497="GW3",VLOOKUP($A1497,Matches!$A:$AC,16,FALSE))))</f>
        <v>Man City</v>
      </c>
      <c r="D1497" s="6">
        <v>0.22683966972144087</v>
      </c>
      <c r="E1497" s="6">
        <v>0.54543471146503764</v>
      </c>
      <c r="F1497" s="6">
        <v>-0.31859504174359676</v>
      </c>
      <c r="G1497" s="3" t="s">
        <v>1</v>
      </c>
      <c r="H1497" t="e">
        <v>#N/A</v>
      </c>
      <c r="I1497" t="e">
        <v>#N/A</v>
      </c>
      <c r="J1497" t="e">
        <v>#N/A</v>
      </c>
      <c r="K1497">
        <v>0.14586071</v>
      </c>
      <c r="L1497">
        <v>0.58900523599999999</v>
      </c>
      <c r="M1497">
        <v>0.157303371</v>
      </c>
      <c r="N1497" t="e">
        <v>#N/A</v>
      </c>
      <c r="O1497" t="e">
        <v>#N/A</v>
      </c>
    </row>
    <row r="1498" spans="1:15" x14ac:dyDescent="0.25">
      <c r="A1498" t="s">
        <v>8</v>
      </c>
      <c r="B1498" t="s">
        <v>25</v>
      </c>
      <c r="C1498" s="3" t="str">
        <f>IF($B1498="GW1",VLOOKUP($A1498,Matches!$A:$AC,2,FALSE),IF($B1498="GW2",VLOOKUP($A1498,Matches!$A:$AC,9,FALSE),IF($B1498="GW3",VLOOKUP($A1498,Matches!$A:$AC,16,FALSE))))</f>
        <v>Man City</v>
      </c>
      <c r="D1498" s="6">
        <v>0.22683966972144087</v>
      </c>
      <c r="E1498" s="6">
        <v>0.54543471146503764</v>
      </c>
      <c r="F1498" s="6">
        <v>-0.31859504174359676</v>
      </c>
      <c r="G1498" s="3" t="s">
        <v>1</v>
      </c>
      <c r="H1498" t="e">
        <v>#N/A</v>
      </c>
      <c r="I1498" t="e">
        <v>#N/A</v>
      </c>
      <c r="J1498" t="e">
        <v>#N/A</v>
      </c>
      <c r="K1498">
        <v>0.14586071</v>
      </c>
      <c r="L1498">
        <v>0.58900523599999999</v>
      </c>
      <c r="M1498">
        <v>0.157303371</v>
      </c>
      <c r="N1498" t="e">
        <v>#N/A</v>
      </c>
      <c r="O1498" t="e">
        <v>#N/A</v>
      </c>
    </row>
    <row r="1499" spans="1:15" x14ac:dyDescent="0.25">
      <c r="A1499" t="s">
        <v>8</v>
      </c>
      <c r="B1499" t="s">
        <v>25</v>
      </c>
      <c r="C1499" s="3" t="str">
        <f>IF($B1499="GW1",VLOOKUP($A1499,Matches!$A:$AC,2,FALSE),IF($B1499="GW2",VLOOKUP($A1499,Matches!$A:$AC,9,FALSE),IF($B1499="GW3",VLOOKUP($A1499,Matches!$A:$AC,16,FALSE))))</f>
        <v>Man City</v>
      </c>
      <c r="D1499" s="6">
        <v>0.22683966972144087</v>
      </c>
      <c r="E1499" s="6">
        <v>0.54543471146503764</v>
      </c>
      <c r="F1499" s="6">
        <v>-0.31859504174359676</v>
      </c>
      <c r="G1499" s="3" t="s">
        <v>1</v>
      </c>
      <c r="H1499">
        <v>5.6022409000000002E-2</v>
      </c>
      <c r="I1499">
        <v>5.0125312999999998E-2</v>
      </c>
      <c r="J1499">
        <v>0.173160173</v>
      </c>
      <c r="K1499">
        <v>0.14586071</v>
      </c>
      <c r="L1499">
        <v>0.58900523599999999</v>
      </c>
      <c r="M1499">
        <v>0.157303371</v>
      </c>
      <c r="N1499" t="e">
        <v>#N/A</v>
      </c>
      <c r="O1499" t="e">
        <v>#N/A</v>
      </c>
    </row>
    <row r="1500" spans="1:15" x14ac:dyDescent="0.25">
      <c r="A1500" t="s">
        <v>8</v>
      </c>
      <c r="B1500" t="s">
        <v>25</v>
      </c>
      <c r="C1500" s="3" t="str">
        <f>IF($B1500="GW1",VLOOKUP($A1500,Matches!$A:$AC,2,FALSE),IF($B1500="GW2",VLOOKUP($A1500,Matches!$A:$AC,9,FALSE),IF($B1500="GW3",VLOOKUP($A1500,Matches!$A:$AC,16,FALSE))))</f>
        <v>Man City</v>
      </c>
      <c r="D1500" s="6">
        <v>0.22683966972144087</v>
      </c>
      <c r="E1500" s="6">
        <v>0.54543471146503764</v>
      </c>
      <c r="F1500" s="6">
        <v>-0.31859504174359676</v>
      </c>
      <c r="G1500" s="3" t="s">
        <v>1</v>
      </c>
      <c r="H1500">
        <v>7.3260072999999995E-2</v>
      </c>
      <c r="I1500">
        <v>3.6630036999999997E-2</v>
      </c>
      <c r="J1500">
        <v>0.27210884400000002</v>
      </c>
      <c r="K1500">
        <v>0.14586071</v>
      </c>
      <c r="L1500">
        <v>0.58900523599999999</v>
      </c>
      <c r="M1500">
        <v>0.157303371</v>
      </c>
      <c r="N1500" t="e">
        <v>#N/A</v>
      </c>
      <c r="O1500" t="e">
        <v>#N/A</v>
      </c>
    </row>
    <row r="1501" spans="1:15" x14ac:dyDescent="0.25">
      <c r="A1501" t="s">
        <v>8</v>
      </c>
      <c r="B1501" t="s">
        <v>25</v>
      </c>
      <c r="C1501" s="3" t="str">
        <f>IF($B1501="GW1",VLOOKUP($A1501,Matches!$A:$AC,2,FALSE),IF($B1501="GW2",VLOOKUP($A1501,Matches!$A:$AC,9,FALSE),IF($B1501="GW3",VLOOKUP($A1501,Matches!$A:$AC,16,FALSE))))</f>
        <v>Man City</v>
      </c>
      <c r="D1501" s="6">
        <v>0.22683966972144087</v>
      </c>
      <c r="E1501" s="6">
        <v>0.54543471146503764</v>
      </c>
      <c r="F1501" s="6">
        <v>-0.31859504174359676</v>
      </c>
      <c r="G1501" s="3" t="s">
        <v>1</v>
      </c>
      <c r="H1501">
        <v>0.13605442200000001</v>
      </c>
      <c r="I1501">
        <v>0.105820106</v>
      </c>
      <c r="J1501">
        <v>0.173160173</v>
      </c>
      <c r="K1501">
        <v>0.14586071</v>
      </c>
      <c r="L1501">
        <v>0.58900523599999999</v>
      </c>
      <c r="M1501">
        <v>0.157303371</v>
      </c>
      <c r="N1501" t="e">
        <v>#N/A</v>
      </c>
      <c r="O1501" t="e">
        <v>#N/A</v>
      </c>
    </row>
    <row r="1502" spans="1:15" x14ac:dyDescent="0.25">
      <c r="A1502" t="s">
        <v>8</v>
      </c>
      <c r="B1502" t="s">
        <v>25</v>
      </c>
      <c r="C1502" s="3" t="str">
        <f>IF($B1502="GW1",VLOOKUP($A1502,Matches!$A:$AC,2,FALSE),IF($B1502="GW2",VLOOKUP($A1502,Matches!$A:$AC,9,FALSE),IF($B1502="GW3",VLOOKUP($A1502,Matches!$A:$AC,16,FALSE))))</f>
        <v>Man City</v>
      </c>
      <c r="D1502" s="6">
        <v>0.22683966972144087</v>
      </c>
      <c r="E1502" s="6">
        <v>0.54543471146503764</v>
      </c>
      <c r="F1502" s="6">
        <v>-0.31859504174359676</v>
      </c>
      <c r="G1502" s="3" t="s">
        <v>1</v>
      </c>
      <c r="H1502">
        <v>7.3260072999999995E-2</v>
      </c>
      <c r="I1502">
        <v>4.5351474000000003E-2</v>
      </c>
      <c r="J1502">
        <v>0.253968254</v>
      </c>
      <c r="K1502">
        <v>0.14586071</v>
      </c>
      <c r="L1502">
        <v>0.58900523599999999</v>
      </c>
      <c r="M1502">
        <v>0.157303371</v>
      </c>
      <c r="N1502" t="e">
        <v>#N/A</v>
      </c>
      <c r="O1502" t="e">
        <v>#N/A</v>
      </c>
    </row>
    <row r="1503" spans="1:15" x14ac:dyDescent="0.25">
      <c r="A1503" t="s">
        <v>8</v>
      </c>
      <c r="B1503" t="s">
        <v>25</v>
      </c>
      <c r="C1503" s="3" t="str">
        <f>IF($B1503="GW1",VLOOKUP($A1503,Matches!$A:$AC,2,FALSE),IF($B1503="GW2",VLOOKUP($A1503,Matches!$A:$AC,9,FALSE),IF($B1503="GW3",VLOOKUP($A1503,Matches!$A:$AC,16,FALSE))))</f>
        <v>Man City</v>
      </c>
      <c r="D1503" s="6">
        <v>0.22683966972144087</v>
      </c>
      <c r="E1503" s="6">
        <v>0.54543471146503764</v>
      </c>
      <c r="F1503" s="6">
        <v>-0.31859504174359676</v>
      </c>
      <c r="G1503" s="3" t="s">
        <v>1</v>
      </c>
      <c r="H1503" t="e">
        <v>#N/A</v>
      </c>
      <c r="I1503" t="e">
        <v>#N/A</v>
      </c>
      <c r="J1503" t="e">
        <v>#N/A</v>
      </c>
      <c r="K1503">
        <v>0.14586071</v>
      </c>
      <c r="L1503">
        <v>0.58900523599999999</v>
      </c>
      <c r="M1503">
        <v>0.157303371</v>
      </c>
      <c r="N1503" t="e">
        <v>#N/A</v>
      </c>
      <c r="O1503" t="e">
        <v>#N/A</v>
      </c>
    </row>
    <row r="1504" spans="1:15" x14ac:dyDescent="0.25">
      <c r="A1504" t="s">
        <v>8</v>
      </c>
      <c r="B1504" t="s">
        <v>25</v>
      </c>
      <c r="C1504" s="3" t="str">
        <f>IF($B1504="GW1",VLOOKUP($A1504,Matches!$A:$AC,2,FALSE),IF($B1504="GW2",VLOOKUP($A1504,Matches!$A:$AC,9,FALSE),IF($B1504="GW3",VLOOKUP($A1504,Matches!$A:$AC,16,FALSE))))</f>
        <v>Man City</v>
      </c>
      <c r="D1504" s="6">
        <v>0.22683966972144087</v>
      </c>
      <c r="E1504" s="6">
        <v>0.54543471146503764</v>
      </c>
      <c r="F1504" s="6">
        <v>-0.31859504174359676</v>
      </c>
      <c r="G1504" s="3" t="s">
        <v>1</v>
      </c>
      <c r="H1504" t="e">
        <v>#N/A</v>
      </c>
      <c r="I1504" t="e">
        <v>#N/A</v>
      </c>
      <c r="J1504" t="e">
        <v>#N/A</v>
      </c>
      <c r="K1504">
        <v>0.14586071</v>
      </c>
      <c r="L1504">
        <v>0.58900523599999999</v>
      </c>
      <c r="M1504">
        <v>0.157303371</v>
      </c>
      <c r="N1504" t="e">
        <v>#N/A</v>
      </c>
      <c r="O1504" t="e">
        <v>#N/A</v>
      </c>
    </row>
    <row r="1505" spans="1:15" x14ac:dyDescent="0.25">
      <c r="A1505" t="s">
        <v>8</v>
      </c>
      <c r="B1505" t="s">
        <v>25</v>
      </c>
      <c r="C1505" s="3" t="str">
        <f>IF($B1505="GW1",VLOOKUP($A1505,Matches!$A:$AC,2,FALSE),IF($B1505="GW2",VLOOKUP($A1505,Matches!$A:$AC,9,FALSE),IF($B1505="GW3",VLOOKUP($A1505,Matches!$A:$AC,16,FALSE))))</f>
        <v>Man City</v>
      </c>
      <c r="D1505" s="6">
        <v>0.22683966972144087</v>
      </c>
      <c r="E1505" s="6">
        <v>0.54543471146503764</v>
      </c>
      <c r="F1505" s="6">
        <v>-0.31859504174359676</v>
      </c>
      <c r="G1505" s="3" t="s">
        <v>1</v>
      </c>
      <c r="H1505" t="e">
        <v>#N/A</v>
      </c>
      <c r="I1505" t="e">
        <v>#N/A</v>
      </c>
      <c r="J1505" t="e">
        <v>#N/A</v>
      </c>
      <c r="K1505">
        <v>0.14586071</v>
      </c>
      <c r="L1505">
        <v>0.58900523599999999</v>
      </c>
      <c r="M1505">
        <v>0.157303371</v>
      </c>
      <c r="N1505" t="e">
        <v>#N/A</v>
      </c>
      <c r="O1505" t="e">
        <v>#N/A</v>
      </c>
    </row>
    <row r="1506" spans="1:15" x14ac:dyDescent="0.25">
      <c r="A1506" t="s">
        <v>8</v>
      </c>
      <c r="B1506" t="s">
        <v>25</v>
      </c>
      <c r="C1506" s="3" t="str">
        <f>IF($B1506="GW1",VLOOKUP($A1506,Matches!$A:$AC,2,FALSE),IF($B1506="GW2",VLOOKUP($A1506,Matches!$A:$AC,9,FALSE),IF($B1506="GW3",VLOOKUP($A1506,Matches!$A:$AC,16,FALSE))))</f>
        <v>Man City</v>
      </c>
      <c r="D1506" s="6">
        <v>0.22683966972144087</v>
      </c>
      <c r="E1506" s="6">
        <v>0.54543471146503764</v>
      </c>
      <c r="F1506" s="6">
        <v>-0.31859504174359676</v>
      </c>
      <c r="G1506" s="3" t="s">
        <v>1</v>
      </c>
      <c r="H1506" t="e">
        <v>#N/A</v>
      </c>
      <c r="I1506" t="e">
        <v>#N/A</v>
      </c>
      <c r="J1506" t="e">
        <v>#N/A</v>
      </c>
      <c r="K1506">
        <v>0.14586071</v>
      </c>
      <c r="L1506">
        <v>0.58900523599999999</v>
      </c>
      <c r="M1506">
        <v>0.157303371</v>
      </c>
      <c r="N1506" t="e">
        <v>#N/A</v>
      </c>
      <c r="O1506" t="e">
        <v>#N/A</v>
      </c>
    </row>
    <row r="1507" spans="1:15" x14ac:dyDescent="0.25">
      <c r="A1507" t="s">
        <v>8</v>
      </c>
      <c r="B1507" t="s">
        <v>25</v>
      </c>
      <c r="C1507" s="3" t="str">
        <f>IF($B1507="GW1",VLOOKUP($A1507,Matches!$A:$AC,2,FALSE),IF($B1507="GW2",VLOOKUP($A1507,Matches!$A:$AC,9,FALSE),IF($B1507="GW3",VLOOKUP($A1507,Matches!$A:$AC,16,FALSE))))</f>
        <v>Man City</v>
      </c>
      <c r="D1507" s="6">
        <v>0.22683966972144087</v>
      </c>
      <c r="E1507" s="6">
        <v>0.54543471146503764</v>
      </c>
      <c r="F1507" s="6">
        <v>-0.31859504174359676</v>
      </c>
      <c r="G1507" s="3" t="s">
        <v>1</v>
      </c>
      <c r="H1507">
        <v>5.6022409000000002E-2</v>
      </c>
      <c r="I1507">
        <v>5.0125312999999998E-2</v>
      </c>
      <c r="J1507">
        <v>0.21164021199999999</v>
      </c>
      <c r="K1507">
        <v>0.14586071</v>
      </c>
      <c r="L1507">
        <v>0.58900523599999999</v>
      </c>
      <c r="M1507">
        <v>0.157303371</v>
      </c>
      <c r="N1507" t="e">
        <v>#N/A</v>
      </c>
      <c r="O1507" t="e">
        <v>#N/A</v>
      </c>
    </row>
    <row r="1508" spans="1:15" x14ac:dyDescent="0.25">
      <c r="A1508" t="s">
        <v>8</v>
      </c>
      <c r="B1508" t="s">
        <v>25</v>
      </c>
      <c r="C1508" s="3" t="str">
        <f>IF($B1508="GW1",VLOOKUP($A1508,Matches!$A:$AC,2,FALSE),IF($B1508="GW2",VLOOKUP($A1508,Matches!$A:$AC,9,FALSE),IF($B1508="GW3",VLOOKUP($A1508,Matches!$A:$AC,16,FALSE))))</f>
        <v>Man City</v>
      </c>
      <c r="D1508" s="6">
        <v>0.22683966972144087</v>
      </c>
      <c r="E1508" s="6">
        <v>0.54543471146503764</v>
      </c>
      <c r="F1508" s="6">
        <v>-0.31859504174359676</v>
      </c>
      <c r="G1508" s="3" t="s">
        <v>1</v>
      </c>
      <c r="H1508" t="e">
        <v>#N/A</v>
      </c>
      <c r="I1508" t="e">
        <v>#N/A</v>
      </c>
      <c r="J1508" t="e">
        <v>#N/A</v>
      </c>
      <c r="K1508">
        <v>0.14586071</v>
      </c>
      <c r="L1508">
        <v>0.58900523599999999</v>
      </c>
      <c r="M1508">
        <v>0.157303371</v>
      </c>
      <c r="N1508" t="e">
        <v>#N/A</v>
      </c>
      <c r="O1508" t="e">
        <v>#N/A</v>
      </c>
    </row>
    <row r="1509" spans="1:15" x14ac:dyDescent="0.25">
      <c r="A1509" t="s">
        <v>8</v>
      </c>
      <c r="B1509" t="s">
        <v>25</v>
      </c>
      <c r="C1509" s="3" t="str">
        <f>IF($B1509="GW1",VLOOKUP($A1509,Matches!$A:$AC,2,FALSE),IF($B1509="GW2",VLOOKUP($A1509,Matches!$A:$AC,9,FALSE),IF($B1509="GW3",VLOOKUP($A1509,Matches!$A:$AC,16,FALSE))))</f>
        <v>Man City</v>
      </c>
      <c r="D1509" s="6">
        <v>0.22683966972144087</v>
      </c>
      <c r="E1509" s="6">
        <v>0.54543471146503764</v>
      </c>
      <c r="F1509" s="6">
        <v>-0.31859504174359676</v>
      </c>
      <c r="G1509" s="3" t="s">
        <v>1</v>
      </c>
      <c r="H1509" t="e">
        <v>#N/A</v>
      </c>
      <c r="I1509" t="e">
        <v>#N/A</v>
      </c>
      <c r="J1509" t="e">
        <v>#N/A</v>
      </c>
      <c r="K1509">
        <v>0.14586071</v>
      </c>
      <c r="L1509">
        <v>0.58900523599999999</v>
      </c>
      <c r="M1509">
        <v>0.157303371</v>
      </c>
      <c r="N1509" t="e">
        <v>#N/A</v>
      </c>
      <c r="O1509" t="e">
        <v>#N/A</v>
      </c>
    </row>
    <row r="1510" spans="1:15" x14ac:dyDescent="0.25">
      <c r="A1510" t="s">
        <v>8</v>
      </c>
      <c r="B1510" t="s">
        <v>25</v>
      </c>
      <c r="C1510" s="3" t="str">
        <f>IF($B1510="GW1",VLOOKUP($A1510,Matches!$A:$AC,2,FALSE),IF($B1510="GW2",VLOOKUP($A1510,Matches!$A:$AC,9,FALSE),IF($B1510="GW3",VLOOKUP($A1510,Matches!$A:$AC,16,FALSE))))</f>
        <v>Man City</v>
      </c>
      <c r="D1510" s="6">
        <v>0.22683966972144087</v>
      </c>
      <c r="E1510" s="6">
        <v>0.54543471146503764</v>
      </c>
      <c r="F1510" s="6">
        <v>-0.31859504174359676</v>
      </c>
      <c r="G1510" s="3" t="s">
        <v>1</v>
      </c>
      <c r="H1510" t="e">
        <v>#N/A</v>
      </c>
      <c r="I1510" t="e">
        <v>#N/A</v>
      </c>
      <c r="J1510" t="e">
        <v>#N/A</v>
      </c>
      <c r="K1510">
        <v>0.14586071</v>
      </c>
      <c r="L1510">
        <v>0.58900523599999999</v>
      </c>
      <c r="M1510">
        <v>0.157303371</v>
      </c>
      <c r="N1510" t="e">
        <v>#N/A</v>
      </c>
      <c r="O1510" t="e">
        <v>#N/A</v>
      </c>
    </row>
    <row r="1511" spans="1:15" x14ac:dyDescent="0.25">
      <c r="A1511" t="s">
        <v>8</v>
      </c>
      <c r="B1511" t="s">
        <v>25</v>
      </c>
      <c r="C1511" s="3" t="str">
        <f>IF($B1511="GW1",VLOOKUP($A1511,Matches!$A:$AC,2,FALSE),IF($B1511="GW2",VLOOKUP($A1511,Matches!$A:$AC,9,FALSE),IF($B1511="GW3",VLOOKUP($A1511,Matches!$A:$AC,16,FALSE))))</f>
        <v>Man City</v>
      </c>
      <c r="D1511" s="6">
        <v>0.22683966972144087</v>
      </c>
      <c r="E1511" s="6">
        <v>0.54543471146503764</v>
      </c>
      <c r="F1511" s="6">
        <v>-0.31859504174359676</v>
      </c>
      <c r="G1511" s="3" t="s">
        <v>1</v>
      </c>
      <c r="H1511" t="e">
        <v>#N/A</v>
      </c>
      <c r="I1511" t="e">
        <v>#N/A</v>
      </c>
      <c r="J1511" t="e">
        <v>#N/A</v>
      </c>
      <c r="K1511">
        <v>0.14586071</v>
      </c>
      <c r="L1511">
        <v>0.58900523599999999</v>
      </c>
      <c r="M1511">
        <v>0.157303371</v>
      </c>
      <c r="N1511" t="e">
        <v>#N/A</v>
      </c>
      <c r="O1511" t="e">
        <v>#N/A</v>
      </c>
    </row>
    <row r="1512" spans="1:15" x14ac:dyDescent="0.25">
      <c r="A1512" t="s">
        <v>8</v>
      </c>
      <c r="B1512" t="s">
        <v>25</v>
      </c>
      <c r="C1512" s="3" t="str">
        <f>IF($B1512="GW1",VLOOKUP($A1512,Matches!$A:$AC,2,FALSE),IF($B1512="GW2",VLOOKUP($A1512,Matches!$A:$AC,9,FALSE),IF($B1512="GW3",VLOOKUP($A1512,Matches!$A:$AC,16,FALSE))))</f>
        <v>Man City</v>
      </c>
      <c r="D1512" s="6">
        <v>0.22683966972144087</v>
      </c>
      <c r="E1512" s="6">
        <v>0.54543471146503764</v>
      </c>
      <c r="F1512" s="6">
        <v>-0.31859504174359676</v>
      </c>
      <c r="G1512" s="3" t="s">
        <v>1</v>
      </c>
      <c r="H1512" t="e">
        <v>#N/A</v>
      </c>
      <c r="I1512" t="e">
        <v>#N/A</v>
      </c>
      <c r="J1512" t="e">
        <v>#N/A</v>
      </c>
      <c r="K1512">
        <v>0.14586071</v>
      </c>
      <c r="L1512">
        <v>0.58900523599999999</v>
      </c>
      <c r="M1512">
        <v>0.157303371</v>
      </c>
      <c r="N1512" t="e">
        <v>#N/A</v>
      </c>
      <c r="O1512" t="e">
        <v>#N/A</v>
      </c>
    </row>
    <row r="1513" spans="1:15" x14ac:dyDescent="0.25">
      <c r="A1513" t="s">
        <v>8</v>
      </c>
      <c r="B1513" t="s">
        <v>25</v>
      </c>
      <c r="C1513" s="3" t="str">
        <f>IF($B1513="GW1",VLOOKUP($A1513,Matches!$A:$AC,2,FALSE),IF($B1513="GW2",VLOOKUP($A1513,Matches!$A:$AC,9,FALSE),IF($B1513="GW3",VLOOKUP($A1513,Matches!$A:$AC,16,FALSE))))</f>
        <v>Man City</v>
      </c>
      <c r="D1513" s="6">
        <v>0.22683966972144087</v>
      </c>
      <c r="E1513" s="6">
        <v>0.54543471146503764</v>
      </c>
      <c r="F1513" s="6">
        <v>-0.31859504174359676</v>
      </c>
      <c r="G1513" s="3" t="s">
        <v>1</v>
      </c>
      <c r="H1513">
        <v>0.253968254</v>
      </c>
      <c r="I1513">
        <v>0.14652014699999999</v>
      </c>
      <c r="J1513">
        <v>0.173160173</v>
      </c>
      <c r="K1513">
        <v>0.14586071</v>
      </c>
      <c r="L1513">
        <v>0.58900523599999999</v>
      </c>
      <c r="M1513">
        <v>0.157303371</v>
      </c>
      <c r="N1513" t="e">
        <v>#N/A</v>
      </c>
      <c r="O1513" t="e">
        <v>#N/A</v>
      </c>
    </row>
    <row r="1514" spans="1:15" x14ac:dyDescent="0.25">
      <c r="A1514" t="s">
        <v>8</v>
      </c>
      <c r="B1514" t="s">
        <v>25</v>
      </c>
      <c r="C1514" s="3" t="str">
        <f>IF($B1514="GW1",VLOOKUP($A1514,Matches!$A:$AC,2,FALSE),IF($B1514="GW2",VLOOKUP($A1514,Matches!$A:$AC,9,FALSE),IF($B1514="GW3",VLOOKUP($A1514,Matches!$A:$AC,16,FALSE))))</f>
        <v>Man City</v>
      </c>
      <c r="D1514" s="6">
        <v>0.22683966972144087</v>
      </c>
      <c r="E1514" s="6">
        <v>0.54543471146503764</v>
      </c>
      <c r="F1514" s="6">
        <v>-0.31859504174359676</v>
      </c>
      <c r="G1514" s="3" t="s">
        <v>1</v>
      </c>
      <c r="H1514">
        <v>0.21164021199999999</v>
      </c>
      <c r="I1514">
        <v>0.13605442200000001</v>
      </c>
      <c r="J1514">
        <v>0.19047618999999999</v>
      </c>
      <c r="K1514">
        <v>0.14586071</v>
      </c>
      <c r="L1514">
        <v>0.58900523599999999</v>
      </c>
      <c r="M1514">
        <v>0.157303371</v>
      </c>
      <c r="N1514" t="e">
        <v>#N/A</v>
      </c>
      <c r="O1514" t="e">
        <v>#N/A</v>
      </c>
    </row>
    <row r="1515" spans="1:15" x14ac:dyDescent="0.25">
      <c r="A1515" t="s">
        <v>8</v>
      </c>
      <c r="B1515" t="s">
        <v>25</v>
      </c>
      <c r="C1515" s="3" t="str">
        <f>IF($B1515="GW1",VLOOKUP($A1515,Matches!$A:$AC,2,FALSE),IF($B1515="GW2",VLOOKUP($A1515,Matches!$A:$AC,9,FALSE),IF($B1515="GW3",VLOOKUP($A1515,Matches!$A:$AC,16,FALSE))))</f>
        <v>Man City</v>
      </c>
      <c r="D1515" s="6">
        <v>0.22683966972144087</v>
      </c>
      <c r="E1515" s="6">
        <v>0.54543471146503764</v>
      </c>
      <c r="F1515" s="6">
        <v>-0.31859504174359676</v>
      </c>
      <c r="G1515" s="3" t="s">
        <v>1</v>
      </c>
      <c r="H1515" t="e">
        <v>#N/A</v>
      </c>
      <c r="I1515" t="e">
        <v>#N/A</v>
      </c>
      <c r="J1515" t="e">
        <v>#N/A</v>
      </c>
      <c r="K1515">
        <v>0.14586071</v>
      </c>
      <c r="L1515">
        <v>0.58900523599999999</v>
      </c>
      <c r="M1515">
        <v>0.157303371</v>
      </c>
      <c r="N1515" t="e">
        <v>#N/A</v>
      </c>
      <c r="O1515" t="e">
        <v>#N/A</v>
      </c>
    </row>
    <row r="1516" spans="1:15" x14ac:dyDescent="0.25">
      <c r="A1516" t="s">
        <v>8</v>
      </c>
      <c r="B1516" t="s">
        <v>25</v>
      </c>
      <c r="C1516" s="3" t="str">
        <f>IF($B1516="GW1",VLOOKUP($A1516,Matches!$A:$AC,2,FALSE),IF($B1516="GW2",VLOOKUP($A1516,Matches!$A:$AC,9,FALSE),IF($B1516="GW3",VLOOKUP($A1516,Matches!$A:$AC,16,FALSE))))</f>
        <v>Man City</v>
      </c>
      <c r="D1516" s="6">
        <v>0.22683966972144087</v>
      </c>
      <c r="E1516" s="6">
        <v>0.54543471146503764</v>
      </c>
      <c r="F1516" s="6">
        <v>-0.31859504174359676</v>
      </c>
      <c r="G1516" s="3" t="s">
        <v>1</v>
      </c>
      <c r="H1516">
        <v>0.21164021199999999</v>
      </c>
      <c r="I1516">
        <v>0.13605442200000001</v>
      </c>
      <c r="J1516">
        <v>0.31746031699999999</v>
      </c>
      <c r="K1516">
        <v>0.14586071</v>
      </c>
      <c r="L1516">
        <v>0.58900523599999999</v>
      </c>
      <c r="M1516">
        <v>0.157303371</v>
      </c>
      <c r="N1516" t="e">
        <v>#N/A</v>
      </c>
      <c r="O1516" t="e">
        <v>#N/A</v>
      </c>
    </row>
    <row r="1517" spans="1:15" x14ac:dyDescent="0.25">
      <c r="A1517" t="s">
        <v>8</v>
      </c>
      <c r="B1517" t="s">
        <v>25</v>
      </c>
      <c r="C1517" s="3" t="str">
        <f>IF($B1517="GW1",VLOOKUP($A1517,Matches!$A:$AC,2,FALSE),IF($B1517="GW2",VLOOKUP($A1517,Matches!$A:$AC,9,FALSE),IF($B1517="GW3",VLOOKUP($A1517,Matches!$A:$AC,16,FALSE))))</f>
        <v>Man City</v>
      </c>
      <c r="D1517" s="6">
        <v>0.22683966972144087</v>
      </c>
      <c r="E1517" s="6">
        <v>0.54543471146503764</v>
      </c>
      <c r="F1517" s="6">
        <v>-0.31859504174359676</v>
      </c>
      <c r="G1517" s="3" t="s">
        <v>1</v>
      </c>
      <c r="H1517" t="e">
        <v>#N/A</v>
      </c>
      <c r="I1517" t="e">
        <v>#N/A</v>
      </c>
      <c r="J1517" t="e">
        <v>#N/A</v>
      </c>
      <c r="K1517">
        <v>0.14586071</v>
      </c>
      <c r="L1517">
        <v>0.58900523599999999</v>
      </c>
      <c r="M1517">
        <v>0.157303371</v>
      </c>
      <c r="N1517" t="e">
        <v>#N/A</v>
      </c>
      <c r="O1517" t="e">
        <v>#N/A</v>
      </c>
    </row>
    <row r="1518" spans="1:15" x14ac:dyDescent="0.25">
      <c r="A1518" t="s">
        <v>8</v>
      </c>
      <c r="B1518" t="s">
        <v>25</v>
      </c>
      <c r="C1518" s="3" t="str">
        <f>IF($B1518="GW1",VLOOKUP($A1518,Matches!$A:$AC,2,FALSE),IF($B1518="GW2",VLOOKUP($A1518,Matches!$A:$AC,9,FALSE),IF($B1518="GW3",VLOOKUP($A1518,Matches!$A:$AC,16,FALSE))))</f>
        <v>Man City</v>
      </c>
      <c r="D1518" s="6">
        <v>0.22683966972144087</v>
      </c>
      <c r="E1518" s="6">
        <v>0.54543471146503764</v>
      </c>
      <c r="F1518" s="6">
        <v>-0.31859504174359676</v>
      </c>
      <c r="G1518" s="3" t="s">
        <v>1</v>
      </c>
      <c r="H1518">
        <v>0.14652014699999999</v>
      </c>
      <c r="I1518">
        <v>0.11904761899999999</v>
      </c>
      <c r="J1518">
        <v>0.19047618999999999</v>
      </c>
      <c r="K1518">
        <v>0.14586071</v>
      </c>
      <c r="L1518">
        <v>0.58900523599999999</v>
      </c>
      <c r="M1518">
        <v>0.157303371</v>
      </c>
      <c r="N1518" t="e">
        <v>#N/A</v>
      </c>
      <c r="O1518" t="e">
        <v>#N/A</v>
      </c>
    </row>
    <row r="1519" spans="1:15" x14ac:dyDescent="0.25">
      <c r="A1519" t="s">
        <v>8</v>
      </c>
      <c r="B1519" t="s">
        <v>25</v>
      </c>
      <c r="C1519" s="3" t="str">
        <f>IF($B1519="GW1",VLOOKUP($A1519,Matches!$A:$AC,2,FALSE),IF($B1519="GW2",VLOOKUP($A1519,Matches!$A:$AC,9,FALSE),IF($B1519="GW3",VLOOKUP($A1519,Matches!$A:$AC,16,FALSE))))</f>
        <v>Man City</v>
      </c>
      <c r="D1519" s="6">
        <v>0.22683966972144087</v>
      </c>
      <c r="E1519" s="6">
        <v>0.54543471146503764</v>
      </c>
      <c r="F1519" s="6">
        <v>-0.31859504174359676</v>
      </c>
      <c r="G1519" s="3" t="s">
        <v>1</v>
      </c>
      <c r="H1519">
        <v>8.6580087E-2</v>
      </c>
      <c r="I1519">
        <v>6.3492063000000001E-2</v>
      </c>
      <c r="J1519">
        <v>0.19047618999999999</v>
      </c>
      <c r="K1519">
        <v>0.14586071</v>
      </c>
      <c r="L1519">
        <v>0.58900523599999999</v>
      </c>
      <c r="M1519">
        <v>0.157303371</v>
      </c>
      <c r="N1519" t="e">
        <v>#N/A</v>
      </c>
      <c r="O1519" t="e">
        <v>#N/A</v>
      </c>
    </row>
    <row r="1520" spans="1:15" x14ac:dyDescent="0.25">
      <c r="A1520" t="s">
        <v>8</v>
      </c>
      <c r="B1520" t="s">
        <v>25</v>
      </c>
      <c r="C1520" s="3" t="str">
        <f>IF($B1520="GW1",VLOOKUP($A1520,Matches!$A:$AC,2,FALSE),IF($B1520="GW2",VLOOKUP($A1520,Matches!$A:$AC,9,FALSE),IF($B1520="GW3",VLOOKUP($A1520,Matches!$A:$AC,16,FALSE))))</f>
        <v>Man City</v>
      </c>
      <c r="D1520" s="6">
        <v>0.22683966972144087</v>
      </c>
      <c r="E1520" s="6">
        <v>0.54543471146503764</v>
      </c>
      <c r="F1520" s="6">
        <v>-0.31859504174359676</v>
      </c>
      <c r="G1520" s="3" t="s">
        <v>1</v>
      </c>
      <c r="H1520">
        <v>0.23809523799999999</v>
      </c>
      <c r="I1520">
        <v>0.14652014699999999</v>
      </c>
      <c r="J1520">
        <v>0.10025062699999999</v>
      </c>
      <c r="K1520">
        <v>0.14586071</v>
      </c>
      <c r="L1520">
        <v>0.58900523599999999</v>
      </c>
      <c r="M1520">
        <v>0.157303371</v>
      </c>
      <c r="N1520" t="e">
        <v>#N/A</v>
      </c>
      <c r="O1520" t="e">
        <v>#N/A</v>
      </c>
    </row>
    <row r="1521" spans="1:15" x14ac:dyDescent="0.25">
      <c r="A1521" t="s">
        <v>8</v>
      </c>
      <c r="B1521" t="s">
        <v>25</v>
      </c>
      <c r="C1521" s="3" t="str">
        <f>IF($B1521="GW1",VLOOKUP($A1521,Matches!$A:$AC,2,FALSE),IF($B1521="GW2",VLOOKUP($A1521,Matches!$A:$AC,9,FALSE),IF($B1521="GW3",VLOOKUP($A1521,Matches!$A:$AC,16,FALSE))))</f>
        <v>Man City</v>
      </c>
      <c r="D1521" s="6">
        <v>0.22683966972144087</v>
      </c>
      <c r="E1521" s="6">
        <v>0.54543471146503764</v>
      </c>
      <c r="F1521" s="6">
        <v>-0.31859504174359676</v>
      </c>
      <c r="G1521" s="3" t="s">
        <v>1</v>
      </c>
      <c r="H1521" t="e">
        <v>#N/A</v>
      </c>
      <c r="I1521" t="e">
        <v>#N/A</v>
      </c>
      <c r="J1521" t="e">
        <v>#N/A</v>
      </c>
      <c r="K1521">
        <v>0.14586071</v>
      </c>
      <c r="L1521">
        <v>0.58900523599999999</v>
      </c>
      <c r="M1521">
        <v>0.157303371</v>
      </c>
      <c r="N1521" t="e">
        <v>#N/A</v>
      </c>
      <c r="O1521" t="e">
        <v>#N/A</v>
      </c>
    </row>
    <row r="1522" spans="1:15" x14ac:dyDescent="0.25">
      <c r="A1522" t="s">
        <v>8</v>
      </c>
      <c r="B1522" t="s">
        <v>25</v>
      </c>
      <c r="C1522" s="3" t="str">
        <f>IF($B1522="GW1",VLOOKUP($A1522,Matches!$A:$AC,2,FALSE),IF($B1522="GW2",VLOOKUP($A1522,Matches!$A:$AC,9,FALSE),IF($B1522="GW3",VLOOKUP($A1522,Matches!$A:$AC,16,FALSE))))</f>
        <v>Man City</v>
      </c>
      <c r="D1522" s="6">
        <v>0.22683966972144087</v>
      </c>
      <c r="E1522" s="6">
        <v>0.54543471146503764</v>
      </c>
      <c r="F1522" s="6">
        <v>-0.31859504174359676</v>
      </c>
      <c r="G1522" s="3" t="s">
        <v>1</v>
      </c>
      <c r="H1522">
        <v>0.112044818</v>
      </c>
      <c r="I1522">
        <v>0.11904761899999999</v>
      </c>
      <c r="J1522">
        <v>0.19047618999999999</v>
      </c>
      <c r="K1522">
        <v>0.14586071</v>
      </c>
      <c r="L1522">
        <v>0.58900523599999999</v>
      </c>
      <c r="M1522">
        <v>0.157303371</v>
      </c>
      <c r="N1522" t="e">
        <v>#N/A</v>
      </c>
      <c r="O1522" t="e">
        <v>#N/A</v>
      </c>
    </row>
    <row r="1523" spans="1:15" x14ac:dyDescent="0.25">
      <c r="A1523" t="s">
        <v>8</v>
      </c>
      <c r="B1523" t="s">
        <v>25</v>
      </c>
      <c r="C1523" s="3" t="str">
        <f>IF($B1523="GW1",VLOOKUP($A1523,Matches!$A:$AC,2,FALSE),IF($B1523="GW2",VLOOKUP($A1523,Matches!$A:$AC,9,FALSE),IF($B1523="GW3",VLOOKUP($A1523,Matches!$A:$AC,16,FALSE))))</f>
        <v>Man City</v>
      </c>
      <c r="D1523" s="6">
        <v>0.22683966972144087</v>
      </c>
      <c r="E1523" s="6">
        <v>0.54543471146503764</v>
      </c>
      <c r="F1523" s="6">
        <v>-0.31859504174359676</v>
      </c>
      <c r="G1523" s="3" t="s">
        <v>1</v>
      </c>
      <c r="H1523">
        <v>0.112044818</v>
      </c>
      <c r="I1523">
        <v>6.3492063000000001E-2</v>
      </c>
      <c r="J1523">
        <v>0.27210884400000002</v>
      </c>
      <c r="K1523">
        <v>0.14586071</v>
      </c>
      <c r="L1523">
        <v>0.58900523599999999</v>
      </c>
      <c r="M1523">
        <v>0.157303371</v>
      </c>
      <c r="N1523" t="e">
        <v>#N/A</v>
      </c>
      <c r="O1523" t="e">
        <v>#N/A</v>
      </c>
    </row>
    <row r="1524" spans="1:15" x14ac:dyDescent="0.25">
      <c r="A1524" t="s">
        <v>8</v>
      </c>
      <c r="B1524" t="s">
        <v>25</v>
      </c>
      <c r="C1524" s="3" t="str">
        <f>IF($B1524="GW1",VLOOKUP($A1524,Matches!$A:$AC,2,FALSE),IF($B1524="GW2",VLOOKUP($A1524,Matches!$A:$AC,9,FALSE),IF($B1524="GW3",VLOOKUP($A1524,Matches!$A:$AC,16,FALSE))))</f>
        <v>Man City</v>
      </c>
      <c r="D1524" s="6">
        <v>0.22683966972144087</v>
      </c>
      <c r="E1524" s="6">
        <v>0.54543471146503764</v>
      </c>
      <c r="F1524" s="6">
        <v>-0.31859504174359676</v>
      </c>
      <c r="G1524" s="3" t="s">
        <v>1</v>
      </c>
      <c r="H1524" t="e">
        <v>#N/A</v>
      </c>
      <c r="I1524" t="e">
        <v>#N/A</v>
      </c>
      <c r="J1524" t="e">
        <v>#N/A</v>
      </c>
      <c r="K1524">
        <v>0.14586071</v>
      </c>
      <c r="L1524">
        <v>0.58900523599999999</v>
      </c>
      <c r="M1524">
        <v>0.157303371</v>
      </c>
      <c r="N1524" t="e">
        <v>#N/A</v>
      </c>
      <c r="O1524" t="e">
        <v>#N/A</v>
      </c>
    </row>
    <row r="1525" spans="1:15" x14ac:dyDescent="0.25">
      <c r="A1525" t="s">
        <v>8</v>
      </c>
      <c r="B1525" t="s">
        <v>25</v>
      </c>
      <c r="C1525" s="3" t="str">
        <f>IF($B1525="GW1",VLOOKUP($A1525,Matches!$A:$AC,2,FALSE),IF($B1525="GW2",VLOOKUP($A1525,Matches!$A:$AC,9,FALSE),IF($B1525="GW3",VLOOKUP($A1525,Matches!$A:$AC,16,FALSE))))</f>
        <v>Man City</v>
      </c>
      <c r="D1525" s="6">
        <v>0.22683966972144087</v>
      </c>
      <c r="E1525" s="6">
        <v>0.54543471146503764</v>
      </c>
      <c r="F1525" s="6">
        <v>-0.31859504174359676</v>
      </c>
      <c r="G1525" s="3" t="s">
        <v>1</v>
      </c>
      <c r="H1525">
        <v>0.173160173</v>
      </c>
      <c r="I1525">
        <v>0.11904761899999999</v>
      </c>
      <c r="J1525">
        <v>0.253968254</v>
      </c>
      <c r="K1525">
        <v>0.14586071</v>
      </c>
      <c r="L1525">
        <v>0.58900523599999999</v>
      </c>
      <c r="M1525">
        <v>0.157303371</v>
      </c>
      <c r="N1525" t="e">
        <v>#N/A</v>
      </c>
      <c r="O1525" t="e">
        <v>#N/A</v>
      </c>
    </row>
    <row r="1526" spans="1:15" x14ac:dyDescent="0.25">
      <c r="A1526" t="s">
        <v>8</v>
      </c>
      <c r="B1526" t="s">
        <v>25</v>
      </c>
      <c r="C1526" s="3" t="str">
        <f>IF($B1526="GW1",VLOOKUP($A1526,Matches!$A:$AC,2,FALSE),IF($B1526="GW2",VLOOKUP($A1526,Matches!$A:$AC,9,FALSE),IF($B1526="GW3",VLOOKUP($A1526,Matches!$A:$AC,16,FALSE))))</f>
        <v>Man City</v>
      </c>
      <c r="D1526" s="6">
        <v>0.22683966972144087</v>
      </c>
      <c r="E1526" s="6">
        <v>0.54543471146503764</v>
      </c>
      <c r="F1526" s="6">
        <v>-0.31859504174359676</v>
      </c>
      <c r="G1526" s="3" t="s">
        <v>1</v>
      </c>
      <c r="H1526">
        <v>0.10025062699999999</v>
      </c>
      <c r="I1526">
        <v>0.105820106</v>
      </c>
      <c r="J1526">
        <v>0.21164021199999999</v>
      </c>
      <c r="K1526">
        <v>0.14586071</v>
      </c>
      <c r="L1526">
        <v>0.58900523599999999</v>
      </c>
      <c r="M1526">
        <v>0.157303371</v>
      </c>
      <c r="N1526" t="e">
        <v>#N/A</v>
      </c>
      <c r="O1526" t="e">
        <v>#N/A</v>
      </c>
    </row>
    <row r="1527" spans="1:15" x14ac:dyDescent="0.25">
      <c r="A1527" t="s">
        <v>8</v>
      </c>
      <c r="B1527" t="s">
        <v>25</v>
      </c>
      <c r="C1527" s="3" t="str">
        <f>IF($B1527="GW1",VLOOKUP($A1527,Matches!$A:$AC,2,FALSE),IF($B1527="GW2",VLOOKUP($A1527,Matches!$A:$AC,9,FALSE),IF($B1527="GW3",VLOOKUP($A1527,Matches!$A:$AC,16,FALSE))))</f>
        <v>Man City</v>
      </c>
      <c r="D1527" s="6">
        <v>0.22683966972144087</v>
      </c>
      <c r="E1527" s="6">
        <v>0.54543471146503764</v>
      </c>
      <c r="F1527" s="6">
        <v>-0.31859504174359676</v>
      </c>
      <c r="G1527" s="3" t="s">
        <v>1</v>
      </c>
      <c r="H1527" t="e">
        <v>#N/A</v>
      </c>
      <c r="I1527" t="e">
        <v>#N/A</v>
      </c>
      <c r="J1527" t="e">
        <v>#N/A</v>
      </c>
      <c r="K1527">
        <v>0.14586071</v>
      </c>
      <c r="L1527">
        <v>0.58900523599999999</v>
      </c>
      <c r="M1527">
        <v>0.157303371</v>
      </c>
      <c r="N1527" t="e">
        <v>#N/A</v>
      </c>
      <c r="O1527" t="e">
        <v>#N/A</v>
      </c>
    </row>
    <row r="1528" spans="1:15" x14ac:dyDescent="0.25">
      <c r="A1528" t="s">
        <v>8</v>
      </c>
      <c r="B1528" t="s">
        <v>25</v>
      </c>
      <c r="C1528" s="3" t="str">
        <f>IF($B1528="GW1",VLOOKUP($A1528,Matches!$A:$AC,2,FALSE),IF($B1528="GW2",VLOOKUP($A1528,Matches!$A:$AC,9,FALSE),IF($B1528="GW3",VLOOKUP($A1528,Matches!$A:$AC,16,FALSE))))</f>
        <v>Man City</v>
      </c>
      <c r="D1528" s="6">
        <v>0.22683966972144087</v>
      </c>
      <c r="E1528" s="6">
        <v>0.54543471146503764</v>
      </c>
      <c r="F1528" s="6">
        <v>-0.31859504174359676</v>
      </c>
      <c r="G1528" s="3" t="s">
        <v>1</v>
      </c>
      <c r="H1528">
        <v>0.173160173</v>
      </c>
      <c r="I1528">
        <v>0.11904761899999999</v>
      </c>
      <c r="J1528">
        <v>0.19047618999999999</v>
      </c>
      <c r="K1528">
        <v>0.14586071</v>
      </c>
      <c r="L1528">
        <v>0.58900523599999999</v>
      </c>
      <c r="M1528">
        <v>0.157303371</v>
      </c>
      <c r="N1528" t="e">
        <v>#N/A</v>
      </c>
      <c r="O1528" t="e">
        <v>#N/A</v>
      </c>
    </row>
    <row r="1529" spans="1:15" x14ac:dyDescent="0.25">
      <c r="A1529" t="s">
        <v>8</v>
      </c>
      <c r="B1529" t="s">
        <v>25</v>
      </c>
      <c r="C1529" s="3" t="str">
        <f>IF($B1529="GW1",VLOOKUP($A1529,Matches!$A:$AC,2,FALSE),IF($B1529="GW2",VLOOKUP($A1529,Matches!$A:$AC,9,FALSE),IF($B1529="GW3",VLOOKUP($A1529,Matches!$A:$AC,16,FALSE))))</f>
        <v>Man City</v>
      </c>
      <c r="D1529" s="6">
        <v>0.22683966972144087</v>
      </c>
      <c r="E1529" s="6">
        <v>0.54543471146503764</v>
      </c>
      <c r="F1529" s="6">
        <v>-0.31859504174359676</v>
      </c>
      <c r="G1529" s="3" t="s">
        <v>1</v>
      </c>
      <c r="H1529">
        <v>0.10025062699999999</v>
      </c>
      <c r="I1529">
        <v>0.105820106</v>
      </c>
      <c r="J1529">
        <v>0.23809523799999999</v>
      </c>
      <c r="K1529">
        <v>0.14586071</v>
      </c>
      <c r="L1529">
        <v>0.58900523599999999</v>
      </c>
      <c r="M1529">
        <v>0.157303371</v>
      </c>
      <c r="N1529" t="e">
        <v>#N/A</v>
      </c>
      <c r="O1529" t="e">
        <v>#N/A</v>
      </c>
    </row>
    <row r="1530" spans="1:15" x14ac:dyDescent="0.25">
      <c r="A1530" t="s">
        <v>8</v>
      </c>
      <c r="B1530" t="s">
        <v>25</v>
      </c>
      <c r="C1530" s="3" t="str">
        <f>IF($B1530="GW1",VLOOKUP($A1530,Matches!$A:$AC,2,FALSE),IF($B1530="GW2",VLOOKUP($A1530,Matches!$A:$AC,9,FALSE),IF($B1530="GW3",VLOOKUP($A1530,Matches!$A:$AC,16,FALSE))))</f>
        <v>Man City</v>
      </c>
      <c r="D1530" s="6">
        <v>0.22683966972144087</v>
      </c>
      <c r="E1530" s="6">
        <v>0.54543471146503764</v>
      </c>
      <c r="F1530" s="6">
        <v>-0.31859504174359676</v>
      </c>
      <c r="G1530" s="3" t="s">
        <v>1</v>
      </c>
      <c r="H1530" t="e">
        <v>#N/A</v>
      </c>
      <c r="I1530" t="e">
        <v>#N/A</v>
      </c>
      <c r="J1530" t="e">
        <v>#N/A</v>
      </c>
      <c r="K1530">
        <v>0.14586071</v>
      </c>
      <c r="L1530">
        <v>0.58900523599999999</v>
      </c>
      <c r="M1530">
        <v>0.157303371</v>
      </c>
      <c r="N1530" t="e">
        <v>#N/A</v>
      </c>
      <c r="O1530" t="e">
        <v>#N/A</v>
      </c>
    </row>
    <row r="1531" spans="1:15" x14ac:dyDescent="0.25">
      <c r="A1531" t="s">
        <v>8</v>
      </c>
      <c r="B1531" t="s">
        <v>25</v>
      </c>
      <c r="C1531" s="3" t="str">
        <f>IF($B1531="GW1",VLOOKUP($A1531,Matches!$A:$AC,2,FALSE),IF($B1531="GW2",VLOOKUP($A1531,Matches!$A:$AC,9,FALSE),IF($B1531="GW3",VLOOKUP($A1531,Matches!$A:$AC,16,FALSE))))</f>
        <v>Man City</v>
      </c>
      <c r="D1531" s="6">
        <v>0.22683966972144087</v>
      </c>
      <c r="E1531" s="6">
        <v>0.54543471146503764</v>
      </c>
      <c r="F1531" s="6">
        <v>-0.31859504174359676</v>
      </c>
      <c r="G1531" s="3" t="s">
        <v>1</v>
      </c>
      <c r="H1531" t="e">
        <v>#N/A</v>
      </c>
      <c r="I1531" t="e">
        <v>#N/A</v>
      </c>
      <c r="J1531" t="e">
        <v>#N/A</v>
      </c>
      <c r="K1531">
        <v>0.14586071</v>
      </c>
      <c r="L1531">
        <v>0.58900523599999999</v>
      </c>
      <c r="M1531">
        <v>0.157303371</v>
      </c>
      <c r="N1531" t="e">
        <v>#N/A</v>
      </c>
      <c r="O1531" t="e">
        <v>#N/A</v>
      </c>
    </row>
    <row r="1532" spans="1:15" x14ac:dyDescent="0.25">
      <c r="A1532" t="s">
        <v>8</v>
      </c>
      <c r="B1532" t="s">
        <v>25</v>
      </c>
      <c r="C1532" s="3" t="str">
        <f>IF($B1532="GW1",VLOOKUP($A1532,Matches!$A:$AC,2,FALSE),IF($B1532="GW2",VLOOKUP($A1532,Matches!$A:$AC,9,FALSE),IF($B1532="GW3",VLOOKUP($A1532,Matches!$A:$AC,16,FALSE))))</f>
        <v>Man City</v>
      </c>
      <c r="D1532" s="6">
        <v>0.22683966972144087</v>
      </c>
      <c r="E1532" s="6">
        <v>0.54543471146503764</v>
      </c>
      <c r="F1532" s="6">
        <v>-0.31859504174359676</v>
      </c>
      <c r="G1532" s="3" t="s">
        <v>1</v>
      </c>
      <c r="H1532" t="e">
        <v>#N/A</v>
      </c>
      <c r="I1532" t="e">
        <v>#N/A</v>
      </c>
      <c r="J1532" t="e">
        <v>#N/A</v>
      </c>
      <c r="K1532">
        <v>0.14586071</v>
      </c>
      <c r="L1532">
        <v>0.58900523599999999</v>
      </c>
      <c r="M1532">
        <v>0.157303371</v>
      </c>
      <c r="N1532" t="e">
        <v>#N/A</v>
      </c>
      <c r="O1532" t="e">
        <v>#N/A</v>
      </c>
    </row>
    <row r="1533" spans="1:15" x14ac:dyDescent="0.25">
      <c r="A1533" t="s">
        <v>8</v>
      </c>
      <c r="B1533" t="s">
        <v>25</v>
      </c>
      <c r="C1533" s="3" t="str">
        <f>IF($B1533="GW1",VLOOKUP($A1533,Matches!$A:$AC,2,FALSE),IF($B1533="GW2",VLOOKUP($A1533,Matches!$A:$AC,9,FALSE),IF($B1533="GW3",VLOOKUP($A1533,Matches!$A:$AC,16,FALSE))))</f>
        <v>Man City</v>
      </c>
      <c r="D1533" s="6">
        <v>0.22683966972144087</v>
      </c>
      <c r="E1533" s="6">
        <v>0.54543471146503764</v>
      </c>
      <c r="F1533" s="6">
        <v>-0.31859504174359676</v>
      </c>
      <c r="G1533" s="3" t="s">
        <v>1</v>
      </c>
      <c r="H1533" t="e">
        <v>#N/A</v>
      </c>
      <c r="I1533" t="e">
        <v>#N/A</v>
      </c>
      <c r="J1533" t="e">
        <v>#N/A</v>
      </c>
      <c r="K1533">
        <v>0.14586071</v>
      </c>
      <c r="L1533">
        <v>0.58900523599999999</v>
      </c>
      <c r="M1533">
        <v>0.157303371</v>
      </c>
      <c r="N1533" t="e">
        <v>#N/A</v>
      </c>
      <c r="O1533" t="e">
        <v>#N/A</v>
      </c>
    </row>
    <row r="1534" spans="1:15" x14ac:dyDescent="0.25">
      <c r="A1534" t="s">
        <v>8</v>
      </c>
      <c r="B1534" t="s">
        <v>25</v>
      </c>
      <c r="C1534" s="3" t="str">
        <f>IF($B1534="GW1",VLOOKUP($A1534,Matches!$A:$AC,2,FALSE),IF($B1534="GW2",VLOOKUP($A1534,Matches!$A:$AC,9,FALSE),IF($B1534="GW3",VLOOKUP($A1534,Matches!$A:$AC,16,FALSE))))</f>
        <v>Man City</v>
      </c>
      <c r="D1534" s="6">
        <v>0.22683966972144087</v>
      </c>
      <c r="E1534" s="6">
        <v>0.54543471146503764</v>
      </c>
      <c r="F1534" s="6">
        <v>-0.31859504174359676</v>
      </c>
      <c r="G1534" s="3" t="s">
        <v>1</v>
      </c>
      <c r="H1534">
        <v>0.297619048</v>
      </c>
      <c r="I1534">
        <v>7.3260072999999995E-2</v>
      </c>
      <c r="J1534">
        <v>0.112044818</v>
      </c>
      <c r="K1534">
        <v>0.14586071</v>
      </c>
      <c r="L1534">
        <v>0.58900523599999999</v>
      </c>
      <c r="M1534">
        <v>0.157303371</v>
      </c>
      <c r="N1534" t="e">
        <v>#N/A</v>
      </c>
      <c r="O1534" t="e">
        <v>#N/A</v>
      </c>
    </row>
    <row r="1535" spans="1:15" x14ac:dyDescent="0.25">
      <c r="A1535" t="s">
        <v>8</v>
      </c>
      <c r="B1535" t="s">
        <v>25</v>
      </c>
      <c r="C1535" s="3" t="str">
        <f>IF($B1535="GW1",VLOOKUP($A1535,Matches!$A:$AC,2,FALSE),IF($B1535="GW2",VLOOKUP($A1535,Matches!$A:$AC,9,FALSE),IF($B1535="GW3",VLOOKUP($A1535,Matches!$A:$AC,16,FALSE))))</f>
        <v>Man City</v>
      </c>
      <c r="D1535" s="6">
        <v>0.22683966972144087</v>
      </c>
      <c r="E1535" s="6">
        <v>0.54543471146503764</v>
      </c>
      <c r="F1535" s="6">
        <v>-0.31859504174359676</v>
      </c>
      <c r="G1535" s="3" t="s">
        <v>1</v>
      </c>
      <c r="H1535" t="e">
        <v>#N/A</v>
      </c>
      <c r="I1535" t="e">
        <v>#N/A</v>
      </c>
      <c r="J1535" t="e">
        <v>#N/A</v>
      </c>
      <c r="K1535">
        <v>0.14586071</v>
      </c>
      <c r="L1535">
        <v>0.58900523599999999</v>
      </c>
      <c r="M1535">
        <v>0.157303371</v>
      </c>
      <c r="N1535" t="e">
        <v>#N/A</v>
      </c>
      <c r="O1535" t="e">
        <v>#N/A</v>
      </c>
    </row>
    <row r="1536" spans="1:15" x14ac:dyDescent="0.25">
      <c r="A1536" t="s">
        <v>8</v>
      </c>
      <c r="B1536" t="s">
        <v>25</v>
      </c>
      <c r="C1536" s="3" t="str">
        <f>IF($B1536="GW1",VLOOKUP($A1536,Matches!$A:$AC,2,FALSE),IF($B1536="GW2",VLOOKUP($A1536,Matches!$A:$AC,9,FALSE),IF($B1536="GW3",VLOOKUP($A1536,Matches!$A:$AC,16,FALSE))))</f>
        <v>Man City</v>
      </c>
      <c r="D1536" s="6">
        <v>0.22683966972144087</v>
      </c>
      <c r="E1536" s="6">
        <v>0.54543471146503764</v>
      </c>
      <c r="F1536" s="6">
        <v>-0.31859504174359676</v>
      </c>
      <c r="G1536" s="3" t="s">
        <v>1</v>
      </c>
      <c r="H1536" t="e">
        <v>#N/A</v>
      </c>
      <c r="I1536" t="e">
        <v>#N/A</v>
      </c>
      <c r="J1536" t="e">
        <v>#N/A</v>
      </c>
      <c r="K1536">
        <v>0.14586071</v>
      </c>
      <c r="L1536">
        <v>0.58900523599999999</v>
      </c>
      <c r="M1536">
        <v>0.157303371</v>
      </c>
      <c r="N1536" t="e">
        <v>#N/A</v>
      </c>
      <c r="O1536" t="e">
        <v>#N/A</v>
      </c>
    </row>
    <row r="1537" spans="1:15" x14ac:dyDescent="0.25">
      <c r="A1537" t="s">
        <v>8</v>
      </c>
      <c r="B1537" t="s">
        <v>25</v>
      </c>
      <c r="C1537" s="3" t="str">
        <f>IF($B1537="GW1",VLOOKUP($A1537,Matches!$A:$AC,2,FALSE),IF($B1537="GW2",VLOOKUP($A1537,Matches!$A:$AC,9,FALSE),IF($B1537="GW3",VLOOKUP($A1537,Matches!$A:$AC,16,FALSE))))</f>
        <v>Man City</v>
      </c>
      <c r="D1537" s="6">
        <v>0.22683966972144087</v>
      </c>
      <c r="E1537" s="6">
        <v>0.54543471146503764</v>
      </c>
      <c r="F1537" s="6">
        <v>-0.31859504174359676</v>
      </c>
      <c r="G1537" s="3" t="s">
        <v>1</v>
      </c>
      <c r="H1537" t="e">
        <v>#N/A</v>
      </c>
      <c r="I1537" t="e">
        <v>#N/A</v>
      </c>
      <c r="J1537" t="e">
        <v>#N/A</v>
      </c>
      <c r="K1537">
        <v>0.14586071</v>
      </c>
      <c r="L1537">
        <v>0.58900523599999999</v>
      </c>
      <c r="M1537">
        <v>0.157303371</v>
      </c>
      <c r="N1537" t="e">
        <v>#N/A</v>
      </c>
      <c r="O1537" t="e">
        <v>#N/A</v>
      </c>
    </row>
    <row r="1538" spans="1:15" x14ac:dyDescent="0.25">
      <c r="A1538" t="s">
        <v>9</v>
      </c>
      <c r="B1538" t="s">
        <v>25</v>
      </c>
      <c r="C1538" s="3" t="str">
        <f>IF($B1538="GW1",VLOOKUP($A1538,Matches!$A:$AC,2,FALSE),IF($B1538="GW2",VLOOKUP($A1538,Matches!$A:$AC,9,FALSE),IF($B1538="GW3",VLOOKUP($A1538,Matches!$A:$AC,16,FALSE))))</f>
        <v>Fulham</v>
      </c>
      <c r="D1538" s="6">
        <v>0.63043752364140715</v>
      </c>
      <c r="E1538" s="6">
        <v>0.16797124332314306</v>
      </c>
      <c r="F1538" s="6">
        <v>0.46246628031826409</v>
      </c>
      <c r="G1538" s="3" t="s">
        <v>1</v>
      </c>
      <c r="H1538" t="e">
        <v>#N/A</v>
      </c>
      <c r="I1538" t="e">
        <v>#N/A</v>
      </c>
      <c r="J1538">
        <v>0.15873015900000001</v>
      </c>
      <c r="K1538">
        <v>0.41099476400000001</v>
      </c>
      <c r="L1538">
        <v>0.25</v>
      </c>
      <c r="M1538">
        <v>2.8710184E-2</v>
      </c>
      <c r="N1538" t="e">
        <v>#N/A</v>
      </c>
      <c r="O1538" t="e">
        <v>#N/A</v>
      </c>
    </row>
    <row r="1539" spans="1:15" x14ac:dyDescent="0.25">
      <c r="A1539" t="s">
        <v>9</v>
      </c>
      <c r="B1539" t="s">
        <v>25</v>
      </c>
      <c r="C1539" s="3" t="str">
        <f>IF($B1539="GW1",VLOOKUP($A1539,Matches!$A:$AC,2,FALSE),IF($B1539="GW2",VLOOKUP($A1539,Matches!$A:$AC,9,FALSE),IF($B1539="GW3",VLOOKUP($A1539,Matches!$A:$AC,16,FALSE))))</f>
        <v>Fulham</v>
      </c>
      <c r="D1539" s="6">
        <v>0.63043752364140715</v>
      </c>
      <c r="E1539" s="6">
        <v>0.16797124332314306</v>
      </c>
      <c r="F1539" s="6">
        <v>0.46246628031826409</v>
      </c>
      <c r="G1539" s="3" t="s">
        <v>1</v>
      </c>
      <c r="H1539" t="e">
        <v>#N/A</v>
      </c>
      <c r="I1539" t="e">
        <v>#N/A</v>
      </c>
      <c r="J1539" t="e">
        <v>#N/A</v>
      </c>
      <c r="K1539">
        <v>0.41099476400000001</v>
      </c>
      <c r="L1539">
        <v>0.25</v>
      </c>
      <c r="M1539">
        <v>2.8710184E-2</v>
      </c>
      <c r="N1539" t="e">
        <v>#N/A</v>
      </c>
      <c r="O1539" t="e">
        <v>#N/A</v>
      </c>
    </row>
    <row r="1540" spans="1:15" x14ac:dyDescent="0.25">
      <c r="A1540" t="s">
        <v>9</v>
      </c>
      <c r="B1540" t="s">
        <v>25</v>
      </c>
      <c r="C1540" s="3" t="str">
        <f>IF($B1540="GW1",VLOOKUP($A1540,Matches!$A:$AC,2,FALSE),IF($B1540="GW2",VLOOKUP($A1540,Matches!$A:$AC,9,FALSE),IF($B1540="GW3",VLOOKUP($A1540,Matches!$A:$AC,16,FALSE))))</f>
        <v>Fulham</v>
      </c>
      <c r="D1540" s="6">
        <v>0.63043752364140715</v>
      </c>
      <c r="E1540" s="6">
        <v>0.16797124332314306</v>
      </c>
      <c r="F1540" s="6">
        <v>0.46246628031826409</v>
      </c>
      <c r="G1540" s="3" t="s">
        <v>1</v>
      </c>
      <c r="H1540" t="e">
        <v>#N/A</v>
      </c>
      <c r="I1540" t="e">
        <v>#N/A</v>
      </c>
      <c r="J1540" t="e">
        <v>#N/A</v>
      </c>
      <c r="K1540">
        <v>0.41099476400000001</v>
      </c>
      <c r="L1540">
        <v>0.25</v>
      </c>
      <c r="M1540">
        <v>2.8710184E-2</v>
      </c>
      <c r="N1540" t="e">
        <v>#N/A</v>
      </c>
      <c r="O1540" t="e">
        <v>#N/A</v>
      </c>
    </row>
    <row r="1541" spans="1:15" x14ac:dyDescent="0.25">
      <c r="A1541" t="s">
        <v>9</v>
      </c>
      <c r="B1541" t="s">
        <v>25</v>
      </c>
      <c r="C1541" s="3" t="str">
        <f>IF($B1541="GW1",VLOOKUP($A1541,Matches!$A:$AC,2,FALSE),IF($B1541="GW2",VLOOKUP($A1541,Matches!$A:$AC,9,FALSE),IF($B1541="GW3",VLOOKUP($A1541,Matches!$A:$AC,16,FALSE))))</f>
        <v>Fulham</v>
      </c>
      <c r="D1541" s="6">
        <v>0.63043752364140715</v>
      </c>
      <c r="E1541" s="6">
        <v>0.16797124332314306</v>
      </c>
      <c r="F1541" s="6">
        <v>0.46246628031826409</v>
      </c>
      <c r="G1541" s="3" t="s">
        <v>1</v>
      </c>
      <c r="H1541" t="e">
        <v>#N/A</v>
      </c>
      <c r="I1541" t="e">
        <v>#N/A</v>
      </c>
      <c r="J1541" t="e">
        <v>#N/A</v>
      </c>
      <c r="K1541">
        <v>0.41099476400000001</v>
      </c>
      <c r="L1541">
        <v>0.25</v>
      </c>
      <c r="M1541">
        <v>2.8710184E-2</v>
      </c>
      <c r="N1541" t="e">
        <v>#N/A</v>
      </c>
      <c r="O1541" t="e">
        <v>#N/A</v>
      </c>
    </row>
    <row r="1542" spans="1:15" x14ac:dyDescent="0.25">
      <c r="A1542" t="s">
        <v>9</v>
      </c>
      <c r="B1542" t="s">
        <v>25</v>
      </c>
      <c r="C1542" s="3" t="str">
        <f>IF($B1542="GW1",VLOOKUP($A1542,Matches!$A:$AC,2,FALSE),IF($B1542="GW2",VLOOKUP($A1542,Matches!$A:$AC,9,FALSE),IF($B1542="GW3",VLOOKUP($A1542,Matches!$A:$AC,16,FALSE))))</f>
        <v>Fulham</v>
      </c>
      <c r="D1542" s="6">
        <v>0.63043752364140715</v>
      </c>
      <c r="E1542" s="6">
        <v>0.16797124332314306</v>
      </c>
      <c r="F1542" s="6">
        <v>0.46246628031826409</v>
      </c>
      <c r="G1542" s="3" t="s">
        <v>1</v>
      </c>
      <c r="H1542">
        <v>0.112044818</v>
      </c>
      <c r="I1542">
        <v>8.6580087E-2</v>
      </c>
      <c r="J1542">
        <v>0.29304029300000001</v>
      </c>
      <c r="K1542">
        <v>0.41099476400000001</v>
      </c>
      <c r="L1542">
        <v>0.25</v>
      </c>
      <c r="M1542">
        <v>2.8710184E-2</v>
      </c>
      <c r="N1542" t="e">
        <v>#N/A</v>
      </c>
      <c r="O1542" t="e">
        <v>#N/A</v>
      </c>
    </row>
    <row r="1543" spans="1:15" x14ac:dyDescent="0.25">
      <c r="A1543" t="s">
        <v>9</v>
      </c>
      <c r="B1543" t="s">
        <v>25</v>
      </c>
      <c r="C1543" s="3" t="str">
        <f>IF($B1543="GW1",VLOOKUP($A1543,Matches!$A:$AC,2,FALSE),IF($B1543="GW2",VLOOKUP($A1543,Matches!$A:$AC,9,FALSE),IF($B1543="GW3",VLOOKUP($A1543,Matches!$A:$AC,16,FALSE))))</f>
        <v>Fulham</v>
      </c>
      <c r="D1543" s="6">
        <v>0.63043752364140715</v>
      </c>
      <c r="E1543" s="6">
        <v>0.16797124332314306</v>
      </c>
      <c r="F1543" s="6">
        <v>0.46246628031826409</v>
      </c>
      <c r="G1543" s="3" t="s">
        <v>1</v>
      </c>
      <c r="H1543">
        <v>0.15873015900000001</v>
      </c>
      <c r="I1543">
        <v>0.13605442200000001</v>
      </c>
      <c r="J1543">
        <v>0.29304029300000001</v>
      </c>
      <c r="K1543">
        <v>0.41099476400000001</v>
      </c>
      <c r="L1543">
        <v>0.25</v>
      </c>
      <c r="M1543">
        <v>2.8710184E-2</v>
      </c>
      <c r="N1543" t="e">
        <v>#N/A</v>
      </c>
      <c r="O1543" t="e">
        <v>#N/A</v>
      </c>
    </row>
    <row r="1544" spans="1:15" x14ac:dyDescent="0.25">
      <c r="A1544" t="s">
        <v>9</v>
      </c>
      <c r="B1544" t="s">
        <v>25</v>
      </c>
      <c r="C1544" s="3" t="str">
        <f>IF($B1544="GW1",VLOOKUP($A1544,Matches!$A:$AC,2,FALSE),IF($B1544="GW2",VLOOKUP($A1544,Matches!$A:$AC,9,FALSE),IF($B1544="GW3",VLOOKUP($A1544,Matches!$A:$AC,16,FALSE))))</f>
        <v>Fulham</v>
      </c>
      <c r="D1544" s="6">
        <v>0.63043752364140715</v>
      </c>
      <c r="E1544" s="6">
        <v>0.16797124332314306</v>
      </c>
      <c r="F1544" s="6">
        <v>0.46246628031826409</v>
      </c>
      <c r="G1544" s="3" t="s">
        <v>1</v>
      </c>
      <c r="H1544">
        <v>7.9365079000000005E-2</v>
      </c>
      <c r="I1544">
        <v>8.6580087E-2</v>
      </c>
      <c r="J1544">
        <v>0.253968254</v>
      </c>
      <c r="K1544">
        <v>0.41099476400000001</v>
      </c>
      <c r="L1544">
        <v>0.25</v>
      </c>
      <c r="M1544">
        <v>2.8710184E-2</v>
      </c>
      <c r="N1544" t="e">
        <v>#N/A</v>
      </c>
      <c r="O1544" t="e">
        <v>#N/A</v>
      </c>
    </row>
    <row r="1545" spans="1:15" x14ac:dyDescent="0.25">
      <c r="A1545" t="s">
        <v>9</v>
      </c>
      <c r="B1545" t="s">
        <v>25</v>
      </c>
      <c r="C1545" s="3" t="str">
        <f>IF($B1545="GW1",VLOOKUP($A1545,Matches!$A:$AC,2,FALSE),IF($B1545="GW2",VLOOKUP($A1545,Matches!$A:$AC,9,FALSE),IF($B1545="GW3",VLOOKUP($A1545,Matches!$A:$AC,16,FALSE))))</f>
        <v>Fulham</v>
      </c>
      <c r="D1545" s="6">
        <v>0.63043752364140715</v>
      </c>
      <c r="E1545" s="6">
        <v>0.16797124332314306</v>
      </c>
      <c r="F1545" s="6">
        <v>0.46246628031826409</v>
      </c>
      <c r="G1545" s="3" t="s">
        <v>1</v>
      </c>
      <c r="H1545" t="e">
        <v>#N/A</v>
      </c>
      <c r="I1545" t="e">
        <v>#N/A</v>
      </c>
      <c r="J1545" t="e">
        <v>#N/A</v>
      </c>
      <c r="K1545">
        <v>0.41099476400000001</v>
      </c>
      <c r="L1545">
        <v>0.25</v>
      </c>
      <c r="M1545">
        <v>2.8710184E-2</v>
      </c>
      <c r="N1545" t="e">
        <v>#N/A</v>
      </c>
      <c r="O1545" t="e">
        <v>#N/A</v>
      </c>
    </row>
    <row r="1546" spans="1:15" x14ac:dyDescent="0.25">
      <c r="A1546" t="s">
        <v>9</v>
      </c>
      <c r="B1546" t="s">
        <v>25</v>
      </c>
      <c r="C1546" s="3" t="str">
        <f>IF($B1546="GW1",VLOOKUP($A1546,Matches!$A:$AC,2,FALSE),IF($B1546="GW2",VLOOKUP($A1546,Matches!$A:$AC,9,FALSE),IF($B1546="GW3",VLOOKUP($A1546,Matches!$A:$AC,16,FALSE))))</f>
        <v>Fulham</v>
      </c>
      <c r="D1546" s="6">
        <v>0.63043752364140715</v>
      </c>
      <c r="E1546" s="6">
        <v>0.16797124332314306</v>
      </c>
      <c r="F1546" s="6">
        <v>0.46246628031826409</v>
      </c>
      <c r="G1546" s="3" t="s">
        <v>1</v>
      </c>
      <c r="H1546">
        <v>9.5238094999999995E-2</v>
      </c>
      <c r="I1546">
        <v>0.14652014699999999</v>
      </c>
      <c r="J1546">
        <v>0.29304029300000001</v>
      </c>
      <c r="K1546">
        <v>0.41099476400000001</v>
      </c>
      <c r="L1546">
        <v>0.25</v>
      </c>
      <c r="M1546">
        <v>2.8710184E-2</v>
      </c>
      <c r="N1546" t="e">
        <v>#N/A</v>
      </c>
      <c r="O1546" t="e">
        <v>#N/A</v>
      </c>
    </row>
    <row r="1547" spans="1:15" x14ac:dyDescent="0.25">
      <c r="A1547" t="s">
        <v>9</v>
      </c>
      <c r="B1547" t="s">
        <v>25</v>
      </c>
      <c r="C1547" s="3" t="str">
        <f>IF($B1547="GW1",VLOOKUP($A1547,Matches!$A:$AC,2,FALSE),IF($B1547="GW2",VLOOKUP($A1547,Matches!$A:$AC,9,FALSE),IF($B1547="GW3",VLOOKUP($A1547,Matches!$A:$AC,16,FALSE))))</f>
        <v>Fulham</v>
      </c>
      <c r="D1547" s="6">
        <v>0.63043752364140715</v>
      </c>
      <c r="E1547" s="6">
        <v>0.16797124332314306</v>
      </c>
      <c r="F1547" s="6">
        <v>0.46246628031826409</v>
      </c>
      <c r="G1547" s="3" t="s">
        <v>1</v>
      </c>
      <c r="H1547">
        <v>9.5238094999999995E-2</v>
      </c>
      <c r="I1547">
        <v>7.3260072999999995E-2</v>
      </c>
      <c r="J1547">
        <v>0.19047618999999999</v>
      </c>
      <c r="K1547">
        <v>0.41099476400000001</v>
      </c>
      <c r="L1547">
        <v>0.25</v>
      </c>
      <c r="M1547">
        <v>2.8710184E-2</v>
      </c>
      <c r="N1547" t="e">
        <v>#N/A</v>
      </c>
      <c r="O1547" t="e">
        <v>#N/A</v>
      </c>
    </row>
    <row r="1548" spans="1:15" x14ac:dyDescent="0.25">
      <c r="A1548" t="s">
        <v>9</v>
      </c>
      <c r="B1548" t="s">
        <v>25</v>
      </c>
      <c r="C1548" s="3" t="str">
        <f>IF($B1548="GW1",VLOOKUP($A1548,Matches!$A:$AC,2,FALSE),IF($B1548="GW2",VLOOKUP($A1548,Matches!$A:$AC,9,FALSE),IF($B1548="GW3",VLOOKUP($A1548,Matches!$A:$AC,16,FALSE))))</f>
        <v>Fulham</v>
      </c>
      <c r="D1548" s="6">
        <v>0.63043752364140715</v>
      </c>
      <c r="E1548" s="6">
        <v>0.16797124332314306</v>
      </c>
      <c r="F1548" s="6">
        <v>0.46246628031826409</v>
      </c>
      <c r="G1548" s="3" t="s">
        <v>1</v>
      </c>
      <c r="H1548">
        <v>9.5238094999999995E-2</v>
      </c>
      <c r="I1548">
        <v>6.3492063000000001E-2</v>
      </c>
      <c r="J1548">
        <v>0.307219662</v>
      </c>
      <c r="K1548">
        <v>0.41099476400000001</v>
      </c>
      <c r="L1548">
        <v>0.25</v>
      </c>
      <c r="M1548">
        <v>2.8710184E-2</v>
      </c>
      <c r="N1548" t="e">
        <v>#N/A</v>
      </c>
      <c r="O1548" t="e">
        <v>#N/A</v>
      </c>
    </row>
    <row r="1549" spans="1:15" x14ac:dyDescent="0.25">
      <c r="A1549" t="s">
        <v>9</v>
      </c>
      <c r="B1549" t="s">
        <v>25</v>
      </c>
      <c r="C1549" s="3" t="str">
        <f>IF($B1549="GW1",VLOOKUP($A1549,Matches!$A:$AC,2,FALSE),IF($B1549="GW2",VLOOKUP($A1549,Matches!$A:$AC,9,FALSE),IF($B1549="GW3",VLOOKUP($A1549,Matches!$A:$AC,16,FALSE))))</f>
        <v>Fulham</v>
      </c>
      <c r="D1549" s="6">
        <v>0.63043752364140715</v>
      </c>
      <c r="E1549" s="6">
        <v>0.16797124332314306</v>
      </c>
      <c r="F1549" s="6">
        <v>0.46246628031826409</v>
      </c>
      <c r="G1549" s="3" t="s">
        <v>1</v>
      </c>
      <c r="H1549" t="e">
        <v>#N/A</v>
      </c>
      <c r="I1549" t="e">
        <v>#N/A</v>
      </c>
      <c r="J1549" t="e">
        <v>#N/A</v>
      </c>
      <c r="K1549">
        <v>0.41099476400000001</v>
      </c>
      <c r="L1549">
        <v>0.25</v>
      </c>
      <c r="M1549">
        <v>2.8710184E-2</v>
      </c>
      <c r="N1549" t="e">
        <v>#N/A</v>
      </c>
      <c r="O1549" t="e">
        <v>#N/A</v>
      </c>
    </row>
    <row r="1550" spans="1:15" x14ac:dyDescent="0.25">
      <c r="A1550" t="s">
        <v>9</v>
      </c>
      <c r="B1550" t="s">
        <v>25</v>
      </c>
      <c r="C1550" s="3" t="str">
        <f>IF($B1550="GW1",VLOOKUP($A1550,Matches!$A:$AC,2,FALSE),IF($B1550="GW2",VLOOKUP($A1550,Matches!$A:$AC,9,FALSE),IF($B1550="GW3",VLOOKUP($A1550,Matches!$A:$AC,16,FALSE))))</f>
        <v>Fulham</v>
      </c>
      <c r="D1550" s="6">
        <v>0.63043752364140715</v>
      </c>
      <c r="E1550" s="6">
        <v>0.16797124332314306</v>
      </c>
      <c r="F1550" s="6">
        <v>0.46246628031826409</v>
      </c>
      <c r="G1550" s="3" t="s">
        <v>1</v>
      </c>
      <c r="H1550">
        <v>9.5238094999999995E-2</v>
      </c>
      <c r="I1550">
        <v>4.5351474000000003E-2</v>
      </c>
      <c r="J1550">
        <v>0.173160173</v>
      </c>
      <c r="K1550">
        <v>0.41099476400000001</v>
      </c>
      <c r="L1550">
        <v>0.25</v>
      </c>
      <c r="M1550">
        <v>2.8710184E-2</v>
      </c>
      <c r="N1550" t="e">
        <v>#N/A</v>
      </c>
      <c r="O1550" t="e">
        <v>#N/A</v>
      </c>
    </row>
    <row r="1551" spans="1:15" x14ac:dyDescent="0.25">
      <c r="A1551" t="s">
        <v>9</v>
      </c>
      <c r="B1551" t="s">
        <v>25</v>
      </c>
      <c r="C1551" s="3" t="str">
        <f>IF($B1551="GW1",VLOOKUP($A1551,Matches!$A:$AC,2,FALSE),IF($B1551="GW2",VLOOKUP($A1551,Matches!$A:$AC,9,FALSE),IF($B1551="GW3",VLOOKUP($A1551,Matches!$A:$AC,16,FALSE))))</f>
        <v>Fulham</v>
      </c>
      <c r="D1551" s="6">
        <v>0.63043752364140715</v>
      </c>
      <c r="E1551" s="6">
        <v>0.16797124332314306</v>
      </c>
      <c r="F1551" s="6">
        <v>0.46246628031826409</v>
      </c>
      <c r="G1551" s="3" t="s">
        <v>1</v>
      </c>
      <c r="H1551">
        <v>0.112044818</v>
      </c>
      <c r="I1551">
        <v>0.13605442200000001</v>
      </c>
      <c r="J1551">
        <v>0.253968254</v>
      </c>
      <c r="K1551">
        <v>0.41099476400000001</v>
      </c>
      <c r="L1551">
        <v>0.25</v>
      </c>
      <c r="M1551">
        <v>2.8710184E-2</v>
      </c>
      <c r="N1551" t="e">
        <v>#N/A</v>
      </c>
      <c r="O1551" t="e">
        <v>#N/A</v>
      </c>
    </row>
    <row r="1552" spans="1:15" x14ac:dyDescent="0.25">
      <c r="A1552" t="s">
        <v>9</v>
      </c>
      <c r="B1552" t="s">
        <v>25</v>
      </c>
      <c r="C1552" s="3" t="str">
        <f>IF($B1552="GW1",VLOOKUP($A1552,Matches!$A:$AC,2,FALSE),IF($B1552="GW2",VLOOKUP($A1552,Matches!$A:$AC,9,FALSE),IF($B1552="GW3",VLOOKUP($A1552,Matches!$A:$AC,16,FALSE))))</f>
        <v>Fulham</v>
      </c>
      <c r="D1552" s="6">
        <v>0.63043752364140715</v>
      </c>
      <c r="E1552" s="6">
        <v>0.16797124332314306</v>
      </c>
      <c r="F1552" s="6">
        <v>0.46246628031826409</v>
      </c>
      <c r="G1552" s="3" t="s">
        <v>1</v>
      </c>
      <c r="H1552" t="e">
        <v>#N/A</v>
      </c>
      <c r="I1552" t="e">
        <v>#N/A</v>
      </c>
      <c r="J1552" t="e">
        <v>#N/A</v>
      </c>
      <c r="K1552">
        <v>0.41099476400000001</v>
      </c>
      <c r="L1552">
        <v>0.25</v>
      </c>
      <c r="M1552">
        <v>2.8710184E-2</v>
      </c>
      <c r="N1552" t="e">
        <v>#N/A</v>
      </c>
      <c r="O1552" t="e">
        <v>#N/A</v>
      </c>
    </row>
    <row r="1553" spans="1:15" x14ac:dyDescent="0.25">
      <c r="A1553" t="s">
        <v>9</v>
      </c>
      <c r="B1553" t="s">
        <v>25</v>
      </c>
      <c r="C1553" s="3" t="str">
        <f>IF($B1553="GW1",VLOOKUP($A1553,Matches!$A:$AC,2,FALSE),IF($B1553="GW2",VLOOKUP($A1553,Matches!$A:$AC,9,FALSE),IF($B1553="GW3",VLOOKUP($A1553,Matches!$A:$AC,16,FALSE))))</f>
        <v>Fulham</v>
      </c>
      <c r="D1553" s="6">
        <v>0.63043752364140715</v>
      </c>
      <c r="E1553" s="6">
        <v>0.16797124332314306</v>
      </c>
      <c r="F1553" s="6">
        <v>0.46246628031826409</v>
      </c>
      <c r="G1553" s="3" t="s">
        <v>1</v>
      </c>
      <c r="H1553">
        <v>0.46457607400000001</v>
      </c>
      <c r="I1553">
        <v>0.27210884400000002</v>
      </c>
      <c r="J1553">
        <v>0.21164021199999999</v>
      </c>
      <c r="K1553">
        <v>0.41099476400000001</v>
      </c>
      <c r="L1553">
        <v>0.25</v>
      </c>
      <c r="M1553">
        <v>2.8710184E-2</v>
      </c>
      <c r="N1553" t="e">
        <v>#N/A</v>
      </c>
      <c r="O1553" t="e">
        <v>#N/A</v>
      </c>
    </row>
    <row r="1554" spans="1:15" x14ac:dyDescent="0.25">
      <c r="A1554" t="s">
        <v>9</v>
      </c>
      <c r="B1554" t="s">
        <v>25</v>
      </c>
      <c r="C1554" s="3" t="str">
        <f>IF($B1554="GW1",VLOOKUP($A1554,Matches!$A:$AC,2,FALSE),IF($B1554="GW2",VLOOKUP($A1554,Matches!$A:$AC,9,FALSE),IF($B1554="GW3",VLOOKUP($A1554,Matches!$A:$AC,16,FALSE))))</f>
        <v>Fulham</v>
      </c>
      <c r="D1554" s="6">
        <v>0.63043752364140715</v>
      </c>
      <c r="E1554" s="6">
        <v>0.16797124332314306</v>
      </c>
      <c r="F1554" s="6">
        <v>0.46246628031826409</v>
      </c>
      <c r="G1554" s="3" t="s">
        <v>1</v>
      </c>
      <c r="H1554">
        <v>0.31746031699999999</v>
      </c>
      <c r="I1554">
        <v>0.23809523799999999</v>
      </c>
      <c r="J1554">
        <v>0.29304029300000001</v>
      </c>
      <c r="K1554">
        <v>0.41099476400000001</v>
      </c>
      <c r="L1554">
        <v>0.25</v>
      </c>
      <c r="M1554">
        <v>2.8710184E-2</v>
      </c>
      <c r="N1554" t="e">
        <v>#N/A</v>
      </c>
      <c r="O1554" t="e">
        <v>#N/A</v>
      </c>
    </row>
    <row r="1555" spans="1:15" x14ac:dyDescent="0.25">
      <c r="A1555" t="s">
        <v>9</v>
      </c>
      <c r="B1555" t="s">
        <v>25</v>
      </c>
      <c r="C1555" s="3" t="str">
        <f>IF($B1555="GW1",VLOOKUP($A1555,Matches!$A:$AC,2,FALSE),IF($B1555="GW2",VLOOKUP($A1555,Matches!$A:$AC,9,FALSE),IF($B1555="GW3",VLOOKUP($A1555,Matches!$A:$AC,16,FALSE))))</f>
        <v>Fulham</v>
      </c>
      <c r="D1555" s="6">
        <v>0.63043752364140715</v>
      </c>
      <c r="E1555" s="6">
        <v>0.16797124332314306</v>
      </c>
      <c r="F1555" s="6">
        <v>0.46246628031826409</v>
      </c>
      <c r="G1555" s="3" t="s">
        <v>1</v>
      </c>
      <c r="H1555">
        <v>0.20050125299999999</v>
      </c>
      <c r="I1555">
        <v>0.19047618999999999</v>
      </c>
      <c r="J1555">
        <v>0.23809523799999999</v>
      </c>
      <c r="K1555">
        <v>0.41099476400000001</v>
      </c>
      <c r="L1555">
        <v>0.25</v>
      </c>
      <c r="M1555">
        <v>2.8710184E-2</v>
      </c>
      <c r="N1555" t="e">
        <v>#N/A</v>
      </c>
      <c r="O1555" t="e">
        <v>#N/A</v>
      </c>
    </row>
    <row r="1556" spans="1:15" x14ac:dyDescent="0.25">
      <c r="A1556" t="s">
        <v>9</v>
      </c>
      <c r="B1556" t="s">
        <v>25</v>
      </c>
      <c r="C1556" s="3" t="str">
        <f>IF($B1556="GW1",VLOOKUP($A1556,Matches!$A:$AC,2,FALSE),IF($B1556="GW2",VLOOKUP($A1556,Matches!$A:$AC,9,FALSE),IF($B1556="GW3",VLOOKUP($A1556,Matches!$A:$AC,16,FALSE))))</f>
        <v>Fulham</v>
      </c>
      <c r="D1556" s="6">
        <v>0.63043752364140715</v>
      </c>
      <c r="E1556" s="6">
        <v>0.16797124332314306</v>
      </c>
      <c r="F1556" s="6">
        <v>0.46246628031826409</v>
      </c>
      <c r="G1556" s="3" t="s">
        <v>1</v>
      </c>
      <c r="H1556" t="e">
        <v>#N/A</v>
      </c>
      <c r="I1556" t="e">
        <v>#N/A</v>
      </c>
      <c r="J1556" t="e">
        <v>#N/A</v>
      </c>
      <c r="K1556">
        <v>0.41099476400000001</v>
      </c>
      <c r="L1556">
        <v>0.25</v>
      </c>
      <c r="M1556">
        <v>2.8710184E-2</v>
      </c>
      <c r="N1556" t="e">
        <v>#N/A</v>
      </c>
      <c r="O1556" t="e">
        <v>#N/A</v>
      </c>
    </row>
    <row r="1557" spans="1:15" x14ac:dyDescent="0.25">
      <c r="A1557" t="s">
        <v>9</v>
      </c>
      <c r="B1557" t="s">
        <v>25</v>
      </c>
      <c r="C1557" s="3" t="str">
        <f>IF($B1557="GW1",VLOOKUP($A1557,Matches!$A:$AC,2,FALSE),IF($B1557="GW2",VLOOKUP($A1557,Matches!$A:$AC,9,FALSE),IF($B1557="GW3",VLOOKUP($A1557,Matches!$A:$AC,16,FALSE))))</f>
        <v>Fulham</v>
      </c>
      <c r="D1557" s="6">
        <v>0.63043752364140715</v>
      </c>
      <c r="E1557" s="6">
        <v>0.16797124332314306</v>
      </c>
      <c r="F1557" s="6">
        <v>0.46246628031826409</v>
      </c>
      <c r="G1557" s="3" t="s">
        <v>1</v>
      </c>
      <c r="H1557">
        <v>0.307219662</v>
      </c>
      <c r="I1557">
        <v>0.19047618999999999</v>
      </c>
      <c r="J1557">
        <v>0.19047618999999999</v>
      </c>
      <c r="K1557">
        <v>0.41099476400000001</v>
      </c>
      <c r="L1557">
        <v>0.25</v>
      </c>
      <c r="M1557">
        <v>2.8710184E-2</v>
      </c>
      <c r="N1557" t="e">
        <v>#N/A</v>
      </c>
      <c r="O1557" t="e">
        <v>#N/A</v>
      </c>
    </row>
    <row r="1558" spans="1:15" x14ac:dyDescent="0.25">
      <c r="A1558" t="s">
        <v>9</v>
      </c>
      <c r="B1558" t="s">
        <v>25</v>
      </c>
      <c r="C1558" s="3" t="str">
        <f>IF($B1558="GW1",VLOOKUP($A1558,Matches!$A:$AC,2,FALSE),IF($B1558="GW2",VLOOKUP($A1558,Matches!$A:$AC,9,FALSE),IF($B1558="GW3",VLOOKUP($A1558,Matches!$A:$AC,16,FALSE))))</f>
        <v>Fulham</v>
      </c>
      <c r="D1558" s="6">
        <v>0.63043752364140715</v>
      </c>
      <c r="E1558" s="6">
        <v>0.16797124332314306</v>
      </c>
      <c r="F1558" s="6">
        <v>0.46246628031826409</v>
      </c>
      <c r="G1558" s="3" t="s">
        <v>1</v>
      </c>
      <c r="H1558">
        <v>0.38095238100000001</v>
      </c>
      <c r="I1558">
        <v>0.19047618999999999</v>
      </c>
      <c r="J1558">
        <v>0.15873015900000001</v>
      </c>
      <c r="K1558">
        <v>0.41099476400000001</v>
      </c>
      <c r="L1558">
        <v>0.25</v>
      </c>
      <c r="M1558">
        <v>2.8710184E-2</v>
      </c>
      <c r="N1558" t="e">
        <v>#N/A</v>
      </c>
      <c r="O1558" t="e">
        <v>#N/A</v>
      </c>
    </row>
    <row r="1559" spans="1:15" x14ac:dyDescent="0.25">
      <c r="A1559" t="s">
        <v>9</v>
      </c>
      <c r="B1559" t="s">
        <v>25</v>
      </c>
      <c r="C1559" s="3" t="str">
        <f>IF($B1559="GW1",VLOOKUP($A1559,Matches!$A:$AC,2,FALSE),IF($B1559="GW2",VLOOKUP($A1559,Matches!$A:$AC,9,FALSE),IF($B1559="GW3",VLOOKUP($A1559,Matches!$A:$AC,16,FALSE))))</f>
        <v>Fulham</v>
      </c>
      <c r="D1559" s="6">
        <v>0.63043752364140715</v>
      </c>
      <c r="E1559" s="6">
        <v>0.16797124332314306</v>
      </c>
      <c r="F1559" s="6">
        <v>0.46246628031826409</v>
      </c>
      <c r="G1559" s="3" t="s">
        <v>1</v>
      </c>
      <c r="H1559">
        <v>0.112044818</v>
      </c>
      <c r="I1559">
        <v>9.5238094999999995E-2</v>
      </c>
      <c r="J1559">
        <v>0.29304029300000001</v>
      </c>
      <c r="K1559">
        <v>0.41099476400000001</v>
      </c>
      <c r="L1559">
        <v>0.25</v>
      </c>
      <c r="M1559">
        <v>2.8710184E-2</v>
      </c>
      <c r="N1559" t="e">
        <v>#N/A</v>
      </c>
      <c r="O1559" t="e">
        <v>#N/A</v>
      </c>
    </row>
    <row r="1560" spans="1:15" x14ac:dyDescent="0.25">
      <c r="A1560" t="s">
        <v>9</v>
      </c>
      <c r="B1560" t="s">
        <v>25</v>
      </c>
      <c r="C1560" s="3" t="str">
        <f>IF($B1560="GW1",VLOOKUP($A1560,Matches!$A:$AC,2,FALSE),IF($B1560="GW2",VLOOKUP($A1560,Matches!$A:$AC,9,FALSE),IF($B1560="GW3",VLOOKUP($A1560,Matches!$A:$AC,16,FALSE))))</f>
        <v>Fulham</v>
      </c>
      <c r="D1560" s="6">
        <v>0.63043752364140715</v>
      </c>
      <c r="E1560" s="6">
        <v>0.16797124332314306</v>
      </c>
      <c r="F1560" s="6">
        <v>0.46246628031826409</v>
      </c>
      <c r="G1560" s="3" t="s">
        <v>1</v>
      </c>
      <c r="H1560">
        <v>0.15873015900000001</v>
      </c>
      <c r="I1560">
        <v>0.14652014699999999</v>
      </c>
      <c r="J1560">
        <v>0.21164021199999999</v>
      </c>
      <c r="K1560">
        <v>0.41099476400000001</v>
      </c>
      <c r="L1560">
        <v>0.25</v>
      </c>
      <c r="M1560">
        <v>2.8710184E-2</v>
      </c>
      <c r="N1560" t="e">
        <v>#N/A</v>
      </c>
      <c r="O1560" t="e">
        <v>#N/A</v>
      </c>
    </row>
    <row r="1561" spans="1:15" x14ac:dyDescent="0.25">
      <c r="A1561" t="s">
        <v>9</v>
      </c>
      <c r="B1561" t="s">
        <v>25</v>
      </c>
      <c r="C1561" s="3" t="str">
        <f>IF($B1561="GW1",VLOOKUP($A1561,Matches!$A:$AC,2,FALSE),IF($B1561="GW2",VLOOKUP($A1561,Matches!$A:$AC,9,FALSE),IF($B1561="GW3",VLOOKUP($A1561,Matches!$A:$AC,16,FALSE))))</f>
        <v>Fulham</v>
      </c>
      <c r="D1561" s="6">
        <v>0.63043752364140715</v>
      </c>
      <c r="E1561" s="6">
        <v>0.16797124332314306</v>
      </c>
      <c r="F1561" s="6">
        <v>0.46246628031826409</v>
      </c>
      <c r="G1561" s="3" t="s">
        <v>1</v>
      </c>
      <c r="H1561">
        <v>0.307219662</v>
      </c>
      <c r="I1561">
        <v>0.19047618999999999</v>
      </c>
      <c r="J1561">
        <v>0.19047618999999999</v>
      </c>
      <c r="K1561">
        <v>0.41099476400000001</v>
      </c>
      <c r="L1561">
        <v>0.25</v>
      </c>
      <c r="M1561">
        <v>2.8710184E-2</v>
      </c>
      <c r="N1561" t="e">
        <v>#N/A</v>
      </c>
      <c r="O1561" t="e">
        <v>#N/A</v>
      </c>
    </row>
    <row r="1562" spans="1:15" x14ac:dyDescent="0.25">
      <c r="A1562" t="s">
        <v>9</v>
      </c>
      <c r="B1562" t="s">
        <v>25</v>
      </c>
      <c r="C1562" s="3" t="str">
        <f>IF($B1562="GW1",VLOOKUP($A1562,Matches!$A:$AC,2,FALSE),IF($B1562="GW2",VLOOKUP($A1562,Matches!$A:$AC,9,FALSE),IF($B1562="GW3",VLOOKUP($A1562,Matches!$A:$AC,16,FALSE))))</f>
        <v>Fulham</v>
      </c>
      <c r="D1562" s="6">
        <v>0.63043752364140715</v>
      </c>
      <c r="E1562" s="6">
        <v>0.16797124332314306</v>
      </c>
      <c r="F1562" s="6">
        <v>0.46246628031826409</v>
      </c>
      <c r="G1562" s="3" t="s">
        <v>1</v>
      </c>
      <c r="H1562" t="e">
        <v>#N/A</v>
      </c>
      <c r="I1562" t="e">
        <v>#N/A</v>
      </c>
      <c r="J1562" t="e">
        <v>#N/A</v>
      </c>
      <c r="K1562">
        <v>0.41099476400000001</v>
      </c>
      <c r="L1562">
        <v>0.25</v>
      </c>
      <c r="M1562">
        <v>2.8710184E-2</v>
      </c>
      <c r="N1562" t="e">
        <v>#N/A</v>
      </c>
      <c r="O1562" t="e">
        <v>#N/A</v>
      </c>
    </row>
    <row r="1563" spans="1:15" x14ac:dyDescent="0.25">
      <c r="A1563" t="s">
        <v>9</v>
      </c>
      <c r="B1563" t="s">
        <v>25</v>
      </c>
      <c r="C1563" s="3" t="str">
        <f>IF($B1563="GW1",VLOOKUP($A1563,Matches!$A:$AC,2,FALSE),IF($B1563="GW2",VLOOKUP($A1563,Matches!$A:$AC,9,FALSE),IF($B1563="GW3",VLOOKUP($A1563,Matches!$A:$AC,16,FALSE))))</f>
        <v>Fulham</v>
      </c>
      <c r="D1563" s="6">
        <v>0.63043752364140715</v>
      </c>
      <c r="E1563" s="6">
        <v>0.16797124332314306</v>
      </c>
      <c r="F1563" s="6">
        <v>0.46246628031826409</v>
      </c>
      <c r="G1563" s="3" t="s">
        <v>1</v>
      </c>
      <c r="H1563" t="e">
        <v>#N/A</v>
      </c>
      <c r="I1563" t="e">
        <v>#N/A</v>
      </c>
      <c r="J1563" t="e">
        <v>#N/A</v>
      </c>
      <c r="K1563">
        <v>0.41099476400000001</v>
      </c>
      <c r="L1563">
        <v>0.25</v>
      </c>
      <c r="M1563">
        <v>2.8710184E-2</v>
      </c>
      <c r="N1563" t="e">
        <v>#N/A</v>
      </c>
      <c r="O1563" t="e">
        <v>#N/A</v>
      </c>
    </row>
    <row r="1564" spans="1:15" x14ac:dyDescent="0.25">
      <c r="A1564" t="s">
        <v>9</v>
      </c>
      <c r="B1564" t="s">
        <v>25</v>
      </c>
      <c r="C1564" s="3" t="str">
        <f>IF($B1564="GW1",VLOOKUP($A1564,Matches!$A:$AC,2,FALSE),IF($B1564="GW2",VLOOKUP($A1564,Matches!$A:$AC,9,FALSE),IF($B1564="GW3",VLOOKUP($A1564,Matches!$A:$AC,16,FALSE))))</f>
        <v>Fulham</v>
      </c>
      <c r="D1564" s="6">
        <v>0.63043752364140715</v>
      </c>
      <c r="E1564" s="6">
        <v>0.16797124332314306</v>
      </c>
      <c r="F1564" s="6">
        <v>0.46246628031826409</v>
      </c>
      <c r="G1564" s="3" t="s">
        <v>1</v>
      </c>
      <c r="H1564" t="e">
        <v>#N/A</v>
      </c>
      <c r="I1564" t="e">
        <v>#N/A</v>
      </c>
      <c r="J1564" t="e">
        <v>#N/A</v>
      </c>
      <c r="K1564">
        <v>0.41099476400000001</v>
      </c>
      <c r="L1564">
        <v>0.25</v>
      </c>
      <c r="M1564">
        <v>2.8710184E-2</v>
      </c>
      <c r="N1564" t="e">
        <v>#N/A</v>
      </c>
      <c r="O1564" t="e">
        <v>#N/A</v>
      </c>
    </row>
    <row r="1565" spans="1:15" x14ac:dyDescent="0.25">
      <c r="A1565" t="s">
        <v>9</v>
      </c>
      <c r="B1565" t="s">
        <v>25</v>
      </c>
      <c r="C1565" s="3" t="str">
        <f>IF($B1565="GW1",VLOOKUP($A1565,Matches!$A:$AC,2,FALSE),IF($B1565="GW2",VLOOKUP($A1565,Matches!$A:$AC,9,FALSE),IF($B1565="GW3",VLOOKUP($A1565,Matches!$A:$AC,16,FALSE))))</f>
        <v>Fulham</v>
      </c>
      <c r="D1565" s="6">
        <v>0.63043752364140715</v>
      </c>
      <c r="E1565" s="6">
        <v>0.16797124332314306</v>
      </c>
      <c r="F1565" s="6">
        <v>0.46246628031826409</v>
      </c>
      <c r="G1565" s="3" t="s">
        <v>1</v>
      </c>
      <c r="H1565" t="e">
        <v>#N/A</v>
      </c>
      <c r="I1565" t="e">
        <v>#N/A</v>
      </c>
      <c r="J1565" t="e">
        <v>#N/A</v>
      </c>
      <c r="K1565">
        <v>0.41099476400000001</v>
      </c>
      <c r="L1565">
        <v>0.25</v>
      </c>
      <c r="M1565">
        <v>2.8710184E-2</v>
      </c>
      <c r="N1565" t="e">
        <v>#N/A</v>
      </c>
      <c r="O1565" t="e">
        <v>#N/A</v>
      </c>
    </row>
    <row r="1566" spans="1:15" x14ac:dyDescent="0.25">
      <c r="A1566" t="s">
        <v>9</v>
      </c>
      <c r="B1566" t="s">
        <v>25</v>
      </c>
      <c r="C1566" s="3" t="str">
        <f>IF($B1566="GW1",VLOOKUP($A1566,Matches!$A:$AC,2,FALSE),IF($B1566="GW2",VLOOKUP($A1566,Matches!$A:$AC,9,FALSE),IF($B1566="GW3",VLOOKUP($A1566,Matches!$A:$AC,16,FALSE))))</f>
        <v>Fulham</v>
      </c>
      <c r="D1566" s="6">
        <v>0.63043752364140715</v>
      </c>
      <c r="E1566" s="6">
        <v>0.16797124332314306</v>
      </c>
      <c r="F1566" s="6">
        <v>0.46246628031826409</v>
      </c>
      <c r="G1566" s="3" t="s">
        <v>1</v>
      </c>
      <c r="H1566" t="e">
        <v>#N/A</v>
      </c>
      <c r="I1566" t="e">
        <v>#N/A</v>
      </c>
      <c r="J1566" t="e">
        <v>#N/A</v>
      </c>
      <c r="K1566">
        <v>0.41099476400000001</v>
      </c>
      <c r="L1566">
        <v>0.25</v>
      </c>
      <c r="M1566">
        <v>2.8710184E-2</v>
      </c>
      <c r="N1566" t="e">
        <v>#N/A</v>
      </c>
      <c r="O1566" t="e">
        <v>#N/A</v>
      </c>
    </row>
    <row r="1567" spans="1:15" x14ac:dyDescent="0.25">
      <c r="A1567" t="s">
        <v>9</v>
      </c>
      <c r="B1567" t="s">
        <v>25</v>
      </c>
      <c r="C1567" s="3" t="str">
        <f>IF($B1567="GW1",VLOOKUP($A1567,Matches!$A:$AC,2,FALSE),IF($B1567="GW2",VLOOKUP($A1567,Matches!$A:$AC,9,FALSE),IF($B1567="GW3",VLOOKUP($A1567,Matches!$A:$AC,16,FALSE))))</f>
        <v>Fulham</v>
      </c>
      <c r="D1567" s="6">
        <v>0.63043752364140715</v>
      </c>
      <c r="E1567" s="6">
        <v>0.16797124332314306</v>
      </c>
      <c r="F1567" s="6">
        <v>0.46246628031826409</v>
      </c>
      <c r="G1567" s="3" t="s">
        <v>1</v>
      </c>
      <c r="H1567">
        <v>0.38095238100000001</v>
      </c>
      <c r="I1567">
        <v>0.19047618999999999</v>
      </c>
      <c r="J1567">
        <v>0.19047618999999999</v>
      </c>
      <c r="K1567">
        <v>0.41099476400000001</v>
      </c>
      <c r="L1567">
        <v>0.25</v>
      </c>
      <c r="M1567">
        <v>2.8710184E-2</v>
      </c>
      <c r="N1567" t="e">
        <v>#N/A</v>
      </c>
      <c r="O1567" t="e">
        <v>#N/A</v>
      </c>
    </row>
    <row r="1568" spans="1:15" x14ac:dyDescent="0.25">
      <c r="A1568" t="s">
        <v>9</v>
      </c>
      <c r="B1568" t="s">
        <v>25</v>
      </c>
      <c r="C1568" s="3" t="str">
        <f>IF($B1568="GW1",VLOOKUP($A1568,Matches!$A:$AC,2,FALSE),IF($B1568="GW2",VLOOKUP($A1568,Matches!$A:$AC,9,FALSE),IF($B1568="GW3",VLOOKUP($A1568,Matches!$A:$AC,16,FALSE))))</f>
        <v>Fulham</v>
      </c>
      <c r="D1568" s="6">
        <v>0.63043752364140715</v>
      </c>
      <c r="E1568" s="6">
        <v>0.16797124332314306</v>
      </c>
      <c r="F1568" s="6">
        <v>0.46246628031826409</v>
      </c>
      <c r="G1568" s="3" t="s">
        <v>1</v>
      </c>
      <c r="H1568">
        <v>0.38095238100000001</v>
      </c>
      <c r="I1568">
        <v>0.11904761899999999</v>
      </c>
      <c r="J1568">
        <v>0.23809523799999999</v>
      </c>
      <c r="K1568">
        <v>0.41099476400000001</v>
      </c>
      <c r="L1568">
        <v>0.25</v>
      </c>
      <c r="M1568">
        <v>2.8710184E-2</v>
      </c>
      <c r="N1568" t="e">
        <v>#N/A</v>
      </c>
      <c r="O1568" t="e">
        <v>#N/A</v>
      </c>
    </row>
    <row r="1569" spans="1:15" x14ac:dyDescent="0.25">
      <c r="A1569" t="s">
        <v>9</v>
      </c>
      <c r="B1569" t="s">
        <v>25</v>
      </c>
      <c r="C1569" s="3" t="str">
        <f>IF($B1569="GW1",VLOOKUP($A1569,Matches!$A:$AC,2,FALSE),IF($B1569="GW2",VLOOKUP($A1569,Matches!$A:$AC,9,FALSE),IF($B1569="GW3",VLOOKUP($A1569,Matches!$A:$AC,16,FALSE))))</f>
        <v>Fulham</v>
      </c>
      <c r="D1569" s="6">
        <v>0.63043752364140715</v>
      </c>
      <c r="E1569" s="6">
        <v>0.16797124332314306</v>
      </c>
      <c r="F1569" s="6">
        <v>0.46246628031826409</v>
      </c>
      <c r="G1569" s="3" t="s">
        <v>1</v>
      </c>
      <c r="H1569">
        <v>0.38095238100000001</v>
      </c>
      <c r="I1569">
        <v>0.14652014699999999</v>
      </c>
      <c r="J1569">
        <v>0.253968254</v>
      </c>
      <c r="K1569">
        <v>0.41099476400000001</v>
      </c>
      <c r="L1569">
        <v>0.25</v>
      </c>
      <c r="M1569">
        <v>2.8710184E-2</v>
      </c>
      <c r="N1569" t="e">
        <v>#N/A</v>
      </c>
      <c r="O1569" t="e">
        <v>#N/A</v>
      </c>
    </row>
    <row r="1570" spans="1:15" x14ac:dyDescent="0.25">
      <c r="A1570" t="s">
        <v>9</v>
      </c>
      <c r="B1570" t="s">
        <v>25</v>
      </c>
      <c r="C1570" s="3" t="str">
        <f>IF($B1570="GW1",VLOOKUP($A1570,Matches!$A:$AC,2,FALSE),IF($B1570="GW2",VLOOKUP($A1570,Matches!$A:$AC,9,FALSE),IF($B1570="GW3",VLOOKUP($A1570,Matches!$A:$AC,16,FALSE))))</f>
        <v>Fulham</v>
      </c>
      <c r="D1570" s="6">
        <v>0.63043752364140715</v>
      </c>
      <c r="E1570" s="6">
        <v>0.16797124332314306</v>
      </c>
      <c r="F1570" s="6">
        <v>0.46246628031826409</v>
      </c>
      <c r="G1570" s="3" t="s">
        <v>1</v>
      </c>
      <c r="H1570" t="e">
        <v>#N/A</v>
      </c>
      <c r="I1570" t="e">
        <v>#N/A</v>
      </c>
      <c r="J1570" t="e">
        <v>#N/A</v>
      </c>
      <c r="K1570">
        <v>0.41099476400000001</v>
      </c>
      <c r="L1570">
        <v>0.25</v>
      </c>
      <c r="M1570">
        <v>2.8710184E-2</v>
      </c>
      <c r="N1570" t="e">
        <v>#N/A</v>
      </c>
      <c r="O1570" t="e">
        <v>#N/A</v>
      </c>
    </row>
    <row r="1571" spans="1:15" x14ac:dyDescent="0.25">
      <c r="A1571" t="s">
        <v>10</v>
      </c>
      <c r="B1571" t="s">
        <v>25</v>
      </c>
      <c r="C1571" s="3" t="str">
        <f>IF($B1571="GW1",VLOOKUP($A1571,Matches!$A:$AC,2,FALSE),IF($B1571="GW2",VLOOKUP($A1571,Matches!$A:$AC,9,FALSE),IF($B1571="GW3",VLOOKUP($A1571,Matches!$A:$AC,16,FALSE))))</f>
        <v>Aston Villa</v>
      </c>
      <c r="D1571" s="6">
        <v>0.22422027399717481</v>
      </c>
      <c r="E1571" s="6">
        <v>0.52479664130149561</v>
      </c>
      <c r="F1571" s="6">
        <v>-0.3005763673043208</v>
      </c>
      <c r="G1571" s="3" t="s">
        <v>0</v>
      </c>
      <c r="H1571" t="e">
        <v>#N/A</v>
      </c>
      <c r="I1571" t="e">
        <v>#N/A</v>
      </c>
      <c r="J1571">
        <v>0.126984127</v>
      </c>
      <c r="K1571">
        <v>0.21699819200000001</v>
      </c>
      <c r="L1571">
        <v>0.486486486</v>
      </c>
      <c r="M1571">
        <v>8.7136929000000002E-2</v>
      </c>
      <c r="N1571" t="e">
        <v>#N/A</v>
      </c>
      <c r="O1571" t="e">
        <v>#N/A</v>
      </c>
    </row>
    <row r="1572" spans="1:15" x14ac:dyDescent="0.25">
      <c r="A1572" t="s">
        <v>10</v>
      </c>
      <c r="B1572" t="s">
        <v>25</v>
      </c>
      <c r="C1572" s="3" t="str">
        <f>IF($B1572="GW1",VLOOKUP($A1572,Matches!$A:$AC,2,FALSE),IF($B1572="GW2",VLOOKUP($A1572,Matches!$A:$AC,9,FALSE),IF($B1572="GW3",VLOOKUP($A1572,Matches!$A:$AC,16,FALSE))))</f>
        <v>Aston Villa</v>
      </c>
      <c r="D1572" s="6">
        <v>0.22422027399717481</v>
      </c>
      <c r="E1572" s="6">
        <v>0.52479664130149561</v>
      </c>
      <c r="F1572" s="6">
        <v>-0.3005763673043208</v>
      </c>
      <c r="G1572" s="3" t="s">
        <v>0</v>
      </c>
      <c r="H1572" t="e">
        <v>#N/A</v>
      </c>
      <c r="I1572" t="e">
        <v>#N/A</v>
      </c>
      <c r="J1572" t="e">
        <v>#N/A</v>
      </c>
      <c r="K1572">
        <v>0.21699819200000001</v>
      </c>
      <c r="L1572">
        <v>0.486486486</v>
      </c>
      <c r="M1572">
        <v>8.7136929000000002E-2</v>
      </c>
      <c r="N1572" t="e">
        <v>#N/A</v>
      </c>
      <c r="O1572" t="e">
        <v>#N/A</v>
      </c>
    </row>
    <row r="1573" spans="1:15" x14ac:dyDescent="0.25">
      <c r="A1573" t="s">
        <v>10</v>
      </c>
      <c r="B1573" t="s">
        <v>25</v>
      </c>
      <c r="C1573" s="3" t="str">
        <f>IF($B1573="GW1",VLOOKUP($A1573,Matches!$A:$AC,2,FALSE),IF($B1573="GW2",VLOOKUP($A1573,Matches!$A:$AC,9,FALSE),IF($B1573="GW3",VLOOKUP($A1573,Matches!$A:$AC,16,FALSE))))</f>
        <v>Aston Villa</v>
      </c>
      <c r="D1573" s="6">
        <v>0.22422027399717481</v>
      </c>
      <c r="E1573" s="6">
        <v>0.52479664130149561</v>
      </c>
      <c r="F1573" s="6">
        <v>-0.3005763673043208</v>
      </c>
      <c r="G1573" s="3" t="s">
        <v>0</v>
      </c>
      <c r="H1573" t="e">
        <v>#N/A</v>
      </c>
      <c r="I1573" t="e">
        <v>#N/A</v>
      </c>
      <c r="J1573">
        <v>0.19047618999999999</v>
      </c>
      <c r="K1573">
        <v>0.21699819200000001</v>
      </c>
      <c r="L1573">
        <v>0.486486486</v>
      </c>
      <c r="M1573">
        <v>8.7136929000000002E-2</v>
      </c>
      <c r="N1573" t="e">
        <v>#N/A</v>
      </c>
      <c r="O1573" t="e">
        <v>#N/A</v>
      </c>
    </row>
    <row r="1574" spans="1:15" x14ac:dyDescent="0.25">
      <c r="A1574" t="s">
        <v>10</v>
      </c>
      <c r="B1574" t="s">
        <v>25</v>
      </c>
      <c r="C1574" s="3" t="str">
        <f>IF($B1574="GW1",VLOOKUP($A1574,Matches!$A:$AC,2,FALSE),IF($B1574="GW2",VLOOKUP($A1574,Matches!$A:$AC,9,FALSE),IF($B1574="GW3",VLOOKUP($A1574,Matches!$A:$AC,16,FALSE))))</f>
        <v>Aston Villa</v>
      </c>
      <c r="D1574" s="6">
        <v>0.22422027399717481</v>
      </c>
      <c r="E1574" s="6">
        <v>0.52479664130149561</v>
      </c>
      <c r="F1574" s="6">
        <v>-0.3005763673043208</v>
      </c>
      <c r="G1574" s="3" t="s">
        <v>0</v>
      </c>
      <c r="H1574">
        <v>0.105820106</v>
      </c>
      <c r="I1574">
        <v>0.105820106</v>
      </c>
      <c r="J1574">
        <v>0.23809523799999999</v>
      </c>
      <c r="K1574">
        <v>0.21699819200000001</v>
      </c>
      <c r="L1574">
        <v>0.486486486</v>
      </c>
      <c r="M1574">
        <v>8.7136929000000002E-2</v>
      </c>
      <c r="N1574" t="e">
        <v>#N/A</v>
      </c>
      <c r="O1574" t="e">
        <v>#N/A</v>
      </c>
    </row>
    <row r="1575" spans="1:15" x14ac:dyDescent="0.25">
      <c r="A1575" t="s">
        <v>10</v>
      </c>
      <c r="B1575" t="s">
        <v>25</v>
      </c>
      <c r="C1575" s="3" t="str">
        <f>IF($B1575="GW1",VLOOKUP($A1575,Matches!$A:$AC,2,FALSE),IF($B1575="GW2",VLOOKUP($A1575,Matches!$A:$AC,9,FALSE),IF($B1575="GW3",VLOOKUP($A1575,Matches!$A:$AC,16,FALSE))))</f>
        <v>Aston Villa</v>
      </c>
      <c r="D1575" s="6">
        <v>0.22422027399717481</v>
      </c>
      <c r="E1575" s="6">
        <v>0.52479664130149561</v>
      </c>
      <c r="F1575" s="6">
        <v>-0.3005763673043208</v>
      </c>
      <c r="G1575" s="3" t="s">
        <v>0</v>
      </c>
      <c r="H1575">
        <v>6.3492063000000001E-2</v>
      </c>
      <c r="I1575">
        <v>4.1407867000000001E-2</v>
      </c>
      <c r="J1575">
        <v>0.14652014699999999</v>
      </c>
      <c r="K1575">
        <v>0.21699819200000001</v>
      </c>
      <c r="L1575">
        <v>0.486486486</v>
      </c>
      <c r="M1575">
        <v>8.7136929000000002E-2</v>
      </c>
      <c r="N1575" t="e">
        <v>#N/A</v>
      </c>
      <c r="O1575" t="e">
        <v>#N/A</v>
      </c>
    </row>
    <row r="1576" spans="1:15" x14ac:dyDescent="0.25">
      <c r="A1576" t="s">
        <v>10</v>
      </c>
      <c r="B1576" t="s">
        <v>25</v>
      </c>
      <c r="C1576" s="3" t="str">
        <f>IF($B1576="GW1",VLOOKUP($A1576,Matches!$A:$AC,2,FALSE),IF($B1576="GW2",VLOOKUP($A1576,Matches!$A:$AC,9,FALSE),IF($B1576="GW3",VLOOKUP($A1576,Matches!$A:$AC,16,FALSE))))</f>
        <v>Aston Villa</v>
      </c>
      <c r="D1576" s="6">
        <v>0.22422027399717481</v>
      </c>
      <c r="E1576" s="6">
        <v>0.52479664130149561</v>
      </c>
      <c r="F1576" s="6">
        <v>-0.3005763673043208</v>
      </c>
      <c r="G1576" s="3" t="s">
        <v>0</v>
      </c>
      <c r="H1576">
        <v>5.0125312999999998E-2</v>
      </c>
      <c r="I1576">
        <v>9.5238094999999995E-2</v>
      </c>
      <c r="J1576">
        <v>0.13605442200000001</v>
      </c>
      <c r="K1576">
        <v>0.21699819200000001</v>
      </c>
      <c r="L1576">
        <v>0.486486486</v>
      </c>
      <c r="M1576">
        <v>8.7136929000000002E-2</v>
      </c>
      <c r="N1576" t="e">
        <v>#N/A</v>
      </c>
      <c r="O1576" t="e">
        <v>#N/A</v>
      </c>
    </row>
    <row r="1577" spans="1:15" x14ac:dyDescent="0.25">
      <c r="A1577" t="s">
        <v>10</v>
      </c>
      <c r="B1577" t="s">
        <v>25</v>
      </c>
      <c r="C1577" s="3" t="str">
        <f>IF($B1577="GW1",VLOOKUP($A1577,Matches!$A:$AC,2,FALSE),IF($B1577="GW2",VLOOKUP($A1577,Matches!$A:$AC,9,FALSE),IF($B1577="GW3",VLOOKUP($A1577,Matches!$A:$AC,16,FALSE))))</f>
        <v>Aston Villa</v>
      </c>
      <c r="D1577" s="6">
        <v>0.22422027399717481</v>
      </c>
      <c r="E1577" s="6">
        <v>0.52479664130149561</v>
      </c>
      <c r="F1577" s="6">
        <v>-0.3005763673043208</v>
      </c>
      <c r="G1577" s="3" t="s">
        <v>0</v>
      </c>
      <c r="H1577">
        <v>6.3492063000000001E-2</v>
      </c>
      <c r="I1577">
        <v>0.11904761899999999</v>
      </c>
      <c r="J1577">
        <v>0.23809523799999999</v>
      </c>
      <c r="K1577">
        <v>0.21699819200000001</v>
      </c>
      <c r="L1577">
        <v>0.486486486</v>
      </c>
      <c r="M1577">
        <v>8.7136929000000002E-2</v>
      </c>
      <c r="N1577" t="e">
        <v>#N/A</v>
      </c>
      <c r="O1577" t="e">
        <v>#N/A</v>
      </c>
    </row>
    <row r="1578" spans="1:15" x14ac:dyDescent="0.25">
      <c r="A1578" t="s">
        <v>10</v>
      </c>
      <c r="B1578" t="s">
        <v>25</v>
      </c>
      <c r="C1578" s="3" t="str">
        <f>IF($B1578="GW1",VLOOKUP($A1578,Matches!$A:$AC,2,FALSE),IF($B1578="GW2",VLOOKUP($A1578,Matches!$A:$AC,9,FALSE),IF($B1578="GW3",VLOOKUP($A1578,Matches!$A:$AC,16,FALSE))))</f>
        <v>Aston Villa</v>
      </c>
      <c r="D1578" s="6">
        <v>0.22422027399717481</v>
      </c>
      <c r="E1578" s="6">
        <v>0.52479664130149561</v>
      </c>
      <c r="F1578" s="6">
        <v>-0.3005763673043208</v>
      </c>
      <c r="G1578" s="3" t="s">
        <v>0</v>
      </c>
      <c r="H1578">
        <v>6.3492063000000001E-2</v>
      </c>
      <c r="I1578">
        <v>2.8011204000000001E-2</v>
      </c>
      <c r="J1578">
        <v>0.14652014699999999</v>
      </c>
      <c r="K1578">
        <v>0.21699819200000001</v>
      </c>
      <c r="L1578">
        <v>0.486486486</v>
      </c>
      <c r="M1578">
        <v>8.7136929000000002E-2</v>
      </c>
      <c r="N1578" t="e">
        <v>#N/A</v>
      </c>
      <c r="O1578" t="e">
        <v>#N/A</v>
      </c>
    </row>
    <row r="1579" spans="1:15" x14ac:dyDescent="0.25">
      <c r="A1579" t="s">
        <v>10</v>
      </c>
      <c r="B1579" t="s">
        <v>25</v>
      </c>
      <c r="C1579" s="3" t="str">
        <f>IF($B1579="GW1",VLOOKUP($A1579,Matches!$A:$AC,2,FALSE),IF($B1579="GW2",VLOOKUP($A1579,Matches!$A:$AC,9,FALSE),IF($B1579="GW3",VLOOKUP($A1579,Matches!$A:$AC,16,FALSE))))</f>
        <v>Aston Villa</v>
      </c>
      <c r="D1579" s="6">
        <v>0.22422027399717481</v>
      </c>
      <c r="E1579" s="6">
        <v>0.52479664130149561</v>
      </c>
      <c r="F1579" s="6">
        <v>-0.3005763673043208</v>
      </c>
      <c r="G1579" s="3" t="s">
        <v>0</v>
      </c>
      <c r="H1579">
        <v>6.3492063000000001E-2</v>
      </c>
      <c r="I1579">
        <v>2.8011204000000001E-2</v>
      </c>
      <c r="J1579">
        <v>0.14652014699999999</v>
      </c>
      <c r="K1579">
        <v>0.21699819200000001</v>
      </c>
      <c r="L1579">
        <v>0.486486486</v>
      </c>
      <c r="M1579">
        <v>8.7136929000000002E-2</v>
      </c>
      <c r="N1579" t="e">
        <v>#N/A</v>
      </c>
      <c r="O1579" t="e">
        <v>#N/A</v>
      </c>
    </row>
    <row r="1580" spans="1:15" x14ac:dyDescent="0.25">
      <c r="A1580" t="s">
        <v>10</v>
      </c>
      <c r="B1580" t="s">
        <v>25</v>
      </c>
      <c r="C1580" s="3" t="str">
        <f>IF($B1580="GW1",VLOOKUP($A1580,Matches!$A:$AC,2,FALSE),IF($B1580="GW2",VLOOKUP($A1580,Matches!$A:$AC,9,FALSE),IF($B1580="GW3",VLOOKUP($A1580,Matches!$A:$AC,16,FALSE))))</f>
        <v>Aston Villa</v>
      </c>
      <c r="D1580" s="6">
        <v>0.22422027399717481</v>
      </c>
      <c r="E1580" s="6">
        <v>0.52479664130149561</v>
      </c>
      <c r="F1580" s="6">
        <v>-0.3005763673043208</v>
      </c>
      <c r="G1580" s="3" t="s">
        <v>0</v>
      </c>
      <c r="H1580" t="e">
        <v>#N/A</v>
      </c>
      <c r="I1580" t="e">
        <v>#N/A</v>
      </c>
      <c r="J1580" t="e">
        <v>#N/A</v>
      </c>
      <c r="K1580">
        <v>0.21699819200000001</v>
      </c>
      <c r="L1580">
        <v>0.486486486</v>
      </c>
      <c r="M1580">
        <v>8.7136929000000002E-2</v>
      </c>
      <c r="N1580" t="e">
        <v>#N/A</v>
      </c>
      <c r="O1580" t="e">
        <v>#N/A</v>
      </c>
    </row>
    <row r="1581" spans="1:15" x14ac:dyDescent="0.25">
      <c r="A1581" t="s">
        <v>10</v>
      </c>
      <c r="B1581" t="s">
        <v>25</v>
      </c>
      <c r="C1581" s="3" t="str">
        <f>IF($B1581="GW1",VLOOKUP($A1581,Matches!$A:$AC,2,FALSE),IF($B1581="GW2",VLOOKUP($A1581,Matches!$A:$AC,9,FALSE),IF($B1581="GW3",VLOOKUP($A1581,Matches!$A:$AC,16,FALSE))))</f>
        <v>Aston Villa</v>
      </c>
      <c r="D1581" s="6">
        <v>0.22422027399717481</v>
      </c>
      <c r="E1581" s="6">
        <v>0.52479664130149561</v>
      </c>
      <c r="F1581" s="6">
        <v>-0.3005763673043208</v>
      </c>
      <c r="G1581" s="3" t="s">
        <v>0</v>
      </c>
      <c r="H1581">
        <v>4.1407867000000001E-2</v>
      </c>
      <c r="I1581">
        <v>5.0125312999999998E-2</v>
      </c>
      <c r="J1581">
        <v>0.14652014699999999</v>
      </c>
      <c r="K1581">
        <v>0.21699819200000001</v>
      </c>
      <c r="L1581">
        <v>0.486486486</v>
      </c>
      <c r="M1581">
        <v>8.7136929000000002E-2</v>
      </c>
      <c r="N1581" t="e">
        <v>#N/A</v>
      </c>
      <c r="O1581" t="e">
        <v>#N/A</v>
      </c>
    </row>
    <row r="1582" spans="1:15" x14ac:dyDescent="0.25">
      <c r="A1582" t="s">
        <v>10</v>
      </c>
      <c r="B1582" t="s">
        <v>25</v>
      </c>
      <c r="C1582" s="3" t="str">
        <f>IF($B1582="GW1",VLOOKUP($A1582,Matches!$A:$AC,2,FALSE),IF($B1582="GW2",VLOOKUP($A1582,Matches!$A:$AC,9,FALSE),IF($B1582="GW3",VLOOKUP($A1582,Matches!$A:$AC,16,FALSE))))</f>
        <v>Aston Villa</v>
      </c>
      <c r="D1582" s="6">
        <v>0.22422027399717481</v>
      </c>
      <c r="E1582" s="6">
        <v>0.52479664130149561</v>
      </c>
      <c r="F1582" s="6">
        <v>-0.3005763673043208</v>
      </c>
      <c r="G1582" s="3" t="s">
        <v>0</v>
      </c>
      <c r="H1582" t="e">
        <v>#N/A</v>
      </c>
      <c r="I1582" t="e">
        <v>#N/A</v>
      </c>
      <c r="J1582" t="e">
        <v>#N/A</v>
      </c>
      <c r="K1582">
        <v>0.21699819200000001</v>
      </c>
      <c r="L1582">
        <v>0.486486486</v>
      </c>
      <c r="M1582">
        <v>8.7136929000000002E-2</v>
      </c>
      <c r="N1582" t="e">
        <v>#N/A</v>
      </c>
      <c r="O1582" t="e">
        <v>#N/A</v>
      </c>
    </row>
    <row r="1583" spans="1:15" x14ac:dyDescent="0.25">
      <c r="A1583" t="s">
        <v>10</v>
      </c>
      <c r="B1583" t="s">
        <v>25</v>
      </c>
      <c r="C1583" s="3" t="str">
        <f>IF($B1583="GW1",VLOOKUP($A1583,Matches!$A:$AC,2,FALSE),IF($B1583="GW2",VLOOKUP($A1583,Matches!$A:$AC,9,FALSE),IF($B1583="GW3",VLOOKUP($A1583,Matches!$A:$AC,16,FALSE))))</f>
        <v>Aston Villa</v>
      </c>
      <c r="D1583" s="6">
        <v>0.22422027399717481</v>
      </c>
      <c r="E1583" s="6">
        <v>0.52479664130149561</v>
      </c>
      <c r="F1583" s="6">
        <v>-0.3005763673043208</v>
      </c>
      <c r="G1583" s="3" t="s">
        <v>0</v>
      </c>
      <c r="H1583" t="e">
        <v>#N/A</v>
      </c>
      <c r="I1583" t="e">
        <v>#N/A</v>
      </c>
      <c r="J1583" t="e">
        <v>#N/A</v>
      </c>
      <c r="K1583">
        <v>0.21699819200000001</v>
      </c>
      <c r="L1583">
        <v>0.486486486</v>
      </c>
      <c r="M1583">
        <v>8.7136929000000002E-2</v>
      </c>
      <c r="N1583" t="e">
        <v>#N/A</v>
      </c>
      <c r="O1583" t="e">
        <v>#N/A</v>
      </c>
    </row>
    <row r="1584" spans="1:15" x14ac:dyDescent="0.25">
      <c r="A1584" t="s">
        <v>10</v>
      </c>
      <c r="B1584" t="s">
        <v>25</v>
      </c>
      <c r="C1584" s="3" t="str">
        <f>IF($B1584="GW1",VLOOKUP($A1584,Matches!$A:$AC,2,FALSE),IF($B1584="GW2",VLOOKUP($A1584,Matches!$A:$AC,9,FALSE),IF($B1584="GW3",VLOOKUP($A1584,Matches!$A:$AC,16,FALSE))))</f>
        <v>Aston Villa</v>
      </c>
      <c r="D1584" s="6">
        <v>0.22422027399717481</v>
      </c>
      <c r="E1584" s="6">
        <v>0.52479664130149561</v>
      </c>
      <c r="F1584" s="6">
        <v>-0.3005763673043208</v>
      </c>
      <c r="G1584" s="3" t="s">
        <v>0</v>
      </c>
      <c r="H1584">
        <v>0.21994941200000001</v>
      </c>
      <c r="I1584">
        <v>0.13605442200000001</v>
      </c>
      <c r="J1584">
        <v>9.5238094999999995E-2</v>
      </c>
      <c r="K1584">
        <v>0.21699819200000001</v>
      </c>
      <c r="L1584">
        <v>0.486486486</v>
      </c>
      <c r="M1584">
        <v>8.7136929000000002E-2</v>
      </c>
      <c r="N1584" t="e">
        <v>#N/A</v>
      </c>
      <c r="O1584" t="e">
        <v>#N/A</v>
      </c>
    </row>
    <row r="1585" spans="1:15" x14ac:dyDescent="0.25">
      <c r="A1585" t="s">
        <v>10</v>
      </c>
      <c r="B1585" t="s">
        <v>25</v>
      </c>
      <c r="C1585" s="3" t="str">
        <f>IF($B1585="GW1",VLOOKUP($A1585,Matches!$A:$AC,2,FALSE),IF($B1585="GW2",VLOOKUP($A1585,Matches!$A:$AC,9,FALSE),IF($B1585="GW3",VLOOKUP($A1585,Matches!$A:$AC,16,FALSE))))</f>
        <v>Aston Villa</v>
      </c>
      <c r="D1585" s="6">
        <v>0.22422027399717481</v>
      </c>
      <c r="E1585" s="6">
        <v>0.52479664130149561</v>
      </c>
      <c r="F1585" s="6">
        <v>-0.3005763673043208</v>
      </c>
      <c r="G1585" s="3" t="s">
        <v>0</v>
      </c>
      <c r="H1585">
        <v>0.20050125299999999</v>
      </c>
      <c r="I1585">
        <v>0.11904761899999999</v>
      </c>
      <c r="J1585">
        <v>0.112044818</v>
      </c>
      <c r="K1585">
        <v>0.21699819200000001</v>
      </c>
      <c r="L1585">
        <v>0.486486486</v>
      </c>
      <c r="M1585">
        <v>8.7136929000000002E-2</v>
      </c>
      <c r="N1585" t="e">
        <v>#N/A</v>
      </c>
      <c r="O1585" t="e">
        <v>#N/A</v>
      </c>
    </row>
    <row r="1586" spans="1:15" x14ac:dyDescent="0.25">
      <c r="A1586" t="s">
        <v>10</v>
      </c>
      <c r="B1586" t="s">
        <v>25</v>
      </c>
      <c r="C1586" s="3" t="str">
        <f>IF($B1586="GW1",VLOOKUP($A1586,Matches!$A:$AC,2,FALSE),IF($B1586="GW2",VLOOKUP($A1586,Matches!$A:$AC,9,FALSE),IF($B1586="GW3",VLOOKUP($A1586,Matches!$A:$AC,16,FALSE))))</f>
        <v>Aston Villa</v>
      </c>
      <c r="D1586" s="6">
        <v>0.22422027399717481</v>
      </c>
      <c r="E1586" s="6">
        <v>0.52479664130149561</v>
      </c>
      <c r="F1586" s="6">
        <v>-0.3005763673043208</v>
      </c>
      <c r="G1586" s="3" t="s">
        <v>0</v>
      </c>
      <c r="H1586" t="e">
        <v>#N/A</v>
      </c>
      <c r="I1586" t="e">
        <v>#N/A</v>
      </c>
      <c r="J1586" t="e">
        <v>#N/A</v>
      </c>
      <c r="K1586">
        <v>0.21699819200000001</v>
      </c>
      <c r="L1586">
        <v>0.486486486</v>
      </c>
      <c r="M1586">
        <v>8.7136929000000002E-2</v>
      </c>
      <c r="N1586" t="e">
        <v>#N/A</v>
      </c>
      <c r="O1586" t="e">
        <v>#N/A</v>
      </c>
    </row>
    <row r="1587" spans="1:15" x14ac:dyDescent="0.25">
      <c r="A1587" t="s">
        <v>10</v>
      </c>
      <c r="B1587" t="s">
        <v>25</v>
      </c>
      <c r="C1587" s="3" t="str">
        <f>IF($B1587="GW1",VLOOKUP($A1587,Matches!$A:$AC,2,FALSE),IF($B1587="GW2",VLOOKUP($A1587,Matches!$A:$AC,9,FALSE),IF($B1587="GW3",VLOOKUP($A1587,Matches!$A:$AC,16,FALSE))))</f>
        <v>Aston Villa</v>
      </c>
      <c r="D1587" s="6">
        <v>0.22422027399717481</v>
      </c>
      <c r="E1587" s="6">
        <v>0.52479664130149561</v>
      </c>
      <c r="F1587" s="6">
        <v>-0.3005763673043208</v>
      </c>
      <c r="G1587" s="3" t="s">
        <v>0</v>
      </c>
      <c r="H1587">
        <v>0.15873015900000001</v>
      </c>
      <c r="I1587">
        <v>0.105820106</v>
      </c>
      <c r="J1587">
        <v>0.19047618999999999</v>
      </c>
      <c r="K1587">
        <v>0.21699819200000001</v>
      </c>
      <c r="L1587">
        <v>0.486486486</v>
      </c>
      <c r="M1587">
        <v>8.7136929000000002E-2</v>
      </c>
      <c r="N1587" t="e">
        <v>#N/A</v>
      </c>
      <c r="O1587" t="e">
        <v>#N/A</v>
      </c>
    </row>
    <row r="1588" spans="1:15" x14ac:dyDescent="0.25">
      <c r="A1588" t="s">
        <v>10</v>
      </c>
      <c r="B1588" t="s">
        <v>25</v>
      </c>
      <c r="C1588" s="3" t="str">
        <f>IF($B1588="GW1",VLOOKUP($A1588,Matches!$A:$AC,2,FALSE),IF($B1588="GW2",VLOOKUP($A1588,Matches!$A:$AC,9,FALSE),IF($B1588="GW3",VLOOKUP($A1588,Matches!$A:$AC,16,FALSE))))</f>
        <v>Aston Villa</v>
      </c>
      <c r="D1588" s="6">
        <v>0.22422027399717481</v>
      </c>
      <c r="E1588" s="6">
        <v>0.52479664130149561</v>
      </c>
      <c r="F1588" s="6">
        <v>-0.3005763673043208</v>
      </c>
      <c r="G1588" s="3" t="s">
        <v>0</v>
      </c>
      <c r="H1588">
        <v>8.6580087E-2</v>
      </c>
      <c r="I1588">
        <v>8.6580087E-2</v>
      </c>
      <c r="J1588">
        <v>0.20050125299999999</v>
      </c>
      <c r="K1588">
        <v>0.21699819200000001</v>
      </c>
      <c r="L1588">
        <v>0.486486486</v>
      </c>
      <c r="M1588">
        <v>8.7136929000000002E-2</v>
      </c>
      <c r="N1588" t="e">
        <v>#N/A</v>
      </c>
      <c r="O1588" t="e">
        <v>#N/A</v>
      </c>
    </row>
    <row r="1589" spans="1:15" x14ac:dyDescent="0.25">
      <c r="A1589" t="s">
        <v>10</v>
      </c>
      <c r="B1589" t="s">
        <v>25</v>
      </c>
      <c r="C1589" s="3" t="str">
        <f>IF($B1589="GW1",VLOOKUP($A1589,Matches!$A:$AC,2,FALSE),IF($B1589="GW2",VLOOKUP($A1589,Matches!$A:$AC,9,FALSE),IF($B1589="GW3",VLOOKUP($A1589,Matches!$A:$AC,16,FALSE))))</f>
        <v>Aston Villa</v>
      </c>
      <c r="D1589" s="6">
        <v>0.22422027399717481</v>
      </c>
      <c r="E1589" s="6">
        <v>0.52479664130149561</v>
      </c>
      <c r="F1589" s="6">
        <v>-0.3005763673043208</v>
      </c>
      <c r="G1589" s="3" t="s">
        <v>0</v>
      </c>
      <c r="H1589">
        <v>0.15873015900000001</v>
      </c>
      <c r="I1589">
        <v>0.11904761899999999</v>
      </c>
      <c r="J1589">
        <v>0.14652014699999999</v>
      </c>
      <c r="K1589">
        <v>0.21699819200000001</v>
      </c>
      <c r="L1589">
        <v>0.486486486</v>
      </c>
      <c r="M1589">
        <v>8.7136929000000002E-2</v>
      </c>
      <c r="N1589" t="e">
        <v>#N/A</v>
      </c>
      <c r="O1589" t="e">
        <v>#N/A</v>
      </c>
    </row>
    <row r="1590" spans="1:15" x14ac:dyDescent="0.25">
      <c r="A1590" t="s">
        <v>10</v>
      </c>
      <c r="B1590" t="s">
        <v>25</v>
      </c>
      <c r="C1590" s="3" t="str">
        <f>IF($B1590="GW1",VLOOKUP($A1590,Matches!$A:$AC,2,FALSE),IF($B1590="GW2",VLOOKUP($A1590,Matches!$A:$AC,9,FALSE),IF($B1590="GW3",VLOOKUP($A1590,Matches!$A:$AC,16,FALSE))))</f>
        <v>Aston Villa</v>
      </c>
      <c r="D1590" s="6">
        <v>0.22422027399717481</v>
      </c>
      <c r="E1590" s="6">
        <v>0.52479664130149561</v>
      </c>
      <c r="F1590" s="6">
        <v>-0.3005763673043208</v>
      </c>
      <c r="G1590" s="3" t="s">
        <v>0</v>
      </c>
      <c r="H1590">
        <v>8.6580087E-2</v>
      </c>
      <c r="I1590">
        <v>7.3260072999999995E-2</v>
      </c>
      <c r="J1590">
        <v>0.31746031699999999</v>
      </c>
      <c r="K1590">
        <v>0.21699819200000001</v>
      </c>
      <c r="L1590">
        <v>0.486486486</v>
      </c>
      <c r="M1590">
        <v>8.7136929000000002E-2</v>
      </c>
      <c r="N1590" t="e">
        <v>#N/A</v>
      </c>
      <c r="O1590" t="e">
        <v>#N/A</v>
      </c>
    </row>
    <row r="1591" spans="1:15" x14ac:dyDescent="0.25">
      <c r="A1591" t="s">
        <v>10</v>
      </c>
      <c r="B1591" t="s">
        <v>25</v>
      </c>
      <c r="C1591" s="3" t="str">
        <f>IF($B1591="GW1",VLOOKUP($A1591,Matches!$A:$AC,2,FALSE),IF($B1591="GW2",VLOOKUP($A1591,Matches!$A:$AC,9,FALSE),IF($B1591="GW3",VLOOKUP($A1591,Matches!$A:$AC,16,FALSE))))</f>
        <v>Aston Villa</v>
      </c>
      <c r="D1591" s="6">
        <v>0.22422027399717481</v>
      </c>
      <c r="E1591" s="6">
        <v>0.52479664130149561</v>
      </c>
      <c r="F1591" s="6">
        <v>-0.3005763673043208</v>
      </c>
      <c r="G1591" s="3" t="s">
        <v>0</v>
      </c>
      <c r="H1591">
        <v>8.6580087E-2</v>
      </c>
      <c r="I1591">
        <v>8.6580087E-2</v>
      </c>
      <c r="J1591">
        <v>0.19047618999999999</v>
      </c>
      <c r="K1591">
        <v>0.21699819200000001</v>
      </c>
      <c r="L1591">
        <v>0.486486486</v>
      </c>
      <c r="M1591">
        <v>8.7136929000000002E-2</v>
      </c>
      <c r="N1591" t="e">
        <v>#N/A</v>
      </c>
      <c r="O1591" t="e">
        <v>#N/A</v>
      </c>
    </row>
    <row r="1592" spans="1:15" x14ac:dyDescent="0.25">
      <c r="A1592" t="s">
        <v>10</v>
      </c>
      <c r="B1592" t="s">
        <v>25</v>
      </c>
      <c r="C1592" s="3" t="str">
        <f>IF($B1592="GW1",VLOOKUP($A1592,Matches!$A:$AC,2,FALSE),IF($B1592="GW2",VLOOKUP($A1592,Matches!$A:$AC,9,FALSE),IF($B1592="GW3",VLOOKUP($A1592,Matches!$A:$AC,16,FALSE))))</f>
        <v>Aston Villa</v>
      </c>
      <c r="D1592" s="6">
        <v>0.22422027399717481</v>
      </c>
      <c r="E1592" s="6">
        <v>0.52479664130149561</v>
      </c>
      <c r="F1592" s="6">
        <v>-0.3005763673043208</v>
      </c>
      <c r="G1592" s="3" t="s">
        <v>0</v>
      </c>
      <c r="H1592" t="e">
        <v>#N/A</v>
      </c>
      <c r="I1592" t="e">
        <v>#N/A</v>
      </c>
      <c r="J1592" t="e">
        <v>#N/A</v>
      </c>
      <c r="K1592">
        <v>0.21699819200000001</v>
      </c>
      <c r="L1592">
        <v>0.486486486</v>
      </c>
      <c r="M1592">
        <v>8.7136929000000002E-2</v>
      </c>
      <c r="N1592" t="e">
        <v>#N/A</v>
      </c>
      <c r="O1592" t="e">
        <v>#N/A</v>
      </c>
    </row>
    <row r="1593" spans="1:15" x14ac:dyDescent="0.25">
      <c r="A1593" t="s">
        <v>10</v>
      </c>
      <c r="B1593" t="s">
        <v>25</v>
      </c>
      <c r="C1593" s="3" t="str">
        <f>IF($B1593="GW1",VLOOKUP($A1593,Matches!$A:$AC,2,FALSE),IF($B1593="GW2",VLOOKUP($A1593,Matches!$A:$AC,9,FALSE),IF($B1593="GW3",VLOOKUP($A1593,Matches!$A:$AC,16,FALSE))))</f>
        <v>Aston Villa</v>
      </c>
      <c r="D1593" s="6">
        <v>0.22422027399717481</v>
      </c>
      <c r="E1593" s="6">
        <v>0.52479664130149561</v>
      </c>
      <c r="F1593" s="6">
        <v>-0.3005763673043208</v>
      </c>
      <c r="G1593" s="3" t="s">
        <v>0</v>
      </c>
      <c r="H1593" t="e">
        <v>#N/A</v>
      </c>
      <c r="I1593" t="e">
        <v>#N/A</v>
      </c>
      <c r="J1593" t="e">
        <v>#N/A</v>
      </c>
      <c r="K1593">
        <v>0.21699819200000001</v>
      </c>
      <c r="L1593">
        <v>0.486486486</v>
      </c>
      <c r="M1593">
        <v>8.7136929000000002E-2</v>
      </c>
      <c r="N1593" t="e">
        <v>#N/A</v>
      </c>
      <c r="O1593" t="e">
        <v>#N/A</v>
      </c>
    </row>
    <row r="1594" spans="1:15" x14ac:dyDescent="0.25">
      <c r="A1594" t="s">
        <v>10</v>
      </c>
      <c r="B1594" t="s">
        <v>25</v>
      </c>
      <c r="C1594" s="3" t="str">
        <f>IF($B1594="GW1",VLOOKUP($A1594,Matches!$A:$AC,2,FALSE),IF($B1594="GW2",VLOOKUP($A1594,Matches!$A:$AC,9,FALSE),IF($B1594="GW3",VLOOKUP($A1594,Matches!$A:$AC,16,FALSE))))</f>
        <v>Aston Villa</v>
      </c>
      <c r="D1594" s="6">
        <v>0.22422027399717481</v>
      </c>
      <c r="E1594" s="6">
        <v>0.52479664130149561</v>
      </c>
      <c r="F1594" s="6">
        <v>-0.3005763673043208</v>
      </c>
      <c r="G1594" s="3" t="s">
        <v>0</v>
      </c>
      <c r="H1594">
        <v>0.105820106</v>
      </c>
      <c r="I1594">
        <v>0.11904761899999999</v>
      </c>
      <c r="J1594">
        <v>0.20050125299999999</v>
      </c>
      <c r="K1594">
        <v>0.21699819200000001</v>
      </c>
      <c r="L1594">
        <v>0.486486486</v>
      </c>
      <c r="M1594">
        <v>8.7136929000000002E-2</v>
      </c>
      <c r="N1594" t="e">
        <v>#N/A</v>
      </c>
      <c r="O1594" t="e">
        <v>#N/A</v>
      </c>
    </row>
    <row r="1595" spans="1:15" x14ac:dyDescent="0.25">
      <c r="A1595" t="s">
        <v>10</v>
      </c>
      <c r="B1595" t="s">
        <v>25</v>
      </c>
      <c r="C1595" s="3" t="str">
        <f>IF($B1595="GW1",VLOOKUP($A1595,Matches!$A:$AC,2,FALSE),IF($B1595="GW2",VLOOKUP($A1595,Matches!$A:$AC,9,FALSE),IF($B1595="GW3",VLOOKUP($A1595,Matches!$A:$AC,16,FALSE))))</f>
        <v>Aston Villa</v>
      </c>
      <c r="D1595" s="6">
        <v>0.22422027399717481</v>
      </c>
      <c r="E1595" s="6">
        <v>0.52479664130149561</v>
      </c>
      <c r="F1595" s="6">
        <v>-0.3005763673043208</v>
      </c>
      <c r="G1595" s="3" t="s">
        <v>0</v>
      </c>
      <c r="H1595" t="e">
        <v>#N/A</v>
      </c>
      <c r="I1595" t="e">
        <v>#N/A</v>
      </c>
      <c r="J1595" t="e">
        <v>#N/A</v>
      </c>
      <c r="K1595">
        <v>0.21699819200000001</v>
      </c>
      <c r="L1595">
        <v>0.486486486</v>
      </c>
      <c r="M1595">
        <v>8.7136929000000002E-2</v>
      </c>
      <c r="N1595" t="e">
        <v>#N/A</v>
      </c>
      <c r="O1595" t="e">
        <v>#N/A</v>
      </c>
    </row>
    <row r="1596" spans="1:15" x14ac:dyDescent="0.25">
      <c r="A1596" t="s">
        <v>10</v>
      </c>
      <c r="B1596" t="s">
        <v>25</v>
      </c>
      <c r="C1596" s="3" t="str">
        <f>IF($B1596="GW1",VLOOKUP($A1596,Matches!$A:$AC,2,FALSE),IF($B1596="GW2",VLOOKUP($A1596,Matches!$A:$AC,9,FALSE),IF($B1596="GW3",VLOOKUP($A1596,Matches!$A:$AC,16,FALSE))))</f>
        <v>Aston Villa</v>
      </c>
      <c r="D1596" s="6">
        <v>0.22422027399717481</v>
      </c>
      <c r="E1596" s="6">
        <v>0.52479664130149561</v>
      </c>
      <c r="F1596" s="6">
        <v>-0.3005763673043208</v>
      </c>
      <c r="G1596" s="3" t="s">
        <v>0</v>
      </c>
      <c r="H1596">
        <v>0.19047618999999999</v>
      </c>
      <c r="I1596">
        <v>0.11904761899999999</v>
      </c>
      <c r="J1596">
        <v>0.14652014699999999</v>
      </c>
      <c r="K1596">
        <v>0.21699819200000001</v>
      </c>
      <c r="L1596">
        <v>0.486486486</v>
      </c>
      <c r="M1596">
        <v>8.7136929000000002E-2</v>
      </c>
      <c r="N1596" t="e">
        <v>#N/A</v>
      </c>
      <c r="O1596" t="e">
        <v>#N/A</v>
      </c>
    </row>
    <row r="1597" spans="1:15" x14ac:dyDescent="0.25">
      <c r="A1597" t="s">
        <v>10</v>
      </c>
      <c r="B1597" t="s">
        <v>25</v>
      </c>
      <c r="C1597" s="3" t="str">
        <f>IF($B1597="GW1",VLOOKUP($A1597,Matches!$A:$AC,2,FALSE),IF($B1597="GW2",VLOOKUP($A1597,Matches!$A:$AC,9,FALSE),IF($B1597="GW3",VLOOKUP($A1597,Matches!$A:$AC,16,FALSE))))</f>
        <v>Aston Villa</v>
      </c>
      <c r="D1597" s="6">
        <v>0.22422027399717481</v>
      </c>
      <c r="E1597" s="6">
        <v>0.52479664130149561</v>
      </c>
      <c r="F1597" s="6">
        <v>-0.3005763673043208</v>
      </c>
      <c r="G1597" s="3" t="s">
        <v>0</v>
      </c>
      <c r="H1597" t="e">
        <v>#N/A</v>
      </c>
      <c r="I1597" t="e">
        <v>#N/A</v>
      </c>
      <c r="J1597" t="e">
        <v>#N/A</v>
      </c>
      <c r="K1597">
        <v>0.21699819200000001</v>
      </c>
      <c r="L1597">
        <v>0.486486486</v>
      </c>
      <c r="M1597">
        <v>8.7136929000000002E-2</v>
      </c>
      <c r="N1597" t="e">
        <v>#N/A</v>
      </c>
      <c r="O1597" t="e">
        <v>#N/A</v>
      </c>
    </row>
    <row r="1598" spans="1:15" x14ac:dyDescent="0.25">
      <c r="A1598" t="s">
        <v>10</v>
      </c>
      <c r="B1598" t="s">
        <v>25</v>
      </c>
      <c r="C1598" s="3" t="str">
        <f>IF($B1598="GW1",VLOOKUP($A1598,Matches!$A:$AC,2,FALSE),IF($B1598="GW2",VLOOKUP($A1598,Matches!$A:$AC,9,FALSE),IF($B1598="GW3",VLOOKUP($A1598,Matches!$A:$AC,16,FALSE))))</f>
        <v>Aston Villa</v>
      </c>
      <c r="D1598" s="6">
        <v>0.22422027399717481</v>
      </c>
      <c r="E1598" s="6">
        <v>0.52479664130149561</v>
      </c>
      <c r="F1598" s="6">
        <v>-0.3005763673043208</v>
      </c>
      <c r="G1598" s="3" t="s">
        <v>0</v>
      </c>
      <c r="H1598" t="e">
        <v>#N/A</v>
      </c>
      <c r="I1598" t="e">
        <v>#N/A</v>
      </c>
      <c r="J1598" t="e">
        <v>#N/A</v>
      </c>
      <c r="K1598">
        <v>0.21699819200000001</v>
      </c>
      <c r="L1598">
        <v>0.486486486</v>
      </c>
      <c r="M1598">
        <v>8.7136929000000002E-2</v>
      </c>
      <c r="N1598" t="e">
        <v>#N/A</v>
      </c>
      <c r="O1598" t="e">
        <v>#N/A</v>
      </c>
    </row>
    <row r="1599" spans="1:15" x14ac:dyDescent="0.25">
      <c r="A1599" t="s">
        <v>10</v>
      </c>
      <c r="B1599" t="s">
        <v>25</v>
      </c>
      <c r="C1599" s="3" t="str">
        <f>IF($B1599="GW1",VLOOKUP($A1599,Matches!$A:$AC,2,FALSE),IF($B1599="GW2",VLOOKUP($A1599,Matches!$A:$AC,9,FALSE),IF($B1599="GW3",VLOOKUP($A1599,Matches!$A:$AC,16,FALSE))))</f>
        <v>Aston Villa</v>
      </c>
      <c r="D1599" s="6">
        <v>0.22422027399717481</v>
      </c>
      <c r="E1599" s="6">
        <v>0.52479664130149561</v>
      </c>
      <c r="F1599" s="6">
        <v>-0.3005763673043208</v>
      </c>
      <c r="G1599" s="3" t="s">
        <v>0</v>
      </c>
      <c r="H1599" t="e">
        <v>#N/A</v>
      </c>
      <c r="I1599" t="e">
        <v>#N/A</v>
      </c>
      <c r="J1599" t="e">
        <v>#N/A</v>
      </c>
      <c r="K1599">
        <v>0.21699819200000001</v>
      </c>
      <c r="L1599">
        <v>0.486486486</v>
      </c>
      <c r="M1599">
        <v>8.7136929000000002E-2</v>
      </c>
      <c r="N1599" t="e">
        <v>#N/A</v>
      </c>
      <c r="O1599" t="e">
        <v>#N/A</v>
      </c>
    </row>
    <row r="1600" spans="1:15" x14ac:dyDescent="0.25">
      <c r="A1600" t="s">
        <v>10</v>
      </c>
      <c r="B1600" t="s">
        <v>25</v>
      </c>
      <c r="C1600" s="3" t="str">
        <f>IF($B1600="GW1",VLOOKUP($A1600,Matches!$A:$AC,2,FALSE),IF($B1600="GW2",VLOOKUP($A1600,Matches!$A:$AC,9,FALSE),IF($B1600="GW3",VLOOKUP($A1600,Matches!$A:$AC,16,FALSE))))</f>
        <v>Aston Villa</v>
      </c>
      <c r="D1600" s="6">
        <v>0.22422027399717481</v>
      </c>
      <c r="E1600" s="6">
        <v>0.52479664130149561</v>
      </c>
      <c r="F1600" s="6">
        <v>-0.3005763673043208</v>
      </c>
      <c r="G1600" s="3" t="s">
        <v>0</v>
      </c>
      <c r="H1600" t="e">
        <v>#N/A</v>
      </c>
      <c r="I1600" t="e">
        <v>#N/A</v>
      </c>
      <c r="J1600" t="e">
        <v>#N/A</v>
      </c>
      <c r="K1600">
        <v>0.21699819200000001</v>
      </c>
      <c r="L1600">
        <v>0.486486486</v>
      </c>
      <c r="M1600">
        <v>8.7136929000000002E-2</v>
      </c>
      <c r="N1600" t="e">
        <v>#N/A</v>
      </c>
      <c r="O1600" t="e">
        <v>#N/A</v>
      </c>
    </row>
    <row r="1601" spans="1:15" x14ac:dyDescent="0.25">
      <c r="A1601" t="s">
        <v>10</v>
      </c>
      <c r="B1601" t="s">
        <v>25</v>
      </c>
      <c r="C1601" s="3" t="str">
        <f>IF($B1601="GW1",VLOOKUP($A1601,Matches!$A:$AC,2,FALSE),IF($B1601="GW2",VLOOKUP($A1601,Matches!$A:$AC,9,FALSE),IF($B1601="GW3",VLOOKUP($A1601,Matches!$A:$AC,16,FALSE))))</f>
        <v>Aston Villa</v>
      </c>
      <c r="D1601" s="6">
        <v>0.22422027399717481</v>
      </c>
      <c r="E1601" s="6">
        <v>0.52479664130149561</v>
      </c>
      <c r="F1601" s="6">
        <v>-0.3005763673043208</v>
      </c>
      <c r="G1601" s="3" t="s">
        <v>0</v>
      </c>
      <c r="H1601">
        <v>0.27210884400000002</v>
      </c>
      <c r="I1601">
        <v>0.105820106</v>
      </c>
      <c r="J1601">
        <v>9.5238094999999995E-2</v>
      </c>
      <c r="K1601">
        <v>0.21699819200000001</v>
      </c>
      <c r="L1601">
        <v>0.486486486</v>
      </c>
      <c r="M1601">
        <v>8.7136929000000002E-2</v>
      </c>
      <c r="N1601" t="e">
        <v>#N/A</v>
      </c>
      <c r="O1601" t="e">
        <v>#N/A</v>
      </c>
    </row>
    <row r="1602" spans="1:15" x14ac:dyDescent="0.25">
      <c r="A1602" t="s">
        <v>10</v>
      </c>
      <c r="B1602" t="s">
        <v>25</v>
      </c>
      <c r="C1602" s="3" t="str">
        <f>IF($B1602="GW1",VLOOKUP($A1602,Matches!$A:$AC,2,FALSE),IF($B1602="GW2",VLOOKUP($A1602,Matches!$A:$AC,9,FALSE),IF($B1602="GW3",VLOOKUP($A1602,Matches!$A:$AC,16,FALSE))))</f>
        <v>Aston Villa</v>
      </c>
      <c r="D1602" s="6">
        <v>0.22422027399717481</v>
      </c>
      <c r="E1602" s="6">
        <v>0.52479664130149561</v>
      </c>
      <c r="F1602" s="6">
        <v>-0.3005763673043208</v>
      </c>
      <c r="G1602" s="3" t="s">
        <v>0</v>
      </c>
      <c r="H1602">
        <v>0.253968254</v>
      </c>
      <c r="I1602">
        <v>9.5238094999999995E-2</v>
      </c>
      <c r="J1602">
        <v>0.19047618999999999</v>
      </c>
      <c r="K1602">
        <v>0.21699819200000001</v>
      </c>
      <c r="L1602">
        <v>0.486486486</v>
      </c>
      <c r="M1602">
        <v>8.7136929000000002E-2</v>
      </c>
      <c r="N1602" t="e">
        <v>#N/A</v>
      </c>
      <c r="O1602" t="e">
        <v>#N/A</v>
      </c>
    </row>
    <row r="1603" spans="1:15" x14ac:dyDescent="0.25">
      <c r="A1603" t="s">
        <v>10</v>
      </c>
      <c r="B1603" t="s">
        <v>25</v>
      </c>
      <c r="C1603" s="3" t="str">
        <f>IF($B1603="GW1",VLOOKUP($A1603,Matches!$A:$AC,2,FALSE),IF($B1603="GW2",VLOOKUP($A1603,Matches!$A:$AC,9,FALSE),IF($B1603="GW3",VLOOKUP($A1603,Matches!$A:$AC,16,FALSE))))</f>
        <v>Aston Villa</v>
      </c>
      <c r="D1603" s="6">
        <v>0.22422027399717481</v>
      </c>
      <c r="E1603" s="6">
        <v>0.52479664130149561</v>
      </c>
      <c r="F1603" s="6">
        <v>-0.3005763673043208</v>
      </c>
      <c r="G1603" s="3" t="s">
        <v>0</v>
      </c>
      <c r="H1603" t="e">
        <v>#N/A</v>
      </c>
      <c r="I1603" t="e">
        <v>#N/A</v>
      </c>
      <c r="J1603" t="e">
        <v>#N/A</v>
      </c>
      <c r="K1603">
        <v>0.21699819200000001</v>
      </c>
      <c r="L1603">
        <v>0.486486486</v>
      </c>
      <c r="M1603">
        <v>8.7136929000000002E-2</v>
      </c>
      <c r="N1603" t="e">
        <v>#N/A</v>
      </c>
      <c r="O1603" t="e">
        <v>#N/A</v>
      </c>
    </row>
    <row r="1604" spans="1:15" x14ac:dyDescent="0.25">
      <c r="A1604" t="s">
        <v>10</v>
      </c>
      <c r="B1604" t="s">
        <v>25</v>
      </c>
      <c r="C1604" s="3" t="str">
        <f>IF($B1604="GW1",VLOOKUP($A1604,Matches!$A:$AC,2,FALSE),IF($B1604="GW2",VLOOKUP($A1604,Matches!$A:$AC,9,FALSE),IF($B1604="GW3",VLOOKUP($A1604,Matches!$A:$AC,16,FALSE))))</f>
        <v>Aston Villa</v>
      </c>
      <c r="D1604" s="6">
        <v>0.22422027399717481</v>
      </c>
      <c r="E1604" s="6">
        <v>0.52479664130149561</v>
      </c>
      <c r="F1604" s="6">
        <v>-0.3005763673043208</v>
      </c>
      <c r="G1604" s="3" t="s">
        <v>0</v>
      </c>
      <c r="H1604" t="e">
        <v>#N/A</v>
      </c>
      <c r="I1604" t="e">
        <v>#N/A</v>
      </c>
      <c r="J1604" t="e">
        <v>#N/A</v>
      </c>
      <c r="K1604">
        <v>0.21699819200000001</v>
      </c>
      <c r="L1604">
        <v>0.486486486</v>
      </c>
      <c r="M1604">
        <v>8.7136929000000002E-2</v>
      </c>
      <c r="N1604" t="e">
        <v>#N/A</v>
      </c>
      <c r="O1604" t="e">
        <v>#N/A</v>
      </c>
    </row>
    <row r="1605" spans="1:15" x14ac:dyDescent="0.25">
      <c r="A1605" t="s">
        <v>11</v>
      </c>
      <c r="B1605" t="s">
        <v>25</v>
      </c>
      <c r="C1605" s="3" t="str">
        <f>IF($B1605="GW1",VLOOKUP($A1605,Matches!$A:$AC,2,FALSE),IF($B1605="GW2",VLOOKUP($A1605,Matches!$A:$AC,9,FALSE),IF($B1605="GW3",VLOOKUP($A1605,Matches!$A:$AC,16,FALSE))))</f>
        <v>Wolves</v>
      </c>
      <c r="D1605" s="6">
        <v>0.33022917905026083</v>
      </c>
      <c r="E1605" s="6">
        <v>0.39306631028654532</v>
      </c>
      <c r="F1605" s="6">
        <v>-6.2837131236284482E-2</v>
      </c>
      <c r="G1605" s="3" t="s">
        <v>0</v>
      </c>
      <c r="H1605" t="e">
        <v>#N/A</v>
      </c>
      <c r="I1605" t="e">
        <v>#N/A</v>
      </c>
      <c r="J1605">
        <v>0.21164021199999999</v>
      </c>
      <c r="K1605">
        <v>0.29039301299999998</v>
      </c>
      <c r="L1605">
        <v>0.375</v>
      </c>
      <c r="M1605">
        <v>5.6865464999999997E-2</v>
      </c>
      <c r="N1605" t="e">
        <v>#N/A</v>
      </c>
      <c r="O1605" t="e">
        <v>#N/A</v>
      </c>
    </row>
    <row r="1606" spans="1:15" x14ac:dyDescent="0.25">
      <c r="A1606" t="s">
        <v>11</v>
      </c>
      <c r="B1606" t="s">
        <v>25</v>
      </c>
      <c r="C1606" s="3" t="str">
        <f>IF($B1606="GW1",VLOOKUP($A1606,Matches!$A:$AC,2,FALSE),IF($B1606="GW2",VLOOKUP($A1606,Matches!$A:$AC,9,FALSE),IF($B1606="GW3",VLOOKUP($A1606,Matches!$A:$AC,16,FALSE))))</f>
        <v>Wolves</v>
      </c>
      <c r="D1606" s="6">
        <v>0.33022917905026083</v>
      </c>
      <c r="E1606" s="6">
        <v>0.39306631028654532</v>
      </c>
      <c r="F1606" s="6">
        <v>-6.2837131236284482E-2</v>
      </c>
      <c r="G1606" s="3" t="s">
        <v>0</v>
      </c>
      <c r="H1606" t="e">
        <v>#N/A</v>
      </c>
      <c r="I1606" t="e">
        <v>#N/A</v>
      </c>
      <c r="J1606">
        <v>0.112044818</v>
      </c>
      <c r="K1606">
        <v>0.29039301299999998</v>
      </c>
      <c r="L1606">
        <v>0.375</v>
      </c>
      <c r="M1606">
        <v>5.6865464999999997E-2</v>
      </c>
      <c r="N1606" t="e">
        <v>#N/A</v>
      </c>
      <c r="O1606" t="e">
        <v>#N/A</v>
      </c>
    </row>
    <row r="1607" spans="1:15" x14ac:dyDescent="0.25">
      <c r="A1607" t="s">
        <v>11</v>
      </c>
      <c r="B1607" t="s">
        <v>25</v>
      </c>
      <c r="C1607" s="3" t="str">
        <f>IF($B1607="GW1",VLOOKUP($A1607,Matches!$A:$AC,2,FALSE),IF($B1607="GW2",VLOOKUP($A1607,Matches!$A:$AC,9,FALSE),IF($B1607="GW3",VLOOKUP($A1607,Matches!$A:$AC,16,FALSE))))</f>
        <v>Wolves</v>
      </c>
      <c r="D1607" s="6">
        <v>0.33022917905026083</v>
      </c>
      <c r="E1607" s="6">
        <v>0.39306631028654532</v>
      </c>
      <c r="F1607" s="6">
        <v>-6.2837131236284482E-2</v>
      </c>
      <c r="G1607" s="3" t="s">
        <v>0</v>
      </c>
      <c r="H1607" t="e">
        <v>#N/A</v>
      </c>
      <c r="I1607" t="e">
        <v>#N/A</v>
      </c>
      <c r="J1607">
        <v>7.3260072999999995E-2</v>
      </c>
      <c r="K1607">
        <v>0.29039301299999998</v>
      </c>
      <c r="L1607">
        <v>0.375</v>
      </c>
      <c r="M1607">
        <v>5.6865464999999997E-2</v>
      </c>
      <c r="N1607" t="e">
        <v>#N/A</v>
      </c>
      <c r="O1607" t="e">
        <v>#N/A</v>
      </c>
    </row>
    <row r="1608" spans="1:15" x14ac:dyDescent="0.25">
      <c r="A1608" t="s">
        <v>11</v>
      </c>
      <c r="B1608" t="s">
        <v>25</v>
      </c>
      <c r="C1608" s="3" t="str">
        <f>IF($B1608="GW1",VLOOKUP($A1608,Matches!$A:$AC,2,FALSE),IF($B1608="GW2",VLOOKUP($A1608,Matches!$A:$AC,9,FALSE),IF($B1608="GW3",VLOOKUP($A1608,Matches!$A:$AC,16,FALSE))))</f>
        <v>Wolves</v>
      </c>
      <c r="D1608" s="6">
        <v>0.33022917905026083</v>
      </c>
      <c r="E1608" s="6">
        <v>0.39306631028654532</v>
      </c>
      <c r="F1608" s="6">
        <v>-6.2837131236284482E-2</v>
      </c>
      <c r="G1608" s="3" t="s">
        <v>0</v>
      </c>
      <c r="H1608">
        <v>5.6022409000000002E-2</v>
      </c>
      <c r="I1608">
        <v>4.1407867000000001E-2</v>
      </c>
      <c r="J1608">
        <v>0.23809523799999999</v>
      </c>
      <c r="K1608">
        <v>0.29039301299999998</v>
      </c>
      <c r="L1608">
        <v>0.375</v>
      </c>
      <c r="M1608">
        <v>5.6865464999999997E-2</v>
      </c>
      <c r="N1608" t="e">
        <v>#N/A</v>
      </c>
      <c r="O1608" t="e">
        <v>#N/A</v>
      </c>
    </row>
    <row r="1609" spans="1:15" x14ac:dyDescent="0.25">
      <c r="A1609" t="s">
        <v>11</v>
      </c>
      <c r="B1609" t="s">
        <v>25</v>
      </c>
      <c r="C1609" s="3" t="str">
        <f>IF($B1609="GW1",VLOOKUP($A1609,Matches!$A:$AC,2,FALSE),IF($B1609="GW2",VLOOKUP($A1609,Matches!$A:$AC,9,FALSE),IF($B1609="GW3",VLOOKUP($A1609,Matches!$A:$AC,16,FALSE))))</f>
        <v>Wolves</v>
      </c>
      <c r="D1609" s="6">
        <v>0.33022917905026083</v>
      </c>
      <c r="E1609" s="6">
        <v>0.39306631028654532</v>
      </c>
      <c r="F1609" s="6">
        <v>-6.2837131236284482E-2</v>
      </c>
      <c r="G1609" s="3" t="s">
        <v>0</v>
      </c>
      <c r="H1609">
        <v>8.6580087E-2</v>
      </c>
      <c r="I1609">
        <v>7.3260072999999995E-2</v>
      </c>
      <c r="J1609">
        <v>0.26455026500000001</v>
      </c>
      <c r="K1609">
        <v>0.29039301299999998</v>
      </c>
      <c r="L1609">
        <v>0.375</v>
      </c>
      <c r="M1609">
        <v>5.6865464999999997E-2</v>
      </c>
      <c r="N1609" t="e">
        <v>#N/A</v>
      </c>
      <c r="O1609" t="e">
        <v>#N/A</v>
      </c>
    </row>
    <row r="1610" spans="1:15" x14ac:dyDescent="0.25">
      <c r="A1610" t="s">
        <v>11</v>
      </c>
      <c r="B1610" t="s">
        <v>25</v>
      </c>
      <c r="C1610" s="3" t="str">
        <f>IF($B1610="GW1",VLOOKUP($A1610,Matches!$A:$AC,2,FALSE),IF($B1610="GW2",VLOOKUP($A1610,Matches!$A:$AC,9,FALSE),IF($B1610="GW3",VLOOKUP($A1610,Matches!$A:$AC,16,FALSE))))</f>
        <v>Wolves</v>
      </c>
      <c r="D1610" s="6">
        <v>0.33022917905026083</v>
      </c>
      <c r="E1610" s="6">
        <v>0.39306631028654532</v>
      </c>
      <c r="F1610" s="6">
        <v>-6.2837131236284482E-2</v>
      </c>
      <c r="G1610" s="3" t="s">
        <v>0</v>
      </c>
      <c r="H1610" t="e">
        <v>#N/A</v>
      </c>
      <c r="I1610" t="e">
        <v>#N/A</v>
      </c>
      <c r="J1610" t="e">
        <v>#N/A</v>
      </c>
      <c r="K1610">
        <v>0.29039301299999998</v>
      </c>
      <c r="L1610">
        <v>0.375</v>
      </c>
      <c r="M1610">
        <v>5.6865464999999997E-2</v>
      </c>
      <c r="N1610" t="e">
        <v>#N/A</v>
      </c>
      <c r="O1610" t="e">
        <v>#N/A</v>
      </c>
    </row>
    <row r="1611" spans="1:15" x14ac:dyDescent="0.25">
      <c r="A1611" t="s">
        <v>11</v>
      </c>
      <c r="B1611" t="s">
        <v>25</v>
      </c>
      <c r="C1611" s="3" t="str">
        <f>IF($B1611="GW1",VLOOKUP($A1611,Matches!$A:$AC,2,FALSE),IF($B1611="GW2",VLOOKUP($A1611,Matches!$A:$AC,9,FALSE),IF($B1611="GW3",VLOOKUP($A1611,Matches!$A:$AC,16,FALSE))))</f>
        <v>Wolves</v>
      </c>
      <c r="D1611" s="6">
        <v>0.33022917905026083</v>
      </c>
      <c r="E1611" s="6">
        <v>0.39306631028654532</v>
      </c>
      <c r="F1611" s="6">
        <v>-6.2837131236284482E-2</v>
      </c>
      <c r="G1611" s="3" t="s">
        <v>0</v>
      </c>
      <c r="H1611">
        <v>7.3260072999999995E-2</v>
      </c>
      <c r="I1611">
        <v>6.3492063000000001E-2</v>
      </c>
      <c r="J1611">
        <v>0.19047618999999999</v>
      </c>
      <c r="K1611">
        <v>0.29039301299999998</v>
      </c>
      <c r="L1611">
        <v>0.375</v>
      </c>
      <c r="M1611">
        <v>5.6865464999999997E-2</v>
      </c>
      <c r="N1611" t="e">
        <v>#N/A</v>
      </c>
      <c r="O1611" t="e">
        <v>#N/A</v>
      </c>
    </row>
    <row r="1612" spans="1:15" x14ac:dyDescent="0.25">
      <c r="A1612" t="s">
        <v>11</v>
      </c>
      <c r="B1612" t="s">
        <v>25</v>
      </c>
      <c r="C1612" s="3" t="str">
        <f>IF($B1612="GW1",VLOOKUP($A1612,Matches!$A:$AC,2,FALSE),IF($B1612="GW2",VLOOKUP($A1612,Matches!$A:$AC,9,FALSE),IF($B1612="GW3",VLOOKUP($A1612,Matches!$A:$AC,16,FALSE))))</f>
        <v>Wolves</v>
      </c>
      <c r="D1612" s="6">
        <v>0.33022917905026083</v>
      </c>
      <c r="E1612" s="6">
        <v>0.39306631028654532</v>
      </c>
      <c r="F1612" s="6">
        <v>-6.2837131236284482E-2</v>
      </c>
      <c r="G1612" s="3" t="s">
        <v>0</v>
      </c>
      <c r="H1612" t="e">
        <v>#N/A</v>
      </c>
      <c r="I1612" t="e">
        <v>#N/A</v>
      </c>
      <c r="J1612" t="e">
        <v>#N/A</v>
      </c>
      <c r="K1612">
        <v>0.29039301299999998</v>
      </c>
      <c r="L1612">
        <v>0.375</v>
      </c>
      <c r="M1612">
        <v>5.6865464999999997E-2</v>
      </c>
      <c r="N1612" t="e">
        <v>#N/A</v>
      </c>
      <c r="O1612" t="e">
        <v>#N/A</v>
      </c>
    </row>
    <row r="1613" spans="1:15" x14ac:dyDescent="0.25">
      <c r="A1613" t="s">
        <v>11</v>
      </c>
      <c r="B1613" t="s">
        <v>25</v>
      </c>
      <c r="C1613" s="3" t="str">
        <f>IF($B1613="GW1",VLOOKUP($A1613,Matches!$A:$AC,2,FALSE),IF($B1613="GW2",VLOOKUP($A1613,Matches!$A:$AC,9,FALSE),IF($B1613="GW3",VLOOKUP($A1613,Matches!$A:$AC,16,FALSE))))</f>
        <v>Wolves</v>
      </c>
      <c r="D1613" s="6">
        <v>0.33022917905026083</v>
      </c>
      <c r="E1613" s="6">
        <v>0.39306631028654532</v>
      </c>
      <c r="F1613" s="6">
        <v>-6.2837131236284482E-2</v>
      </c>
      <c r="G1613" s="3" t="s">
        <v>0</v>
      </c>
      <c r="H1613">
        <v>7.9365079000000005E-2</v>
      </c>
      <c r="I1613">
        <v>4.5351474000000003E-2</v>
      </c>
      <c r="J1613">
        <v>0.21164021199999999</v>
      </c>
      <c r="K1613">
        <v>0.29039301299999998</v>
      </c>
      <c r="L1613">
        <v>0.375</v>
      </c>
      <c r="M1613">
        <v>5.6865464999999997E-2</v>
      </c>
      <c r="N1613" t="e">
        <v>#N/A</v>
      </c>
      <c r="O1613" t="e">
        <v>#N/A</v>
      </c>
    </row>
    <row r="1614" spans="1:15" x14ac:dyDescent="0.25">
      <c r="A1614" t="s">
        <v>11</v>
      </c>
      <c r="B1614" t="s">
        <v>25</v>
      </c>
      <c r="C1614" s="3" t="str">
        <f>IF($B1614="GW1",VLOOKUP($A1614,Matches!$A:$AC,2,FALSE),IF($B1614="GW2",VLOOKUP($A1614,Matches!$A:$AC,9,FALSE),IF($B1614="GW3",VLOOKUP($A1614,Matches!$A:$AC,16,FALSE))))</f>
        <v>Wolves</v>
      </c>
      <c r="D1614" s="6">
        <v>0.33022917905026083</v>
      </c>
      <c r="E1614" s="6">
        <v>0.39306631028654532</v>
      </c>
      <c r="F1614" s="6">
        <v>-6.2837131236284482E-2</v>
      </c>
      <c r="G1614" s="3" t="s">
        <v>0</v>
      </c>
      <c r="H1614">
        <v>5.6022409000000002E-2</v>
      </c>
      <c r="I1614">
        <v>8.6580087E-2</v>
      </c>
      <c r="J1614">
        <v>0.23809523799999999</v>
      </c>
      <c r="K1614">
        <v>0.29039301299999998</v>
      </c>
      <c r="L1614">
        <v>0.375</v>
      </c>
      <c r="M1614">
        <v>5.6865464999999997E-2</v>
      </c>
      <c r="N1614" t="e">
        <v>#N/A</v>
      </c>
      <c r="O1614" t="e">
        <v>#N/A</v>
      </c>
    </row>
    <row r="1615" spans="1:15" x14ac:dyDescent="0.25">
      <c r="A1615" t="s">
        <v>11</v>
      </c>
      <c r="B1615" t="s">
        <v>25</v>
      </c>
      <c r="C1615" s="3" t="str">
        <f>IF($B1615="GW1",VLOOKUP($A1615,Matches!$A:$AC,2,FALSE),IF($B1615="GW2",VLOOKUP($A1615,Matches!$A:$AC,9,FALSE),IF($B1615="GW3",VLOOKUP($A1615,Matches!$A:$AC,16,FALSE))))</f>
        <v>Wolves</v>
      </c>
      <c r="D1615" s="6">
        <v>0.33022917905026083</v>
      </c>
      <c r="E1615" s="6">
        <v>0.39306631028654532</v>
      </c>
      <c r="F1615" s="6">
        <v>-6.2837131236284482E-2</v>
      </c>
      <c r="G1615" s="3" t="s">
        <v>0</v>
      </c>
      <c r="H1615" t="e">
        <v>#N/A</v>
      </c>
      <c r="I1615" t="e">
        <v>#N/A</v>
      </c>
      <c r="J1615" t="e">
        <v>#N/A</v>
      </c>
      <c r="K1615">
        <v>0.29039301299999998</v>
      </c>
      <c r="L1615">
        <v>0.375</v>
      </c>
      <c r="M1615">
        <v>5.6865464999999997E-2</v>
      </c>
      <c r="N1615" t="e">
        <v>#N/A</v>
      </c>
      <c r="O1615" t="e">
        <v>#N/A</v>
      </c>
    </row>
    <row r="1616" spans="1:15" x14ac:dyDescent="0.25">
      <c r="A1616" t="s">
        <v>11</v>
      </c>
      <c r="B1616" t="s">
        <v>25</v>
      </c>
      <c r="C1616" s="3" t="str">
        <f>IF($B1616="GW1",VLOOKUP($A1616,Matches!$A:$AC,2,FALSE),IF($B1616="GW2",VLOOKUP($A1616,Matches!$A:$AC,9,FALSE),IF($B1616="GW3",VLOOKUP($A1616,Matches!$A:$AC,16,FALSE))))</f>
        <v>Wolves</v>
      </c>
      <c r="D1616" s="6">
        <v>0.33022917905026083</v>
      </c>
      <c r="E1616" s="6">
        <v>0.39306631028654532</v>
      </c>
      <c r="F1616" s="6">
        <v>-6.2837131236284482E-2</v>
      </c>
      <c r="G1616" s="3" t="s">
        <v>0</v>
      </c>
      <c r="H1616" t="e">
        <v>#N/A</v>
      </c>
      <c r="I1616" t="e">
        <v>#N/A</v>
      </c>
      <c r="J1616" t="e">
        <v>#N/A</v>
      </c>
      <c r="K1616">
        <v>0.29039301299999998</v>
      </c>
      <c r="L1616">
        <v>0.375</v>
      </c>
      <c r="M1616">
        <v>5.6865464999999997E-2</v>
      </c>
      <c r="N1616" t="e">
        <v>#N/A</v>
      </c>
      <c r="O1616" t="e">
        <v>#N/A</v>
      </c>
    </row>
    <row r="1617" spans="1:15" x14ac:dyDescent="0.25">
      <c r="A1617" t="s">
        <v>11</v>
      </c>
      <c r="B1617" t="s">
        <v>25</v>
      </c>
      <c r="C1617" s="3" t="str">
        <f>IF($B1617="GW1",VLOOKUP($A1617,Matches!$A:$AC,2,FALSE),IF($B1617="GW2",VLOOKUP($A1617,Matches!$A:$AC,9,FALSE),IF($B1617="GW3",VLOOKUP($A1617,Matches!$A:$AC,16,FALSE))))</f>
        <v>Wolves</v>
      </c>
      <c r="D1617" s="6">
        <v>0.33022917905026083</v>
      </c>
      <c r="E1617" s="6">
        <v>0.39306631028654532</v>
      </c>
      <c r="F1617" s="6">
        <v>-6.2837131236284482E-2</v>
      </c>
      <c r="G1617" s="3" t="s">
        <v>0</v>
      </c>
      <c r="H1617" t="e">
        <v>#N/A</v>
      </c>
      <c r="I1617" t="e">
        <v>#N/A</v>
      </c>
      <c r="J1617" t="e">
        <v>#N/A</v>
      </c>
      <c r="K1617">
        <v>0.29039301299999998</v>
      </c>
      <c r="L1617">
        <v>0.375</v>
      </c>
      <c r="M1617">
        <v>5.6865464999999997E-2</v>
      </c>
      <c r="N1617" t="e">
        <v>#N/A</v>
      </c>
      <c r="O1617" t="e">
        <v>#N/A</v>
      </c>
    </row>
    <row r="1618" spans="1:15" x14ac:dyDescent="0.25">
      <c r="A1618" t="s">
        <v>11</v>
      </c>
      <c r="B1618" t="s">
        <v>25</v>
      </c>
      <c r="C1618" s="3" t="str">
        <f>IF($B1618="GW1",VLOOKUP($A1618,Matches!$A:$AC,2,FALSE),IF($B1618="GW2",VLOOKUP($A1618,Matches!$A:$AC,9,FALSE),IF($B1618="GW3",VLOOKUP($A1618,Matches!$A:$AC,16,FALSE))))</f>
        <v>Wolves</v>
      </c>
      <c r="D1618" s="6">
        <v>0.33022917905026083</v>
      </c>
      <c r="E1618" s="6">
        <v>0.39306631028654532</v>
      </c>
      <c r="F1618" s="6">
        <v>-6.2837131236284482E-2</v>
      </c>
      <c r="G1618" s="3" t="s">
        <v>0</v>
      </c>
      <c r="H1618">
        <v>0.20050125299999999</v>
      </c>
      <c r="I1618">
        <v>0.14652014699999999</v>
      </c>
      <c r="J1618">
        <v>0.112044818</v>
      </c>
      <c r="K1618">
        <v>0.29039301299999998</v>
      </c>
      <c r="L1618">
        <v>0.375</v>
      </c>
      <c r="M1618">
        <v>5.6865464999999997E-2</v>
      </c>
      <c r="N1618" t="e">
        <v>#N/A</v>
      </c>
      <c r="O1618" t="e">
        <v>#N/A</v>
      </c>
    </row>
    <row r="1619" spans="1:15" x14ac:dyDescent="0.25">
      <c r="A1619" t="s">
        <v>11</v>
      </c>
      <c r="B1619" t="s">
        <v>25</v>
      </c>
      <c r="C1619" s="3" t="str">
        <f>IF($B1619="GW1",VLOOKUP($A1619,Matches!$A:$AC,2,FALSE),IF($B1619="GW2",VLOOKUP($A1619,Matches!$A:$AC,9,FALSE),IF($B1619="GW3",VLOOKUP($A1619,Matches!$A:$AC,16,FALSE))))</f>
        <v>Wolves</v>
      </c>
      <c r="D1619" s="6">
        <v>0.33022917905026083</v>
      </c>
      <c r="E1619" s="6">
        <v>0.39306631028654532</v>
      </c>
      <c r="F1619" s="6">
        <v>-6.2837131236284482E-2</v>
      </c>
      <c r="G1619" s="3" t="s">
        <v>0</v>
      </c>
      <c r="H1619">
        <v>0.20050125299999999</v>
      </c>
      <c r="I1619">
        <v>0.14652014699999999</v>
      </c>
      <c r="J1619">
        <v>0.28011204499999998</v>
      </c>
      <c r="K1619">
        <v>0.29039301299999998</v>
      </c>
      <c r="L1619">
        <v>0.375</v>
      </c>
      <c r="M1619">
        <v>5.6865464999999997E-2</v>
      </c>
      <c r="N1619" t="e">
        <v>#N/A</v>
      </c>
      <c r="O1619" t="e">
        <v>#N/A</v>
      </c>
    </row>
    <row r="1620" spans="1:15" x14ac:dyDescent="0.25">
      <c r="A1620" t="s">
        <v>11</v>
      </c>
      <c r="B1620" t="s">
        <v>25</v>
      </c>
      <c r="C1620" s="3" t="str">
        <f>IF($B1620="GW1",VLOOKUP($A1620,Matches!$A:$AC,2,FALSE),IF($B1620="GW2",VLOOKUP($A1620,Matches!$A:$AC,9,FALSE),IF($B1620="GW3",VLOOKUP($A1620,Matches!$A:$AC,16,FALSE))))</f>
        <v>Wolves</v>
      </c>
      <c r="D1620" s="6">
        <v>0.33022917905026083</v>
      </c>
      <c r="E1620" s="6">
        <v>0.39306631028654532</v>
      </c>
      <c r="F1620" s="6">
        <v>-6.2837131236284482E-2</v>
      </c>
      <c r="G1620" s="3" t="s">
        <v>0</v>
      </c>
      <c r="H1620">
        <v>8.6580087E-2</v>
      </c>
      <c r="I1620">
        <v>6.3492063000000001E-2</v>
      </c>
      <c r="J1620">
        <v>0.23809523799999999</v>
      </c>
      <c r="K1620">
        <v>0.29039301299999998</v>
      </c>
      <c r="L1620">
        <v>0.375</v>
      </c>
      <c r="M1620">
        <v>5.6865464999999997E-2</v>
      </c>
      <c r="N1620" t="e">
        <v>#N/A</v>
      </c>
      <c r="O1620" t="e">
        <v>#N/A</v>
      </c>
    </row>
    <row r="1621" spans="1:15" x14ac:dyDescent="0.25">
      <c r="A1621" t="s">
        <v>11</v>
      </c>
      <c r="B1621" t="s">
        <v>25</v>
      </c>
      <c r="C1621" s="3" t="str">
        <f>IF($B1621="GW1",VLOOKUP($A1621,Matches!$A:$AC,2,FALSE),IF($B1621="GW2",VLOOKUP($A1621,Matches!$A:$AC,9,FALSE),IF($B1621="GW3",VLOOKUP($A1621,Matches!$A:$AC,16,FALSE))))</f>
        <v>Wolves</v>
      </c>
      <c r="D1621" s="6">
        <v>0.33022917905026083</v>
      </c>
      <c r="E1621" s="6">
        <v>0.39306631028654532</v>
      </c>
      <c r="F1621" s="6">
        <v>-6.2837131236284482E-2</v>
      </c>
      <c r="G1621" s="3" t="s">
        <v>0</v>
      </c>
      <c r="H1621">
        <v>0.112044818</v>
      </c>
      <c r="I1621">
        <v>0.105820106</v>
      </c>
      <c r="J1621">
        <v>0.23809523799999999</v>
      </c>
      <c r="K1621">
        <v>0.29039301299999998</v>
      </c>
      <c r="L1621">
        <v>0.375</v>
      </c>
      <c r="M1621">
        <v>5.6865464999999997E-2</v>
      </c>
      <c r="N1621" t="e">
        <v>#N/A</v>
      </c>
      <c r="O1621" t="e">
        <v>#N/A</v>
      </c>
    </row>
    <row r="1622" spans="1:15" x14ac:dyDescent="0.25">
      <c r="A1622" t="s">
        <v>11</v>
      </c>
      <c r="B1622" t="s">
        <v>25</v>
      </c>
      <c r="C1622" s="3" t="str">
        <f>IF($B1622="GW1",VLOOKUP($A1622,Matches!$A:$AC,2,FALSE),IF($B1622="GW2",VLOOKUP($A1622,Matches!$A:$AC,9,FALSE),IF($B1622="GW3",VLOOKUP($A1622,Matches!$A:$AC,16,FALSE))))</f>
        <v>Wolves</v>
      </c>
      <c r="D1622" s="6">
        <v>0.33022917905026083</v>
      </c>
      <c r="E1622" s="6">
        <v>0.39306631028654532</v>
      </c>
      <c r="F1622" s="6">
        <v>-6.2837131236284482E-2</v>
      </c>
      <c r="G1622" s="3" t="s">
        <v>0</v>
      </c>
      <c r="H1622" t="e">
        <v>#N/A</v>
      </c>
      <c r="I1622" t="e">
        <v>#N/A</v>
      </c>
      <c r="J1622" t="e">
        <v>#N/A</v>
      </c>
      <c r="K1622">
        <v>0.29039301299999998</v>
      </c>
      <c r="L1622">
        <v>0.375</v>
      </c>
      <c r="M1622">
        <v>5.6865464999999997E-2</v>
      </c>
      <c r="N1622" t="e">
        <v>#N/A</v>
      </c>
      <c r="O1622" t="e">
        <v>#N/A</v>
      </c>
    </row>
    <row r="1623" spans="1:15" x14ac:dyDescent="0.25">
      <c r="A1623" t="s">
        <v>11</v>
      </c>
      <c r="B1623" t="s">
        <v>25</v>
      </c>
      <c r="C1623" s="3" t="str">
        <f>IF($B1623="GW1",VLOOKUP($A1623,Matches!$A:$AC,2,FALSE),IF($B1623="GW2",VLOOKUP($A1623,Matches!$A:$AC,9,FALSE),IF($B1623="GW3",VLOOKUP($A1623,Matches!$A:$AC,16,FALSE))))</f>
        <v>Wolves</v>
      </c>
      <c r="D1623" s="6">
        <v>0.33022917905026083</v>
      </c>
      <c r="E1623" s="6">
        <v>0.39306631028654532</v>
      </c>
      <c r="F1623" s="6">
        <v>-6.2837131236284482E-2</v>
      </c>
      <c r="G1623" s="3" t="s">
        <v>0</v>
      </c>
      <c r="H1623">
        <v>0.112044818</v>
      </c>
      <c r="I1623">
        <v>7.3260072999999995E-2</v>
      </c>
      <c r="J1623">
        <v>0.23809523799999999</v>
      </c>
      <c r="K1623">
        <v>0.29039301299999998</v>
      </c>
      <c r="L1623">
        <v>0.375</v>
      </c>
      <c r="M1623">
        <v>5.6865464999999997E-2</v>
      </c>
      <c r="N1623" t="e">
        <v>#N/A</v>
      </c>
      <c r="O1623" t="e">
        <v>#N/A</v>
      </c>
    </row>
    <row r="1624" spans="1:15" x14ac:dyDescent="0.25">
      <c r="A1624" t="s">
        <v>11</v>
      </c>
      <c r="B1624" t="s">
        <v>25</v>
      </c>
      <c r="C1624" s="3" t="str">
        <f>IF($B1624="GW1",VLOOKUP($A1624,Matches!$A:$AC,2,FALSE),IF($B1624="GW2",VLOOKUP($A1624,Matches!$A:$AC,9,FALSE),IF($B1624="GW3",VLOOKUP($A1624,Matches!$A:$AC,16,FALSE))))</f>
        <v>Wolves</v>
      </c>
      <c r="D1624" s="6">
        <v>0.33022917905026083</v>
      </c>
      <c r="E1624" s="6">
        <v>0.39306631028654532</v>
      </c>
      <c r="F1624" s="6">
        <v>-6.2837131236284482E-2</v>
      </c>
      <c r="G1624" s="3" t="s">
        <v>0</v>
      </c>
      <c r="H1624" t="e">
        <v>#N/A</v>
      </c>
      <c r="I1624" t="e">
        <v>#N/A</v>
      </c>
      <c r="J1624" t="e">
        <v>#N/A</v>
      </c>
      <c r="K1624">
        <v>0.29039301299999998</v>
      </c>
      <c r="L1624">
        <v>0.375</v>
      </c>
      <c r="M1624">
        <v>5.6865464999999997E-2</v>
      </c>
      <c r="N1624" t="e">
        <v>#N/A</v>
      </c>
      <c r="O1624" t="e">
        <v>#N/A</v>
      </c>
    </row>
    <row r="1625" spans="1:15" x14ac:dyDescent="0.25">
      <c r="A1625" t="s">
        <v>11</v>
      </c>
      <c r="B1625" t="s">
        <v>25</v>
      </c>
      <c r="C1625" s="3" t="str">
        <f>IF($B1625="GW1",VLOOKUP($A1625,Matches!$A:$AC,2,FALSE),IF($B1625="GW2",VLOOKUP($A1625,Matches!$A:$AC,9,FALSE),IF($B1625="GW3",VLOOKUP($A1625,Matches!$A:$AC,16,FALSE))))</f>
        <v>Wolves</v>
      </c>
      <c r="D1625" s="6">
        <v>0.33022917905026083</v>
      </c>
      <c r="E1625" s="6">
        <v>0.39306631028654532</v>
      </c>
      <c r="F1625" s="6">
        <v>-6.2837131236284482E-2</v>
      </c>
      <c r="G1625" s="3" t="s">
        <v>0</v>
      </c>
      <c r="H1625" t="e">
        <v>#N/A</v>
      </c>
      <c r="I1625" t="e">
        <v>#N/A</v>
      </c>
      <c r="J1625" t="e">
        <v>#N/A</v>
      </c>
      <c r="K1625">
        <v>0.29039301299999998</v>
      </c>
      <c r="L1625">
        <v>0.375</v>
      </c>
      <c r="M1625">
        <v>5.6865464999999997E-2</v>
      </c>
      <c r="N1625" t="e">
        <v>#N/A</v>
      </c>
      <c r="O1625" t="e">
        <v>#N/A</v>
      </c>
    </row>
    <row r="1626" spans="1:15" x14ac:dyDescent="0.25">
      <c r="A1626" t="s">
        <v>11</v>
      </c>
      <c r="B1626" t="s">
        <v>25</v>
      </c>
      <c r="C1626" s="3" t="str">
        <f>IF($B1626="GW1",VLOOKUP($A1626,Matches!$A:$AC,2,FALSE),IF($B1626="GW2",VLOOKUP($A1626,Matches!$A:$AC,9,FALSE),IF($B1626="GW3",VLOOKUP($A1626,Matches!$A:$AC,16,FALSE))))</f>
        <v>Wolves</v>
      </c>
      <c r="D1626" s="6">
        <v>0.33022917905026083</v>
      </c>
      <c r="E1626" s="6">
        <v>0.39306631028654532</v>
      </c>
      <c r="F1626" s="6">
        <v>-6.2837131236284482E-2</v>
      </c>
      <c r="G1626" s="3" t="s">
        <v>0</v>
      </c>
      <c r="H1626">
        <v>0.173160173</v>
      </c>
      <c r="I1626">
        <v>6.3492063000000001E-2</v>
      </c>
      <c r="J1626">
        <v>0.21164021199999999</v>
      </c>
      <c r="K1626">
        <v>0.29039301299999998</v>
      </c>
      <c r="L1626">
        <v>0.375</v>
      </c>
      <c r="M1626">
        <v>5.6865464999999997E-2</v>
      </c>
      <c r="N1626" t="e">
        <v>#N/A</v>
      </c>
      <c r="O1626" t="e">
        <v>#N/A</v>
      </c>
    </row>
    <row r="1627" spans="1:15" x14ac:dyDescent="0.25">
      <c r="A1627" t="s">
        <v>11</v>
      </c>
      <c r="B1627" t="s">
        <v>25</v>
      </c>
      <c r="C1627" s="3" t="str">
        <f>IF($B1627="GW1",VLOOKUP($A1627,Matches!$A:$AC,2,FALSE),IF($B1627="GW2",VLOOKUP($A1627,Matches!$A:$AC,9,FALSE),IF($B1627="GW3",VLOOKUP($A1627,Matches!$A:$AC,16,FALSE))))</f>
        <v>Wolves</v>
      </c>
      <c r="D1627" s="6">
        <v>0.33022917905026083</v>
      </c>
      <c r="E1627" s="6">
        <v>0.39306631028654532</v>
      </c>
      <c r="F1627" s="6">
        <v>-6.2837131236284482E-2</v>
      </c>
      <c r="G1627" s="3" t="s">
        <v>0</v>
      </c>
      <c r="H1627" t="e">
        <v>#N/A</v>
      </c>
      <c r="I1627" t="e">
        <v>#N/A</v>
      </c>
      <c r="J1627" t="e">
        <v>#N/A</v>
      </c>
      <c r="K1627">
        <v>0.29039301299999998</v>
      </c>
      <c r="L1627">
        <v>0.375</v>
      </c>
      <c r="M1627">
        <v>5.6865464999999997E-2</v>
      </c>
      <c r="N1627" t="e">
        <v>#N/A</v>
      </c>
      <c r="O1627" t="e">
        <v>#N/A</v>
      </c>
    </row>
    <row r="1628" spans="1:15" x14ac:dyDescent="0.25">
      <c r="A1628" t="s">
        <v>11</v>
      </c>
      <c r="B1628" t="s">
        <v>25</v>
      </c>
      <c r="C1628" s="3" t="str">
        <f>IF($B1628="GW1",VLOOKUP($A1628,Matches!$A:$AC,2,FALSE),IF($B1628="GW2",VLOOKUP($A1628,Matches!$A:$AC,9,FALSE),IF($B1628="GW3",VLOOKUP($A1628,Matches!$A:$AC,16,FALSE))))</f>
        <v>Wolves</v>
      </c>
      <c r="D1628" s="6">
        <v>0.33022917905026083</v>
      </c>
      <c r="E1628" s="6">
        <v>0.39306631028654532</v>
      </c>
      <c r="F1628" s="6">
        <v>-6.2837131236284482E-2</v>
      </c>
      <c r="G1628" s="3" t="s">
        <v>0</v>
      </c>
      <c r="H1628">
        <v>0.307219662</v>
      </c>
      <c r="I1628">
        <v>0.105820106</v>
      </c>
      <c r="J1628">
        <v>0.23809523799999999</v>
      </c>
      <c r="K1628">
        <v>0.29039301299999998</v>
      </c>
      <c r="L1628">
        <v>0.375</v>
      </c>
      <c r="M1628">
        <v>5.6865464999999997E-2</v>
      </c>
      <c r="N1628" t="e">
        <v>#N/A</v>
      </c>
      <c r="O1628" t="e">
        <v>#N/A</v>
      </c>
    </row>
    <row r="1629" spans="1:15" x14ac:dyDescent="0.25">
      <c r="A1629" t="s">
        <v>11</v>
      </c>
      <c r="B1629" t="s">
        <v>25</v>
      </c>
      <c r="C1629" s="3" t="str">
        <f>IF($B1629="GW1",VLOOKUP($A1629,Matches!$A:$AC,2,FALSE),IF($B1629="GW2",VLOOKUP($A1629,Matches!$A:$AC,9,FALSE),IF($B1629="GW3",VLOOKUP($A1629,Matches!$A:$AC,16,FALSE))))</f>
        <v>Wolves</v>
      </c>
      <c r="D1629" s="6">
        <v>0.33022917905026083</v>
      </c>
      <c r="E1629" s="6">
        <v>0.39306631028654532</v>
      </c>
      <c r="F1629" s="6">
        <v>-6.2837131236284482E-2</v>
      </c>
      <c r="G1629" s="3" t="s">
        <v>0</v>
      </c>
      <c r="H1629">
        <v>0.29304029300000001</v>
      </c>
      <c r="I1629">
        <v>7.3260072999999995E-2</v>
      </c>
      <c r="J1629">
        <v>0.15873015900000001</v>
      </c>
      <c r="K1629">
        <v>0.29039301299999998</v>
      </c>
      <c r="L1629">
        <v>0.375</v>
      </c>
      <c r="M1629">
        <v>5.6865464999999997E-2</v>
      </c>
      <c r="N1629" t="e">
        <v>#N/A</v>
      </c>
      <c r="O1629" t="e">
        <v>#N/A</v>
      </c>
    </row>
    <row r="1630" spans="1:15" x14ac:dyDescent="0.25">
      <c r="A1630" t="s">
        <v>11</v>
      </c>
      <c r="B1630" t="s">
        <v>25</v>
      </c>
      <c r="C1630" s="3" t="str">
        <f>IF($B1630="GW1",VLOOKUP($A1630,Matches!$A:$AC,2,FALSE),IF($B1630="GW2",VLOOKUP($A1630,Matches!$A:$AC,9,FALSE),IF($B1630="GW3",VLOOKUP($A1630,Matches!$A:$AC,16,FALSE))))</f>
        <v>Wolves</v>
      </c>
      <c r="D1630" s="6">
        <v>0.33022917905026083</v>
      </c>
      <c r="E1630" s="6">
        <v>0.39306631028654532</v>
      </c>
      <c r="F1630" s="6">
        <v>-6.2837131236284482E-2</v>
      </c>
      <c r="G1630" s="3" t="s">
        <v>0</v>
      </c>
      <c r="H1630" t="e">
        <v>#N/A</v>
      </c>
      <c r="I1630" t="e">
        <v>#N/A</v>
      </c>
      <c r="J1630" t="e">
        <v>#N/A</v>
      </c>
      <c r="K1630">
        <v>0.29039301299999998</v>
      </c>
      <c r="L1630">
        <v>0.375</v>
      </c>
      <c r="M1630">
        <v>5.6865464999999997E-2</v>
      </c>
      <c r="N1630" t="e">
        <v>#N/A</v>
      </c>
      <c r="O1630" t="e">
        <v>#N/A</v>
      </c>
    </row>
    <row r="1631" spans="1:15" x14ac:dyDescent="0.25">
      <c r="A1631" t="s">
        <v>11</v>
      </c>
      <c r="B1631" t="s">
        <v>25</v>
      </c>
      <c r="C1631" s="3" t="str">
        <f>IF($B1631="GW1",VLOOKUP($A1631,Matches!$A:$AC,2,FALSE),IF($B1631="GW2",VLOOKUP($A1631,Matches!$A:$AC,9,FALSE),IF($B1631="GW3",VLOOKUP($A1631,Matches!$A:$AC,16,FALSE))))</f>
        <v>Wolves</v>
      </c>
      <c r="D1631" s="6">
        <v>0.33022917905026083</v>
      </c>
      <c r="E1631" s="6">
        <v>0.39306631028654532</v>
      </c>
      <c r="F1631" s="6">
        <v>-6.2837131236284482E-2</v>
      </c>
      <c r="G1631" s="3" t="s">
        <v>0</v>
      </c>
      <c r="H1631" t="e">
        <v>#N/A</v>
      </c>
      <c r="I1631" t="e">
        <v>#N/A</v>
      </c>
      <c r="J1631" t="e">
        <v>#N/A</v>
      </c>
      <c r="K1631">
        <v>0.29039301299999998</v>
      </c>
      <c r="L1631">
        <v>0.375</v>
      </c>
      <c r="M1631">
        <v>5.6865464999999997E-2</v>
      </c>
      <c r="N1631" t="e">
        <v>#N/A</v>
      </c>
      <c r="O1631" t="e">
        <v>#N/A</v>
      </c>
    </row>
    <row r="1632" spans="1:15" x14ac:dyDescent="0.25">
      <c r="A1632" t="s">
        <v>11</v>
      </c>
      <c r="B1632" t="s">
        <v>25</v>
      </c>
      <c r="C1632" s="3" t="str">
        <f>IF($B1632="GW1",VLOOKUP($A1632,Matches!$A:$AC,2,FALSE),IF($B1632="GW2",VLOOKUP($A1632,Matches!$A:$AC,9,FALSE),IF($B1632="GW3",VLOOKUP($A1632,Matches!$A:$AC,16,FALSE))))</f>
        <v>Wolves</v>
      </c>
      <c r="D1632" s="6">
        <v>0.33022917905026083</v>
      </c>
      <c r="E1632" s="6">
        <v>0.39306631028654532</v>
      </c>
      <c r="F1632" s="6">
        <v>-6.2837131236284482E-2</v>
      </c>
      <c r="G1632" s="3" t="s">
        <v>0</v>
      </c>
      <c r="H1632">
        <v>7.9365079000000005E-2</v>
      </c>
      <c r="I1632">
        <v>5.0125312999999998E-2</v>
      </c>
      <c r="J1632">
        <v>0.23809523799999999</v>
      </c>
      <c r="K1632">
        <v>0.29039301299999998</v>
      </c>
      <c r="L1632">
        <v>0.375</v>
      </c>
      <c r="M1632">
        <v>5.6865464999999997E-2</v>
      </c>
      <c r="N1632" t="e">
        <v>#N/A</v>
      </c>
      <c r="O1632" t="e">
        <v>#N/A</v>
      </c>
    </row>
    <row r="1633" spans="1:15" x14ac:dyDescent="0.25">
      <c r="A1633" t="s">
        <v>12</v>
      </c>
      <c r="B1633" t="s">
        <v>25</v>
      </c>
      <c r="C1633" s="3" t="str">
        <f>IF($B1633="GW1",VLOOKUP($A1633,Matches!$A:$AC,2,FALSE),IF($B1633="GW2",VLOOKUP($A1633,Matches!$A:$AC,9,FALSE),IF($B1633="GW3",VLOOKUP($A1633,Matches!$A:$AC,16,FALSE))))</f>
        <v>Chelsea</v>
      </c>
      <c r="D1633" s="6">
        <v>0.16797124332314306</v>
      </c>
      <c r="E1633" s="6">
        <v>0.63043752364140715</v>
      </c>
      <c r="F1633" s="6">
        <v>-0.46246628031826409</v>
      </c>
      <c r="G1633" s="3" t="s">
        <v>0</v>
      </c>
      <c r="H1633" t="e">
        <v>#N/A</v>
      </c>
      <c r="I1633" t="e">
        <v>#N/A</v>
      </c>
      <c r="J1633">
        <v>0.21994941200000001</v>
      </c>
      <c r="K1633">
        <v>0.157303371</v>
      </c>
      <c r="L1633">
        <v>0.57742782199999998</v>
      </c>
      <c r="M1633">
        <v>0.157303371</v>
      </c>
      <c r="N1633" t="e">
        <v>#N/A</v>
      </c>
      <c r="O1633" t="e">
        <v>#N/A</v>
      </c>
    </row>
    <row r="1634" spans="1:15" x14ac:dyDescent="0.25">
      <c r="A1634" t="s">
        <v>12</v>
      </c>
      <c r="B1634" t="s">
        <v>25</v>
      </c>
      <c r="C1634" s="3" t="str">
        <f>IF($B1634="GW1",VLOOKUP($A1634,Matches!$A:$AC,2,FALSE),IF($B1634="GW2",VLOOKUP($A1634,Matches!$A:$AC,9,FALSE),IF($B1634="GW3",VLOOKUP($A1634,Matches!$A:$AC,16,FALSE))))</f>
        <v>Chelsea</v>
      </c>
      <c r="D1634" s="6">
        <v>0.16797124332314306</v>
      </c>
      <c r="E1634" s="6">
        <v>0.63043752364140715</v>
      </c>
      <c r="F1634" s="6">
        <v>-0.46246628031826409</v>
      </c>
      <c r="G1634" s="3" t="s">
        <v>0</v>
      </c>
      <c r="H1634" t="e">
        <v>#N/A</v>
      </c>
      <c r="I1634" t="e">
        <v>#N/A</v>
      </c>
      <c r="J1634" t="e">
        <v>#N/A</v>
      </c>
      <c r="K1634">
        <v>0.157303371</v>
      </c>
      <c r="L1634">
        <v>0.57742782199999998</v>
      </c>
      <c r="M1634">
        <v>0.157303371</v>
      </c>
      <c r="N1634" t="e">
        <v>#N/A</v>
      </c>
      <c r="O1634" t="e">
        <v>#N/A</v>
      </c>
    </row>
    <row r="1635" spans="1:15" x14ac:dyDescent="0.25">
      <c r="A1635" t="s">
        <v>12</v>
      </c>
      <c r="B1635" t="s">
        <v>25</v>
      </c>
      <c r="C1635" s="3" t="str">
        <f>IF($B1635="GW1",VLOOKUP($A1635,Matches!$A:$AC,2,FALSE),IF($B1635="GW2",VLOOKUP($A1635,Matches!$A:$AC,9,FALSE),IF($B1635="GW3",VLOOKUP($A1635,Matches!$A:$AC,16,FALSE))))</f>
        <v>Chelsea</v>
      </c>
      <c r="D1635" s="6">
        <v>0.16797124332314306</v>
      </c>
      <c r="E1635" s="6">
        <v>0.63043752364140715</v>
      </c>
      <c r="F1635" s="6">
        <v>-0.46246628031826409</v>
      </c>
      <c r="G1635" s="3" t="s">
        <v>0</v>
      </c>
      <c r="H1635">
        <v>5.0125312999999998E-2</v>
      </c>
      <c r="I1635">
        <v>8.6580087E-2</v>
      </c>
      <c r="J1635">
        <v>0.27210884400000002</v>
      </c>
      <c r="K1635">
        <v>0.157303371</v>
      </c>
      <c r="L1635">
        <v>0.57742782199999998</v>
      </c>
      <c r="M1635">
        <v>0.157303371</v>
      </c>
      <c r="N1635" t="e">
        <v>#N/A</v>
      </c>
      <c r="O1635" t="e">
        <v>#N/A</v>
      </c>
    </row>
    <row r="1636" spans="1:15" x14ac:dyDescent="0.25">
      <c r="A1636" t="s">
        <v>12</v>
      </c>
      <c r="B1636" t="s">
        <v>25</v>
      </c>
      <c r="C1636" s="3" t="str">
        <f>IF($B1636="GW1",VLOOKUP($A1636,Matches!$A:$AC,2,FALSE),IF($B1636="GW2",VLOOKUP($A1636,Matches!$A:$AC,9,FALSE),IF($B1636="GW3",VLOOKUP($A1636,Matches!$A:$AC,16,FALSE))))</f>
        <v>Chelsea</v>
      </c>
      <c r="D1636" s="6">
        <v>0.16797124332314306</v>
      </c>
      <c r="E1636" s="6">
        <v>0.63043752364140715</v>
      </c>
      <c r="F1636" s="6">
        <v>-0.46246628031826409</v>
      </c>
      <c r="G1636" s="3" t="s">
        <v>0</v>
      </c>
      <c r="H1636">
        <v>5.0125312999999998E-2</v>
      </c>
      <c r="I1636">
        <v>2.8011204000000001E-2</v>
      </c>
      <c r="J1636">
        <v>0.21994941200000001</v>
      </c>
      <c r="K1636">
        <v>0.157303371</v>
      </c>
      <c r="L1636">
        <v>0.57742782199999998</v>
      </c>
      <c r="M1636">
        <v>0.157303371</v>
      </c>
      <c r="N1636" t="e">
        <v>#N/A</v>
      </c>
      <c r="O1636" t="e">
        <v>#N/A</v>
      </c>
    </row>
    <row r="1637" spans="1:15" x14ac:dyDescent="0.25">
      <c r="A1637" t="s">
        <v>12</v>
      </c>
      <c r="B1637" t="s">
        <v>25</v>
      </c>
      <c r="C1637" s="3" t="str">
        <f>IF($B1637="GW1",VLOOKUP($A1637,Matches!$A:$AC,2,FALSE),IF($B1637="GW2",VLOOKUP($A1637,Matches!$A:$AC,9,FALSE),IF($B1637="GW3",VLOOKUP($A1637,Matches!$A:$AC,16,FALSE))))</f>
        <v>Chelsea</v>
      </c>
      <c r="D1637" s="6">
        <v>0.16797124332314306</v>
      </c>
      <c r="E1637" s="6">
        <v>0.63043752364140715</v>
      </c>
      <c r="F1637" s="6">
        <v>-0.46246628031826409</v>
      </c>
      <c r="G1637" s="3" t="s">
        <v>0</v>
      </c>
      <c r="H1637">
        <v>5.0125312999999998E-2</v>
      </c>
      <c r="I1637">
        <v>2.3228803999999999E-2</v>
      </c>
      <c r="J1637">
        <v>0.23809523799999999</v>
      </c>
      <c r="K1637">
        <v>0.157303371</v>
      </c>
      <c r="L1637">
        <v>0.57742782199999998</v>
      </c>
      <c r="M1637">
        <v>0.157303371</v>
      </c>
      <c r="N1637" t="e">
        <v>#N/A</v>
      </c>
      <c r="O1637" t="e">
        <v>#N/A</v>
      </c>
    </row>
    <row r="1638" spans="1:15" x14ac:dyDescent="0.25">
      <c r="A1638" t="s">
        <v>12</v>
      </c>
      <c r="B1638" t="s">
        <v>25</v>
      </c>
      <c r="C1638" s="3" t="str">
        <f>IF($B1638="GW1",VLOOKUP($A1638,Matches!$A:$AC,2,FALSE),IF($B1638="GW2",VLOOKUP($A1638,Matches!$A:$AC,9,FALSE),IF($B1638="GW3",VLOOKUP($A1638,Matches!$A:$AC,16,FALSE))))</f>
        <v>Chelsea</v>
      </c>
      <c r="D1638" s="6">
        <v>0.16797124332314306</v>
      </c>
      <c r="E1638" s="6">
        <v>0.63043752364140715</v>
      </c>
      <c r="F1638" s="6">
        <v>-0.46246628031826409</v>
      </c>
      <c r="G1638" s="3" t="s">
        <v>0</v>
      </c>
      <c r="H1638">
        <v>5.0125312999999998E-2</v>
      </c>
      <c r="I1638">
        <v>4.5351474000000003E-2</v>
      </c>
      <c r="J1638">
        <v>0.173160173</v>
      </c>
      <c r="K1638">
        <v>0.157303371</v>
      </c>
      <c r="L1638">
        <v>0.57742782199999998</v>
      </c>
      <c r="M1638">
        <v>0.157303371</v>
      </c>
      <c r="N1638" t="e">
        <v>#N/A</v>
      </c>
      <c r="O1638" t="e">
        <v>#N/A</v>
      </c>
    </row>
    <row r="1639" spans="1:15" x14ac:dyDescent="0.25">
      <c r="A1639" t="s">
        <v>12</v>
      </c>
      <c r="B1639" t="s">
        <v>25</v>
      </c>
      <c r="C1639" s="3" t="str">
        <f>IF($B1639="GW1",VLOOKUP($A1639,Matches!$A:$AC,2,FALSE),IF($B1639="GW2",VLOOKUP($A1639,Matches!$A:$AC,9,FALSE),IF($B1639="GW3",VLOOKUP($A1639,Matches!$A:$AC,16,FALSE))))</f>
        <v>Chelsea</v>
      </c>
      <c r="D1639" s="6">
        <v>0.16797124332314306</v>
      </c>
      <c r="E1639" s="6">
        <v>0.63043752364140715</v>
      </c>
      <c r="F1639" s="6">
        <v>-0.46246628031826409</v>
      </c>
      <c r="G1639" s="3" t="s">
        <v>0</v>
      </c>
      <c r="H1639">
        <v>5.0125312999999998E-2</v>
      </c>
      <c r="I1639">
        <v>2.3228803999999999E-2</v>
      </c>
      <c r="J1639">
        <v>0.27210884400000002</v>
      </c>
      <c r="K1639">
        <v>0.157303371</v>
      </c>
      <c r="L1639">
        <v>0.57742782199999998</v>
      </c>
      <c r="M1639">
        <v>0.157303371</v>
      </c>
      <c r="N1639" t="e">
        <v>#N/A</v>
      </c>
      <c r="O1639" t="e">
        <v>#N/A</v>
      </c>
    </row>
    <row r="1640" spans="1:15" x14ac:dyDescent="0.25">
      <c r="A1640" t="s">
        <v>12</v>
      </c>
      <c r="B1640" t="s">
        <v>25</v>
      </c>
      <c r="C1640" s="3" t="str">
        <f>IF($B1640="GW1",VLOOKUP($A1640,Matches!$A:$AC,2,FALSE),IF($B1640="GW2",VLOOKUP($A1640,Matches!$A:$AC,9,FALSE),IF($B1640="GW3",VLOOKUP($A1640,Matches!$A:$AC,16,FALSE))))</f>
        <v>Chelsea</v>
      </c>
      <c r="D1640" s="6">
        <v>0.16797124332314306</v>
      </c>
      <c r="E1640" s="6">
        <v>0.63043752364140715</v>
      </c>
      <c r="F1640" s="6">
        <v>-0.46246628031826409</v>
      </c>
      <c r="G1640" s="3" t="s">
        <v>0</v>
      </c>
      <c r="H1640">
        <v>6.3492063000000001E-2</v>
      </c>
      <c r="I1640">
        <v>3.6630036999999997E-2</v>
      </c>
      <c r="J1640">
        <v>0.173160173</v>
      </c>
      <c r="K1640">
        <v>0.157303371</v>
      </c>
      <c r="L1640">
        <v>0.57742782199999998</v>
      </c>
      <c r="M1640">
        <v>0.157303371</v>
      </c>
      <c r="N1640" t="e">
        <v>#N/A</v>
      </c>
      <c r="O1640" t="e">
        <v>#N/A</v>
      </c>
    </row>
    <row r="1641" spans="1:15" x14ac:dyDescent="0.25">
      <c r="A1641" t="s">
        <v>12</v>
      </c>
      <c r="B1641" t="s">
        <v>25</v>
      </c>
      <c r="C1641" s="3" t="str">
        <f>IF($B1641="GW1",VLOOKUP($A1641,Matches!$A:$AC,2,FALSE),IF($B1641="GW2",VLOOKUP($A1641,Matches!$A:$AC,9,FALSE),IF($B1641="GW3",VLOOKUP($A1641,Matches!$A:$AC,16,FALSE))))</f>
        <v>Chelsea</v>
      </c>
      <c r="D1641" s="6">
        <v>0.16797124332314306</v>
      </c>
      <c r="E1641" s="6">
        <v>0.63043752364140715</v>
      </c>
      <c r="F1641" s="6">
        <v>-0.46246628031826409</v>
      </c>
      <c r="G1641" s="3" t="s">
        <v>0</v>
      </c>
      <c r="H1641">
        <v>9.5238094999999995E-2</v>
      </c>
      <c r="I1641">
        <v>4.1407867000000001E-2</v>
      </c>
      <c r="J1641">
        <v>0.23809523799999999</v>
      </c>
      <c r="K1641">
        <v>0.157303371</v>
      </c>
      <c r="L1641">
        <v>0.57742782199999998</v>
      </c>
      <c r="M1641">
        <v>0.157303371</v>
      </c>
      <c r="N1641" t="e">
        <v>#N/A</v>
      </c>
      <c r="O1641" t="e">
        <v>#N/A</v>
      </c>
    </row>
    <row r="1642" spans="1:15" x14ac:dyDescent="0.25">
      <c r="A1642" t="s">
        <v>12</v>
      </c>
      <c r="B1642" t="s">
        <v>25</v>
      </c>
      <c r="C1642" s="3" t="str">
        <f>IF($B1642="GW1",VLOOKUP($A1642,Matches!$A:$AC,2,FALSE),IF($B1642="GW2",VLOOKUP($A1642,Matches!$A:$AC,9,FALSE),IF($B1642="GW3",VLOOKUP($A1642,Matches!$A:$AC,16,FALSE))))</f>
        <v>Chelsea</v>
      </c>
      <c r="D1642" s="6">
        <v>0.16797124332314306</v>
      </c>
      <c r="E1642" s="6">
        <v>0.63043752364140715</v>
      </c>
      <c r="F1642" s="6">
        <v>-0.46246628031826409</v>
      </c>
      <c r="G1642" s="3" t="s">
        <v>0</v>
      </c>
      <c r="H1642" t="e">
        <v>#N/A</v>
      </c>
      <c r="I1642" t="e">
        <v>#N/A</v>
      </c>
      <c r="J1642" t="e">
        <v>#N/A</v>
      </c>
      <c r="K1642">
        <v>0.157303371</v>
      </c>
      <c r="L1642">
        <v>0.57742782199999998</v>
      </c>
      <c r="M1642">
        <v>0.157303371</v>
      </c>
      <c r="N1642" t="e">
        <v>#N/A</v>
      </c>
      <c r="O1642" t="e">
        <v>#N/A</v>
      </c>
    </row>
    <row r="1643" spans="1:15" x14ac:dyDescent="0.25">
      <c r="A1643" t="s">
        <v>12</v>
      </c>
      <c r="B1643" t="s">
        <v>25</v>
      </c>
      <c r="C1643" s="3" t="str">
        <f>IF($B1643="GW1",VLOOKUP($A1643,Matches!$A:$AC,2,FALSE),IF($B1643="GW2",VLOOKUP($A1643,Matches!$A:$AC,9,FALSE),IF($B1643="GW3",VLOOKUP($A1643,Matches!$A:$AC,16,FALSE))))</f>
        <v>Chelsea</v>
      </c>
      <c r="D1643" s="6">
        <v>0.16797124332314306</v>
      </c>
      <c r="E1643" s="6">
        <v>0.63043752364140715</v>
      </c>
      <c r="F1643" s="6">
        <v>-0.46246628031826409</v>
      </c>
      <c r="G1643" s="3" t="s">
        <v>0</v>
      </c>
      <c r="H1643">
        <v>0.173160173</v>
      </c>
      <c r="I1643">
        <v>0.11904761899999999</v>
      </c>
      <c r="J1643">
        <v>0.11904761899999999</v>
      </c>
      <c r="K1643">
        <v>0.157303371</v>
      </c>
      <c r="L1643">
        <v>0.57742782199999998</v>
      </c>
      <c r="M1643">
        <v>0.157303371</v>
      </c>
      <c r="N1643" t="e">
        <v>#N/A</v>
      </c>
      <c r="O1643" t="e">
        <v>#N/A</v>
      </c>
    </row>
    <row r="1644" spans="1:15" x14ac:dyDescent="0.25">
      <c r="A1644" t="s">
        <v>12</v>
      </c>
      <c r="B1644" t="s">
        <v>25</v>
      </c>
      <c r="C1644" s="3" t="str">
        <f>IF($B1644="GW1",VLOOKUP($A1644,Matches!$A:$AC,2,FALSE),IF($B1644="GW2",VLOOKUP($A1644,Matches!$A:$AC,9,FALSE),IF($B1644="GW3",VLOOKUP($A1644,Matches!$A:$AC,16,FALSE))))</f>
        <v>Chelsea</v>
      </c>
      <c r="D1644" s="6">
        <v>0.16797124332314306</v>
      </c>
      <c r="E1644" s="6">
        <v>0.63043752364140715</v>
      </c>
      <c r="F1644" s="6">
        <v>-0.46246628031826409</v>
      </c>
      <c r="G1644" s="3" t="s">
        <v>0</v>
      </c>
      <c r="H1644">
        <v>0.173160173</v>
      </c>
      <c r="I1644">
        <v>8.6580087E-2</v>
      </c>
      <c r="J1644">
        <v>0.13605442200000001</v>
      </c>
      <c r="K1644">
        <v>0.157303371</v>
      </c>
      <c r="L1644">
        <v>0.57742782199999998</v>
      </c>
      <c r="M1644">
        <v>0.157303371</v>
      </c>
      <c r="N1644" t="e">
        <v>#N/A</v>
      </c>
      <c r="O1644" t="e">
        <v>#N/A</v>
      </c>
    </row>
    <row r="1645" spans="1:15" x14ac:dyDescent="0.25">
      <c r="A1645" t="s">
        <v>12</v>
      </c>
      <c r="B1645" t="s">
        <v>25</v>
      </c>
      <c r="C1645" s="3" t="str">
        <f>IF($B1645="GW1",VLOOKUP($A1645,Matches!$A:$AC,2,FALSE),IF($B1645="GW2",VLOOKUP($A1645,Matches!$A:$AC,9,FALSE),IF($B1645="GW3",VLOOKUP($A1645,Matches!$A:$AC,16,FALSE))))</f>
        <v>Chelsea</v>
      </c>
      <c r="D1645" s="6">
        <v>0.16797124332314306</v>
      </c>
      <c r="E1645" s="6">
        <v>0.63043752364140715</v>
      </c>
      <c r="F1645" s="6">
        <v>-0.46246628031826409</v>
      </c>
      <c r="G1645" s="3" t="s">
        <v>0</v>
      </c>
      <c r="H1645" t="e">
        <v>#N/A</v>
      </c>
      <c r="I1645" t="e">
        <v>#N/A</v>
      </c>
      <c r="J1645" t="e">
        <v>#N/A</v>
      </c>
      <c r="K1645">
        <v>0.157303371</v>
      </c>
      <c r="L1645">
        <v>0.57742782199999998</v>
      </c>
      <c r="M1645">
        <v>0.157303371</v>
      </c>
      <c r="N1645" t="e">
        <v>#N/A</v>
      </c>
      <c r="O1645" t="e">
        <v>#N/A</v>
      </c>
    </row>
    <row r="1646" spans="1:15" x14ac:dyDescent="0.25">
      <c r="A1646" t="s">
        <v>12</v>
      </c>
      <c r="B1646" t="s">
        <v>25</v>
      </c>
      <c r="C1646" s="3" t="str">
        <f>IF($B1646="GW1",VLOOKUP($A1646,Matches!$A:$AC,2,FALSE),IF($B1646="GW2",VLOOKUP($A1646,Matches!$A:$AC,9,FALSE),IF($B1646="GW3",VLOOKUP($A1646,Matches!$A:$AC,16,FALSE))))</f>
        <v>Chelsea</v>
      </c>
      <c r="D1646" s="6">
        <v>0.16797124332314306</v>
      </c>
      <c r="E1646" s="6">
        <v>0.63043752364140715</v>
      </c>
      <c r="F1646" s="6">
        <v>-0.46246628031826409</v>
      </c>
      <c r="G1646" s="3" t="s">
        <v>0</v>
      </c>
      <c r="H1646" t="e">
        <v>#N/A</v>
      </c>
      <c r="I1646" t="e">
        <v>#N/A</v>
      </c>
      <c r="J1646" t="e">
        <v>#N/A</v>
      </c>
      <c r="K1646">
        <v>0.157303371</v>
      </c>
      <c r="L1646">
        <v>0.57742782199999998</v>
      </c>
      <c r="M1646">
        <v>0.157303371</v>
      </c>
      <c r="N1646" t="e">
        <v>#N/A</v>
      </c>
      <c r="O1646" t="e">
        <v>#N/A</v>
      </c>
    </row>
    <row r="1647" spans="1:15" x14ac:dyDescent="0.25">
      <c r="A1647" t="s">
        <v>12</v>
      </c>
      <c r="B1647" t="s">
        <v>25</v>
      </c>
      <c r="C1647" s="3" t="str">
        <f>IF($B1647="GW1",VLOOKUP($A1647,Matches!$A:$AC,2,FALSE),IF($B1647="GW2",VLOOKUP($A1647,Matches!$A:$AC,9,FALSE),IF($B1647="GW3",VLOOKUP($A1647,Matches!$A:$AC,16,FALSE))))</f>
        <v>Chelsea</v>
      </c>
      <c r="D1647" s="6">
        <v>0.16797124332314306</v>
      </c>
      <c r="E1647" s="6">
        <v>0.63043752364140715</v>
      </c>
      <c r="F1647" s="6">
        <v>-0.46246628031826409</v>
      </c>
      <c r="G1647" s="3" t="s">
        <v>0</v>
      </c>
      <c r="H1647">
        <v>0.13605442200000001</v>
      </c>
      <c r="I1647">
        <v>9.5238094999999995E-2</v>
      </c>
      <c r="J1647">
        <v>0.173160173</v>
      </c>
      <c r="K1647">
        <v>0.157303371</v>
      </c>
      <c r="L1647">
        <v>0.57742782199999998</v>
      </c>
      <c r="M1647">
        <v>0.157303371</v>
      </c>
      <c r="N1647" t="e">
        <v>#N/A</v>
      </c>
      <c r="O1647" t="e">
        <v>#N/A</v>
      </c>
    </row>
    <row r="1648" spans="1:15" x14ac:dyDescent="0.25">
      <c r="A1648" t="s">
        <v>12</v>
      </c>
      <c r="B1648" t="s">
        <v>25</v>
      </c>
      <c r="C1648" s="3" t="str">
        <f>IF($B1648="GW1",VLOOKUP($A1648,Matches!$A:$AC,2,FALSE),IF($B1648="GW2",VLOOKUP($A1648,Matches!$A:$AC,9,FALSE),IF($B1648="GW3",VLOOKUP($A1648,Matches!$A:$AC,16,FALSE))))</f>
        <v>Chelsea</v>
      </c>
      <c r="D1648" s="6">
        <v>0.16797124332314306</v>
      </c>
      <c r="E1648" s="6">
        <v>0.63043752364140715</v>
      </c>
      <c r="F1648" s="6">
        <v>-0.46246628031826409</v>
      </c>
      <c r="G1648" s="3" t="s">
        <v>0</v>
      </c>
      <c r="H1648">
        <v>0.15873015900000001</v>
      </c>
      <c r="I1648">
        <v>9.5238094999999995E-2</v>
      </c>
      <c r="J1648">
        <v>0.173160173</v>
      </c>
      <c r="K1648">
        <v>0.157303371</v>
      </c>
      <c r="L1648">
        <v>0.57742782199999998</v>
      </c>
      <c r="M1648">
        <v>0.157303371</v>
      </c>
      <c r="N1648" t="e">
        <v>#N/A</v>
      </c>
      <c r="O1648" t="e">
        <v>#N/A</v>
      </c>
    </row>
    <row r="1649" spans="1:15" x14ac:dyDescent="0.25">
      <c r="A1649" t="s">
        <v>12</v>
      </c>
      <c r="B1649" t="s">
        <v>25</v>
      </c>
      <c r="C1649" s="3" t="str">
        <f>IF($B1649="GW1",VLOOKUP($A1649,Matches!$A:$AC,2,FALSE),IF($B1649="GW2",VLOOKUP($A1649,Matches!$A:$AC,9,FALSE),IF($B1649="GW3",VLOOKUP($A1649,Matches!$A:$AC,16,FALSE))))</f>
        <v>Chelsea</v>
      </c>
      <c r="D1649" s="6">
        <v>0.16797124332314306</v>
      </c>
      <c r="E1649" s="6">
        <v>0.63043752364140715</v>
      </c>
      <c r="F1649" s="6">
        <v>-0.46246628031826409</v>
      </c>
      <c r="G1649" s="3" t="s">
        <v>0</v>
      </c>
      <c r="H1649">
        <v>0.10025062699999999</v>
      </c>
      <c r="I1649">
        <v>3.6630036999999997E-2</v>
      </c>
      <c r="J1649">
        <v>0.23809523799999999</v>
      </c>
      <c r="K1649">
        <v>0.157303371</v>
      </c>
      <c r="L1649">
        <v>0.57742782199999998</v>
      </c>
      <c r="M1649">
        <v>0.157303371</v>
      </c>
      <c r="N1649" t="e">
        <v>#N/A</v>
      </c>
      <c r="O1649" t="e">
        <v>#N/A</v>
      </c>
    </row>
    <row r="1650" spans="1:15" x14ac:dyDescent="0.25">
      <c r="A1650" t="s">
        <v>12</v>
      </c>
      <c r="B1650" t="s">
        <v>25</v>
      </c>
      <c r="C1650" s="3" t="str">
        <f>IF($B1650="GW1",VLOOKUP($A1650,Matches!$A:$AC,2,FALSE),IF($B1650="GW2",VLOOKUP($A1650,Matches!$A:$AC,9,FALSE),IF($B1650="GW3",VLOOKUP($A1650,Matches!$A:$AC,16,FALSE))))</f>
        <v>Chelsea</v>
      </c>
      <c r="D1650" s="6">
        <v>0.16797124332314306</v>
      </c>
      <c r="E1650" s="6">
        <v>0.63043752364140715</v>
      </c>
      <c r="F1650" s="6">
        <v>-0.46246628031826409</v>
      </c>
      <c r="G1650" s="3" t="s">
        <v>0</v>
      </c>
      <c r="H1650">
        <v>0.112044818</v>
      </c>
      <c r="I1650">
        <v>9.5238094999999995E-2</v>
      </c>
      <c r="J1650">
        <v>0.173160173</v>
      </c>
      <c r="K1650">
        <v>0.157303371</v>
      </c>
      <c r="L1650">
        <v>0.57742782199999998</v>
      </c>
      <c r="M1650">
        <v>0.157303371</v>
      </c>
      <c r="N1650" t="e">
        <v>#N/A</v>
      </c>
      <c r="O1650" t="e">
        <v>#N/A</v>
      </c>
    </row>
    <row r="1651" spans="1:15" x14ac:dyDescent="0.25">
      <c r="A1651" t="s">
        <v>12</v>
      </c>
      <c r="B1651" t="s">
        <v>25</v>
      </c>
      <c r="C1651" s="3" t="str">
        <f>IF($B1651="GW1",VLOOKUP($A1651,Matches!$A:$AC,2,FALSE),IF($B1651="GW2",VLOOKUP($A1651,Matches!$A:$AC,9,FALSE),IF($B1651="GW3",VLOOKUP($A1651,Matches!$A:$AC,16,FALSE))))</f>
        <v>Chelsea</v>
      </c>
      <c r="D1651" s="6">
        <v>0.16797124332314306</v>
      </c>
      <c r="E1651" s="6">
        <v>0.63043752364140715</v>
      </c>
      <c r="F1651" s="6">
        <v>-0.46246628031826409</v>
      </c>
      <c r="G1651" s="3" t="s">
        <v>0</v>
      </c>
      <c r="H1651">
        <v>9.5238094999999995E-2</v>
      </c>
      <c r="I1651">
        <v>7.3260072999999995E-2</v>
      </c>
      <c r="J1651">
        <v>0.346320346</v>
      </c>
      <c r="K1651">
        <v>0.157303371</v>
      </c>
      <c r="L1651">
        <v>0.57742782199999998</v>
      </c>
      <c r="M1651">
        <v>0.157303371</v>
      </c>
      <c r="N1651" t="e">
        <v>#N/A</v>
      </c>
      <c r="O1651" t="e">
        <v>#N/A</v>
      </c>
    </row>
    <row r="1652" spans="1:15" x14ac:dyDescent="0.25">
      <c r="A1652" t="s">
        <v>12</v>
      </c>
      <c r="B1652" t="s">
        <v>25</v>
      </c>
      <c r="C1652" s="3" t="str">
        <f>IF($B1652="GW1",VLOOKUP($A1652,Matches!$A:$AC,2,FALSE),IF($B1652="GW2",VLOOKUP($A1652,Matches!$A:$AC,9,FALSE),IF($B1652="GW3",VLOOKUP($A1652,Matches!$A:$AC,16,FALSE))))</f>
        <v>Chelsea</v>
      </c>
      <c r="D1652" s="6">
        <v>0.16797124332314306</v>
      </c>
      <c r="E1652" s="6">
        <v>0.63043752364140715</v>
      </c>
      <c r="F1652" s="6">
        <v>-0.46246628031826409</v>
      </c>
      <c r="G1652" s="3" t="s">
        <v>0</v>
      </c>
      <c r="H1652" t="e">
        <v>#N/A</v>
      </c>
      <c r="I1652" t="e">
        <v>#N/A</v>
      </c>
      <c r="J1652" t="e">
        <v>#N/A</v>
      </c>
      <c r="K1652">
        <v>0.157303371</v>
      </c>
      <c r="L1652">
        <v>0.57742782199999998</v>
      </c>
      <c r="M1652">
        <v>0.157303371</v>
      </c>
      <c r="N1652" t="e">
        <v>#N/A</v>
      </c>
      <c r="O1652" t="e">
        <v>#N/A</v>
      </c>
    </row>
    <row r="1653" spans="1:15" x14ac:dyDescent="0.25">
      <c r="A1653" t="s">
        <v>12</v>
      </c>
      <c r="B1653" t="s">
        <v>25</v>
      </c>
      <c r="C1653" s="3" t="str">
        <f>IF($B1653="GW1",VLOOKUP($A1653,Matches!$A:$AC,2,FALSE),IF($B1653="GW2",VLOOKUP($A1653,Matches!$A:$AC,9,FALSE),IF($B1653="GW3",VLOOKUP($A1653,Matches!$A:$AC,16,FALSE))))</f>
        <v>Chelsea</v>
      </c>
      <c r="D1653" s="6">
        <v>0.16797124332314306</v>
      </c>
      <c r="E1653" s="6">
        <v>0.63043752364140715</v>
      </c>
      <c r="F1653" s="6">
        <v>-0.46246628031826409</v>
      </c>
      <c r="G1653" s="3" t="s">
        <v>0</v>
      </c>
      <c r="H1653" t="e">
        <v>#N/A</v>
      </c>
      <c r="I1653" t="e">
        <v>#N/A</v>
      </c>
      <c r="J1653" t="e">
        <v>#N/A</v>
      </c>
      <c r="K1653">
        <v>0.157303371</v>
      </c>
      <c r="L1653">
        <v>0.57742782199999998</v>
      </c>
      <c r="M1653">
        <v>0.157303371</v>
      </c>
      <c r="N1653" t="e">
        <v>#N/A</v>
      </c>
      <c r="O1653" t="e">
        <v>#N/A</v>
      </c>
    </row>
    <row r="1654" spans="1:15" x14ac:dyDescent="0.25">
      <c r="A1654" t="s">
        <v>12</v>
      </c>
      <c r="B1654" t="s">
        <v>25</v>
      </c>
      <c r="C1654" s="3" t="str">
        <f>IF($B1654="GW1",VLOOKUP($A1654,Matches!$A:$AC,2,FALSE),IF($B1654="GW2",VLOOKUP($A1654,Matches!$A:$AC,9,FALSE),IF($B1654="GW3",VLOOKUP($A1654,Matches!$A:$AC,16,FALSE))))</f>
        <v>Chelsea</v>
      </c>
      <c r="D1654" s="6">
        <v>0.16797124332314306</v>
      </c>
      <c r="E1654" s="6">
        <v>0.63043752364140715</v>
      </c>
      <c r="F1654" s="6">
        <v>-0.46246628031826409</v>
      </c>
      <c r="G1654" s="3" t="s">
        <v>0</v>
      </c>
      <c r="H1654" t="e">
        <v>#N/A</v>
      </c>
      <c r="I1654" t="e">
        <v>#N/A</v>
      </c>
      <c r="J1654" t="e">
        <v>#N/A</v>
      </c>
      <c r="K1654">
        <v>0.157303371</v>
      </c>
      <c r="L1654">
        <v>0.57742782199999998</v>
      </c>
      <c r="M1654">
        <v>0.157303371</v>
      </c>
      <c r="N1654" t="e">
        <v>#N/A</v>
      </c>
      <c r="O1654" t="e">
        <v>#N/A</v>
      </c>
    </row>
    <row r="1655" spans="1:15" x14ac:dyDescent="0.25">
      <c r="A1655" t="s">
        <v>12</v>
      </c>
      <c r="B1655" t="s">
        <v>25</v>
      </c>
      <c r="C1655" s="3" t="str">
        <f>IF($B1655="GW1",VLOOKUP($A1655,Matches!$A:$AC,2,FALSE),IF($B1655="GW2",VLOOKUP($A1655,Matches!$A:$AC,9,FALSE),IF($B1655="GW3",VLOOKUP($A1655,Matches!$A:$AC,16,FALSE))))</f>
        <v>Chelsea</v>
      </c>
      <c r="D1655" s="6">
        <v>0.16797124332314306</v>
      </c>
      <c r="E1655" s="6">
        <v>0.63043752364140715</v>
      </c>
      <c r="F1655" s="6">
        <v>-0.46246628031826409</v>
      </c>
      <c r="G1655" s="3" t="s">
        <v>0</v>
      </c>
      <c r="H1655">
        <v>7.9365079000000005E-2</v>
      </c>
      <c r="I1655">
        <v>6.3492063000000001E-2</v>
      </c>
      <c r="J1655">
        <v>0.27210884400000002</v>
      </c>
      <c r="K1655">
        <v>0.157303371</v>
      </c>
      <c r="L1655">
        <v>0.57742782199999998</v>
      </c>
      <c r="M1655">
        <v>0.157303371</v>
      </c>
      <c r="N1655" t="e">
        <v>#N/A</v>
      </c>
      <c r="O1655" t="e">
        <v>#N/A</v>
      </c>
    </row>
    <row r="1656" spans="1:15" x14ac:dyDescent="0.25">
      <c r="A1656" t="s">
        <v>12</v>
      </c>
      <c r="B1656" t="s">
        <v>25</v>
      </c>
      <c r="C1656" s="3" t="str">
        <f>IF($B1656="GW1",VLOOKUP($A1656,Matches!$A:$AC,2,FALSE),IF($B1656="GW2",VLOOKUP($A1656,Matches!$A:$AC,9,FALSE),IF($B1656="GW3",VLOOKUP($A1656,Matches!$A:$AC,16,FALSE))))</f>
        <v>Chelsea</v>
      </c>
      <c r="D1656" s="6">
        <v>0.16797124332314306</v>
      </c>
      <c r="E1656" s="6">
        <v>0.63043752364140715</v>
      </c>
      <c r="F1656" s="6">
        <v>-0.46246628031826409</v>
      </c>
      <c r="G1656" s="3" t="s">
        <v>0</v>
      </c>
      <c r="H1656">
        <v>0.26455026500000001</v>
      </c>
      <c r="I1656">
        <v>9.5238094999999995E-2</v>
      </c>
      <c r="J1656">
        <v>0.23809523799999999</v>
      </c>
      <c r="K1656">
        <v>0.157303371</v>
      </c>
      <c r="L1656">
        <v>0.57742782199999998</v>
      </c>
      <c r="M1656">
        <v>0.157303371</v>
      </c>
      <c r="N1656" t="e">
        <v>#N/A</v>
      </c>
      <c r="O1656" t="e">
        <v>#N/A</v>
      </c>
    </row>
    <row r="1657" spans="1:15" x14ac:dyDescent="0.25">
      <c r="A1657" t="s">
        <v>12</v>
      </c>
      <c r="B1657" t="s">
        <v>25</v>
      </c>
      <c r="C1657" s="3" t="str">
        <f>IF($B1657="GW1",VLOOKUP($A1657,Matches!$A:$AC,2,FALSE),IF($B1657="GW2",VLOOKUP($A1657,Matches!$A:$AC,9,FALSE),IF($B1657="GW3",VLOOKUP($A1657,Matches!$A:$AC,16,FALSE))))</f>
        <v>Chelsea</v>
      </c>
      <c r="D1657" s="6">
        <v>0.16797124332314306</v>
      </c>
      <c r="E1657" s="6">
        <v>0.63043752364140715</v>
      </c>
      <c r="F1657" s="6">
        <v>-0.46246628031826409</v>
      </c>
      <c r="G1657" s="3" t="s">
        <v>0</v>
      </c>
      <c r="H1657" t="e">
        <v>#N/A</v>
      </c>
      <c r="I1657" t="e">
        <v>#N/A</v>
      </c>
      <c r="J1657" t="e">
        <v>#N/A</v>
      </c>
      <c r="K1657">
        <v>0.157303371</v>
      </c>
      <c r="L1657">
        <v>0.57742782199999998</v>
      </c>
      <c r="M1657">
        <v>0.157303371</v>
      </c>
      <c r="N1657" t="e">
        <v>#N/A</v>
      </c>
      <c r="O1657" t="e">
        <v>#N/A</v>
      </c>
    </row>
    <row r="1658" spans="1:15" x14ac:dyDescent="0.25">
      <c r="A1658" t="s">
        <v>12</v>
      </c>
      <c r="B1658" t="s">
        <v>25</v>
      </c>
      <c r="C1658" s="3" t="str">
        <f>IF($B1658="GW1",VLOOKUP($A1658,Matches!$A:$AC,2,FALSE),IF($B1658="GW2",VLOOKUP($A1658,Matches!$A:$AC,9,FALSE),IF($B1658="GW3",VLOOKUP($A1658,Matches!$A:$AC,16,FALSE))))</f>
        <v>Chelsea</v>
      </c>
      <c r="D1658" s="6">
        <v>0.16797124332314306</v>
      </c>
      <c r="E1658" s="6">
        <v>0.63043752364140715</v>
      </c>
      <c r="F1658" s="6">
        <v>-0.46246628031826409</v>
      </c>
      <c r="G1658" s="3" t="s">
        <v>0</v>
      </c>
      <c r="H1658" t="e">
        <v>#N/A</v>
      </c>
      <c r="I1658" t="e">
        <v>#N/A</v>
      </c>
      <c r="J1658">
        <v>0.13605442200000001</v>
      </c>
      <c r="K1658">
        <v>0.157303371</v>
      </c>
      <c r="L1658">
        <v>0.57742782199999998</v>
      </c>
      <c r="M1658">
        <v>0.157303371</v>
      </c>
      <c r="N1658" t="e">
        <v>#N/A</v>
      </c>
      <c r="O1658" t="e">
        <v>#N/A</v>
      </c>
    </row>
    <row r="1659" spans="1:15" x14ac:dyDescent="0.25">
      <c r="A1659" t="s">
        <v>13</v>
      </c>
      <c r="B1659" t="s">
        <v>25</v>
      </c>
      <c r="C1659" s="3" t="str">
        <f>IF($B1659="GW1",VLOOKUP($A1659,Matches!$A:$AC,2,FALSE),IF($B1659="GW2",VLOOKUP($A1659,Matches!$A:$AC,9,FALSE),IF($B1659="GW3",VLOOKUP($A1659,Matches!$A:$AC,16,FALSE))))</f>
        <v>Newcastle</v>
      </c>
      <c r="D1659" s="6">
        <v>0.26526606186004559</v>
      </c>
      <c r="E1659" s="6">
        <v>0.49282933320191213</v>
      </c>
      <c r="F1659" s="6">
        <v>-0.22756327134186655</v>
      </c>
      <c r="G1659" s="3" t="s">
        <v>1</v>
      </c>
      <c r="H1659" t="e">
        <v>#N/A</v>
      </c>
      <c r="I1659" t="e">
        <v>#N/A</v>
      </c>
      <c r="J1659">
        <v>0.173160173</v>
      </c>
      <c r="K1659">
        <v>0.20774647900000001</v>
      </c>
      <c r="L1659">
        <v>0.486486486</v>
      </c>
      <c r="M1659">
        <v>9.6004338999999994E-2</v>
      </c>
      <c r="N1659" t="e">
        <v>#N/A</v>
      </c>
      <c r="O1659" t="e">
        <v>#N/A</v>
      </c>
    </row>
    <row r="1660" spans="1:15" x14ac:dyDescent="0.25">
      <c r="A1660" t="s">
        <v>13</v>
      </c>
      <c r="B1660" t="s">
        <v>25</v>
      </c>
      <c r="C1660" s="3" t="str">
        <f>IF($B1660="GW1",VLOOKUP($A1660,Matches!$A:$AC,2,FALSE),IF($B1660="GW2",VLOOKUP($A1660,Matches!$A:$AC,9,FALSE),IF($B1660="GW3",VLOOKUP($A1660,Matches!$A:$AC,16,FALSE))))</f>
        <v>Newcastle</v>
      </c>
      <c r="D1660" s="6">
        <v>0.26526606186004559</v>
      </c>
      <c r="E1660" s="6">
        <v>0.49282933320191213</v>
      </c>
      <c r="F1660" s="6">
        <v>-0.22756327134186655</v>
      </c>
      <c r="G1660" s="3" t="s">
        <v>1</v>
      </c>
      <c r="H1660" t="e">
        <v>#N/A</v>
      </c>
      <c r="I1660" t="e">
        <v>#N/A</v>
      </c>
      <c r="J1660">
        <v>0.173160173</v>
      </c>
      <c r="K1660">
        <v>0.20774647900000001</v>
      </c>
      <c r="L1660">
        <v>0.486486486</v>
      </c>
      <c r="M1660">
        <v>9.6004338999999994E-2</v>
      </c>
      <c r="N1660" t="e">
        <v>#N/A</v>
      </c>
      <c r="O1660" t="e">
        <v>#N/A</v>
      </c>
    </row>
    <row r="1661" spans="1:15" x14ac:dyDescent="0.25">
      <c r="A1661" t="s">
        <v>13</v>
      </c>
      <c r="B1661" t="s">
        <v>25</v>
      </c>
      <c r="C1661" s="3" t="str">
        <f>IF($B1661="GW1",VLOOKUP($A1661,Matches!$A:$AC,2,FALSE),IF($B1661="GW2",VLOOKUP($A1661,Matches!$A:$AC,9,FALSE),IF($B1661="GW3",VLOOKUP($A1661,Matches!$A:$AC,16,FALSE))))</f>
        <v>Newcastle</v>
      </c>
      <c r="D1661" s="6">
        <v>0.26526606186004559</v>
      </c>
      <c r="E1661" s="6">
        <v>0.49282933320191213</v>
      </c>
      <c r="F1661" s="6">
        <v>-0.22756327134186655</v>
      </c>
      <c r="G1661" s="3" t="s">
        <v>1</v>
      </c>
      <c r="H1661" t="e">
        <v>#N/A</v>
      </c>
      <c r="I1661" t="e">
        <v>#N/A</v>
      </c>
      <c r="J1661">
        <v>0.173160173</v>
      </c>
      <c r="K1661">
        <v>0.20774647900000001</v>
      </c>
      <c r="L1661">
        <v>0.486486486</v>
      </c>
      <c r="M1661">
        <v>9.6004338999999994E-2</v>
      </c>
      <c r="N1661" t="e">
        <v>#N/A</v>
      </c>
      <c r="O1661" t="e">
        <v>#N/A</v>
      </c>
    </row>
    <row r="1662" spans="1:15" x14ac:dyDescent="0.25">
      <c r="A1662" t="s">
        <v>13</v>
      </c>
      <c r="B1662" t="s">
        <v>25</v>
      </c>
      <c r="C1662" s="3" t="str">
        <f>IF($B1662="GW1",VLOOKUP($A1662,Matches!$A:$AC,2,FALSE),IF($B1662="GW2",VLOOKUP($A1662,Matches!$A:$AC,9,FALSE),IF($B1662="GW3",VLOOKUP($A1662,Matches!$A:$AC,16,FALSE))))</f>
        <v>Newcastle</v>
      </c>
      <c r="D1662" s="6">
        <v>0.26526606186004559</v>
      </c>
      <c r="E1662" s="6">
        <v>0.49282933320191213</v>
      </c>
      <c r="F1662" s="6">
        <v>-0.22756327134186655</v>
      </c>
      <c r="G1662" s="3" t="s">
        <v>1</v>
      </c>
      <c r="H1662">
        <v>7.9365079000000005E-2</v>
      </c>
      <c r="I1662">
        <v>9.5238094999999995E-2</v>
      </c>
      <c r="J1662">
        <v>0.36350418000000001</v>
      </c>
      <c r="K1662">
        <v>0.20774647900000001</v>
      </c>
      <c r="L1662">
        <v>0.486486486</v>
      </c>
      <c r="M1662">
        <v>9.6004338999999994E-2</v>
      </c>
      <c r="N1662" t="e">
        <v>#N/A</v>
      </c>
      <c r="O1662" t="e">
        <v>#N/A</v>
      </c>
    </row>
    <row r="1663" spans="1:15" x14ac:dyDescent="0.25">
      <c r="A1663" t="s">
        <v>13</v>
      </c>
      <c r="B1663" t="s">
        <v>25</v>
      </c>
      <c r="C1663" s="3" t="str">
        <f>IF($B1663="GW1",VLOOKUP($A1663,Matches!$A:$AC,2,FALSE),IF($B1663="GW2",VLOOKUP($A1663,Matches!$A:$AC,9,FALSE),IF($B1663="GW3",VLOOKUP($A1663,Matches!$A:$AC,16,FALSE))))</f>
        <v>Newcastle</v>
      </c>
      <c r="D1663" s="6">
        <v>0.26526606186004559</v>
      </c>
      <c r="E1663" s="6">
        <v>0.49282933320191213</v>
      </c>
      <c r="F1663" s="6">
        <v>-0.22756327134186655</v>
      </c>
      <c r="G1663" s="3" t="s">
        <v>1</v>
      </c>
      <c r="H1663">
        <v>0.11904761899999999</v>
      </c>
      <c r="I1663">
        <v>3.2840722000000003E-2</v>
      </c>
      <c r="J1663">
        <v>0.21994941200000001</v>
      </c>
      <c r="K1663">
        <v>0.20774647900000001</v>
      </c>
      <c r="L1663">
        <v>0.486486486</v>
      </c>
      <c r="M1663">
        <v>9.6004338999999994E-2</v>
      </c>
      <c r="N1663" t="e">
        <v>#N/A</v>
      </c>
      <c r="O1663" t="e">
        <v>#N/A</v>
      </c>
    </row>
    <row r="1664" spans="1:15" x14ac:dyDescent="0.25">
      <c r="A1664" t="s">
        <v>13</v>
      </c>
      <c r="B1664" t="s">
        <v>25</v>
      </c>
      <c r="C1664" s="3" t="str">
        <f>IF($B1664="GW1",VLOOKUP($A1664,Matches!$A:$AC,2,FALSE),IF($B1664="GW2",VLOOKUP($A1664,Matches!$A:$AC,9,FALSE),IF($B1664="GW3",VLOOKUP($A1664,Matches!$A:$AC,16,FALSE))))</f>
        <v>Newcastle</v>
      </c>
      <c r="D1664" s="6">
        <v>0.26526606186004559</v>
      </c>
      <c r="E1664" s="6">
        <v>0.49282933320191213</v>
      </c>
      <c r="F1664" s="6">
        <v>-0.22756327134186655</v>
      </c>
      <c r="G1664" s="3" t="s">
        <v>1</v>
      </c>
      <c r="H1664">
        <v>7.9365079000000005E-2</v>
      </c>
      <c r="I1664">
        <v>4.1407867000000001E-2</v>
      </c>
      <c r="J1664">
        <v>0.36350418000000001</v>
      </c>
      <c r="K1664">
        <v>0.20774647900000001</v>
      </c>
      <c r="L1664">
        <v>0.486486486</v>
      </c>
      <c r="M1664">
        <v>9.6004338999999994E-2</v>
      </c>
      <c r="N1664" t="e">
        <v>#N/A</v>
      </c>
      <c r="O1664" t="e">
        <v>#N/A</v>
      </c>
    </row>
    <row r="1665" spans="1:15" x14ac:dyDescent="0.25">
      <c r="A1665" t="s">
        <v>13</v>
      </c>
      <c r="B1665" t="s">
        <v>25</v>
      </c>
      <c r="C1665" s="3" t="str">
        <f>IF($B1665="GW1",VLOOKUP($A1665,Matches!$A:$AC,2,FALSE),IF($B1665="GW2",VLOOKUP($A1665,Matches!$A:$AC,9,FALSE),IF($B1665="GW3",VLOOKUP($A1665,Matches!$A:$AC,16,FALSE))))</f>
        <v>Newcastle</v>
      </c>
      <c r="D1665" s="6">
        <v>0.26526606186004559</v>
      </c>
      <c r="E1665" s="6">
        <v>0.49282933320191213</v>
      </c>
      <c r="F1665" s="6">
        <v>-0.22756327134186655</v>
      </c>
      <c r="G1665" s="3" t="s">
        <v>1</v>
      </c>
      <c r="H1665">
        <v>7.9365079000000005E-2</v>
      </c>
      <c r="I1665">
        <v>3.2840722000000003E-2</v>
      </c>
      <c r="J1665">
        <v>0.307219662</v>
      </c>
      <c r="K1665">
        <v>0.20774647900000001</v>
      </c>
      <c r="L1665">
        <v>0.486486486</v>
      </c>
      <c r="M1665">
        <v>9.6004338999999994E-2</v>
      </c>
      <c r="N1665" t="e">
        <v>#N/A</v>
      </c>
      <c r="O1665" t="e">
        <v>#N/A</v>
      </c>
    </row>
    <row r="1666" spans="1:15" x14ac:dyDescent="0.25">
      <c r="A1666" t="s">
        <v>13</v>
      </c>
      <c r="B1666" t="s">
        <v>25</v>
      </c>
      <c r="C1666" s="3" t="str">
        <f>IF($B1666="GW1",VLOOKUP($A1666,Matches!$A:$AC,2,FALSE),IF($B1666="GW2",VLOOKUP($A1666,Matches!$A:$AC,9,FALSE),IF($B1666="GW3",VLOOKUP($A1666,Matches!$A:$AC,16,FALSE))))</f>
        <v>Newcastle</v>
      </c>
      <c r="D1666" s="6">
        <v>0.26526606186004559</v>
      </c>
      <c r="E1666" s="6">
        <v>0.49282933320191213</v>
      </c>
      <c r="F1666" s="6">
        <v>-0.22756327134186655</v>
      </c>
      <c r="G1666" s="3" t="s">
        <v>1</v>
      </c>
      <c r="H1666">
        <v>5.6022409000000002E-2</v>
      </c>
      <c r="I1666">
        <v>6.3492063000000001E-2</v>
      </c>
      <c r="J1666">
        <v>0.307219662</v>
      </c>
      <c r="K1666">
        <v>0.20774647900000001</v>
      </c>
      <c r="L1666">
        <v>0.486486486</v>
      </c>
      <c r="M1666">
        <v>9.6004338999999994E-2</v>
      </c>
      <c r="N1666" t="e">
        <v>#N/A</v>
      </c>
      <c r="O1666" t="e">
        <v>#N/A</v>
      </c>
    </row>
    <row r="1667" spans="1:15" x14ac:dyDescent="0.25">
      <c r="A1667" t="s">
        <v>13</v>
      </c>
      <c r="B1667" t="s">
        <v>25</v>
      </c>
      <c r="C1667" s="3" t="str">
        <f>IF($B1667="GW1",VLOOKUP($A1667,Matches!$A:$AC,2,FALSE),IF($B1667="GW2",VLOOKUP($A1667,Matches!$A:$AC,9,FALSE),IF($B1667="GW3",VLOOKUP($A1667,Matches!$A:$AC,16,FALSE))))</f>
        <v>Newcastle</v>
      </c>
      <c r="D1667" s="6">
        <v>0.26526606186004559</v>
      </c>
      <c r="E1667" s="6">
        <v>0.49282933320191213</v>
      </c>
      <c r="F1667" s="6">
        <v>-0.22756327134186655</v>
      </c>
      <c r="G1667" s="3" t="s">
        <v>1</v>
      </c>
      <c r="H1667">
        <v>6.3492063000000001E-2</v>
      </c>
      <c r="I1667">
        <v>6.3492063000000001E-2</v>
      </c>
      <c r="J1667">
        <v>0.19047618999999999</v>
      </c>
      <c r="K1667">
        <v>0.20774647900000001</v>
      </c>
      <c r="L1667">
        <v>0.486486486</v>
      </c>
      <c r="M1667">
        <v>9.6004338999999994E-2</v>
      </c>
      <c r="N1667" t="e">
        <v>#N/A</v>
      </c>
      <c r="O1667" t="e">
        <v>#N/A</v>
      </c>
    </row>
    <row r="1668" spans="1:15" x14ac:dyDescent="0.25">
      <c r="A1668" t="s">
        <v>13</v>
      </c>
      <c r="B1668" t="s">
        <v>25</v>
      </c>
      <c r="C1668" s="3" t="str">
        <f>IF($B1668="GW1",VLOOKUP($A1668,Matches!$A:$AC,2,FALSE),IF($B1668="GW2",VLOOKUP($A1668,Matches!$A:$AC,9,FALSE),IF($B1668="GW3",VLOOKUP($A1668,Matches!$A:$AC,16,FALSE))))</f>
        <v>Newcastle</v>
      </c>
      <c r="D1668" s="6">
        <v>0.26526606186004559</v>
      </c>
      <c r="E1668" s="6">
        <v>0.49282933320191213</v>
      </c>
      <c r="F1668" s="6">
        <v>-0.22756327134186655</v>
      </c>
      <c r="G1668" s="3" t="s">
        <v>1</v>
      </c>
      <c r="H1668">
        <v>5.6022409000000002E-2</v>
      </c>
      <c r="I1668">
        <v>3.2840722000000003E-2</v>
      </c>
      <c r="J1668">
        <v>0.253968254</v>
      </c>
      <c r="K1668">
        <v>0.20774647900000001</v>
      </c>
      <c r="L1668">
        <v>0.486486486</v>
      </c>
      <c r="M1668">
        <v>9.6004338999999994E-2</v>
      </c>
      <c r="N1668" t="e">
        <v>#N/A</v>
      </c>
      <c r="O1668" t="e">
        <v>#N/A</v>
      </c>
    </row>
    <row r="1669" spans="1:15" x14ac:dyDescent="0.25">
      <c r="A1669" t="s">
        <v>13</v>
      </c>
      <c r="B1669" t="s">
        <v>25</v>
      </c>
      <c r="C1669" s="3" t="str">
        <f>IF($B1669="GW1",VLOOKUP($A1669,Matches!$A:$AC,2,FALSE),IF($B1669="GW2",VLOOKUP($A1669,Matches!$A:$AC,9,FALSE),IF($B1669="GW3",VLOOKUP($A1669,Matches!$A:$AC,16,FALSE))))</f>
        <v>Newcastle</v>
      </c>
      <c r="D1669" s="6">
        <v>0.26526606186004559</v>
      </c>
      <c r="E1669" s="6">
        <v>0.49282933320191213</v>
      </c>
      <c r="F1669" s="6">
        <v>-0.22756327134186655</v>
      </c>
      <c r="G1669" s="3" t="s">
        <v>1</v>
      </c>
      <c r="H1669">
        <v>0.10025062699999999</v>
      </c>
      <c r="I1669">
        <v>7.3260072999999995E-2</v>
      </c>
      <c r="J1669">
        <v>0.27210884400000002</v>
      </c>
      <c r="K1669">
        <v>0.20774647900000001</v>
      </c>
      <c r="L1669">
        <v>0.486486486</v>
      </c>
      <c r="M1669">
        <v>9.6004338999999994E-2</v>
      </c>
      <c r="N1669" t="e">
        <v>#N/A</v>
      </c>
      <c r="O1669" t="e">
        <v>#N/A</v>
      </c>
    </row>
    <row r="1670" spans="1:15" x14ac:dyDescent="0.25">
      <c r="A1670" t="s">
        <v>13</v>
      </c>
      <c r="B1670" t="s">
        <v>25</v>
      </c>
      <c r="C1670" s="3" t="str">
        <f>IF($B1670="GW1",VLOOKUP($A1670,Matches!$A:$AC,2,FALSE),IF($B1670="GW2",VLOOKUP($A1670,Matches!$A:$AC,9,FALSE),IF($B1670="GW3",VLOOKUP($A1670,Matches!$A:$AC,16,FALSE))))</f>
        <v>Newcastle</v>
      </c>
      <c r="D1670" s="6">
        <v>0.26526606186004559</v>
      </c>
      <c r="E1670" s="6">
        <v>0.49282933320191213</v>
      </c>
      <c r="F1670" s="6">
        <v>-0.22756327134186655</v>
      </c>
      <c r="G1670" s="3" t="s">
        <v>1</v>
      </c>
      <c r="H1670">
        <v>0.173160173</v>
      </c>
      <c r="I1670">
        <v>8.6580087E-2</v>
      </c>
      <c r="J1670">
        <v>0.19047618999999999</v>
      </c>
      <c r="K1670">
        <v>0.20774647900000001</v>
      </c>
      <c r="L1670">
        <v>0.486486486</v>
      </c>
      <c r="M1670">
        <v>9.6004338999999994E-2</v>
      </c>
      <c r="N1670" t="e">
        <v>#N/A</v>
      </c>
      <c r="O1670" t="e">
        <v>#N/A</v>
      </c>
    </row>
    <row r="1671" spans="1:15" x14ac:dyDescent="0.25">
      <c r="A1671" t="s">
        <v>13</v>
      </c>
      <c r="B1671" t="s">
        <v>25</v>
      </c>
      <c r="C1671" s="3" t="str">
        <f>IF($B1671="GW1",VLOOKUP($A1671,Matches!$A:$AC,2,FALSE),IF($B1671="GW2",VLOOKUP($A1671,Matches!$A:$AC,9,FALSE),IF($B1671="GW3",VLOOKUP($A1671,Matches!$A:$AC,16,FALSE))))</f>
        <v>Newcastle</v>
      </c>
      <c r="D1671" s="6">
        <v>0.26526606186004559</v>
      </c>
      <c r="E1671" s="6">
        <v>0.49282933320191213</v>
      </c>
      <c r="F1671" s="6">
        <v>-0.22756327134186655</v>
      </c>
      <c r="G1671" s="3" t="s">
        <v>1</v>
      </c>
      <c r="H1671">
        <v>0.23809523799999999</v>
      </c>
      <c r="I1671">
        <v>0.14652014699999999</v>
      </c>
      <c r="J1671">
        <v>0.253968254</v>
      </c>
      <c r="K1671">
        <v>0.20774647900000001</v>
      </c>
      <c r="L1671">
        <v>0.486486486</v>
      </c>
      <c r="M1671">
        <v>9.6004338999999994E-2</v>
      </c>
      <c r="N1671" t="e">
        <v>#N/A</v>
      </c>
      <c r="O1671" t="e">
        <v>#N/A</v>
      </c>
    </row>
    <row r="1672" spans="1:15" x14ac:dyDescent="0.25">
      <c r="A1672" t="s">
        <v>13</v>
      </c>
      <c r="B1672" t="s">
        <v>25</v>
      </c>
      <c r="C1672" s="3" t="str">
        <f>IF($B1672="GW1",VLOOKUP($A1672,Matches!$A:$AC,2,FALSE),IF($B1672="GW2",VLOOKUP($A1672,Matches!$A:$AC,9,FALSE),IF($B1672="GW3",VLOOKUP($A1672,Matches!$A:$AC,16,FALSE))))</f>
        <v>Newcastle</v>
      </c>
      <c r="D1672" s="6">
        <v>0.26526606186004559</v>
      </c>
      <c r="E1672" s="6">
        <v>0.49282933320191213</v>
      </c>
      <c r="F1672" s="6">
        <v>-0.22756327134186655</v>
      </c>
      <c r="G1672" s="3" t="s">
        <v>1</v>
      </c>
      <c r="H1672">
        <v>0.15873015900000001</v>
      </c>
      <c r="I1672">
        <v>0.11904761899999999</v>
      </c>
      <c r="J1672">
        <v>0.13605442200000001</v>
      </c>
      <c r="K1672">
        <v>0.20774647900000001</v>
      </c>
      <c r="L1672">
        <v>0.486486486</v>
      </c>
      <c r="M1672">
        <v>9.6004338999999994E-2</v>
      </c>
      <c r="N1672" t="e">
        <v>#N/A</v>
      </c>
      <c r="O1672" t="e">
        <v>#N/A</v>
      </c>
    </row>
    <row r="1673" spans="1:15" x14ac:dyDescent="0.25">
      <c r="A1673" t="s">
        <v>13</v>
      </c>
      <c r="B1673" t="s">
        <v>25</v>
      </c>
      <c r="C1673" s="3" t="str">
        <f>IF($B1673="GW1",VLOOKUP($A1673,Matches!$A:$AC,2,FALSE),IF($B1673="GW2",VLOOKUP($A1673,Matches!$A:$AC,9,FALSE),IF($B1673="GW3",VLOOKUP($A1673,Matches!$A:$AC,16,FALSE))))</f>
        <v>Newcastle</v>
      </c>
      <c r="D1673" s="6">
        <v>0.26526606186004559</v>
      </c>
      <c r="E1673" s="6">
        <v>0.49282933320191213</v>
      </c>
      <c r="F1673" s="6">
        <v>-0.22756327134186655</v>
      </c>
      <c r="G1673" s="3" t="s">
        <v>1</v>
      </c>
      <c r="H1673">
        <v>0.23809523799999999</v>
      </c>
      <c r="I1673">
        <v>0.15873015900000001</v>
      </c>
      <c r="J1673">
        <v>0.21164021199999999</v>
      </c>
      <c r="K1673">
        <v>0.20774647900000001</v>
      </c>
      <c r="L1673">
        <v>0.486486486</v>
      </c>
      <c r="M1673">
        <v>9.6004338999999994E-2</v>
      </c>
      <c r="N1673" t="e">
        <v>#N/A</v>
      </c>
      <c r="O1673" t="e">
        <v>#N/A</v>
      </c>
    </row>
    <row r="1674" spans="1:15" x14ac:dyDescent="0.25">
      <c r="A1674" t="s">
        <v>13</v>
      </c>
      <c r="B1674" t="s">
        <v>25</v>
      </c>
      <c r="C1674" s="3" t="str">
        <f>IF($B1674="GW1",VLOOKUP($A1674,Matches!$A:$AC,2,FALSE),IF($B1674="GW2",VLOOKUP($A1674,Matches!$A:$AC,9,FALSE),IF($B1674="GW3",VLOOKUP($A1674,Matches!$A:$AC,16,FALSE))))</f>
        <v>Newcastle</v>
      </c>
      <c r="D1674" s="6">
        <v>0.26526606186004559</v>
      </c>
      <c r="E1674" s="6">
        <v>0.49282933320191213</v>
      </c>
      <c r="F1674" s="6">
        <v>-0.22756327134186655</v>
      </c>
      <c r="G1674" s="3" t="s">
        <v>1</v>
      </c>
      <c r="H1674">
        <v>6.3492063000000001E-2</v>
      </c>
      <c r="I1674">
        <v>4.5351474000000003E-2</v>
      </c>
      <c r="J1674">
        <v>0.307219662</v>
      </c>
      <c r="K1674">
        <v>0.20774647900000001</v>
      </c>
      <c r="L1674">
        <v>0.486486486</v>
      </c>
      <c r="M1674">
        <v>9.6004338999999994E-2</v>
      </c>
      <c r="N1674" t="e">
        <v>#N/A</v>
      </c>
      <c r="O1674" t="e">
        <v>#N/A</v>
      </c>
    </row>
    <row r="1675" spans="1:15" x14ac:dyDescent="0.25">
      <c r="A1675" t="s">
        <v>13</v>
      </c>
      <c r="B1675" t="s">
        <v>25</v>
      </c>
      <c r="C1675" s="3" t="str">
        <f>IF($B1675="GW1",VLOOKUP($A1675,Matches!$A:$AC,2,FALSE),IF($B1675="GW2",VLOOKUP($A1675,Matches!$A:$AC,9,FALSE),IF($B1675="GW3",VLOOKUP($A1675,Matches!$A:$AC,16,FALSE))))</f>
        <v>Newcastle</v>
      </c>
      <c r="D1675" s="6">
        <v>0.26526606186004559</v>
      </c>
      <c r="E1675" s="6">
        <v>0.49282933320191213</v>
      </c>
      <c r="F1675" s="6">
        <v>-0.22756327134186655</v>
      </c>
      <c r="G1675" s="3" t="s">
        <v>1</v>
      </c>
      <c r="H1675" t="e">
        <v>#N/A</v>
      </c>
      <c r="I1675" t="e">
        <v>#N/A</v>
      </c>
      <c r="J1675" t="e">
        <v>#N/A</v>
      </c>
      <c r="K1675">
        <v>0.20774647900000001</v>
      </c>
      <c r="L1675">
        <v>0.486486486</v>
      </c>
      <c r="M1675">
        <v>9.6004338999999994E-2</v>
      </c>
      <c r="N1675" t="e">
        <v>#N/A</v>
      </c>
      <c r="O1675" t="e">
        <v>#N/A</v>
      </c>
    </row>
    <row r="1676" spans="1:15" x14ac:dyDescent="0.25">
      <c r="A1676" t="s">
        <v>13</v>
      </c>
      <c r="B1676" t="s">
        <v>25</v>
      </c>
      <c r="C1676" s="3" t="str">
        <f>IF($B1676="GW1",VLOOKUP($A1676,Matches!$A:$AC,2,FALSE),IF($B1676="GW2",VLOOKUP($A1676,Matches!$A:$AC,9,FALSE),IF($B1676="GW3",VLOOKUP($A1676,Matches!$A:$AC,16,FALSE))))</f>
        <v>Newcastle</v>
      </c>
      <c r="D1676" s="6">
        <v>0.26526606186004559</v>
      </c>
      <c r="E1676" s="6">
        <v>0.49282933320191213</v>
      </c>
      <c r="F1676" s="6">
        <v>-0.22756327134186655</v>
      </c>
      <c r="G1676" s="3" t="s">
        <v>1</v>
      </c>
      <c r="H1676">
        <v>7.9365079000000005E-2</v>
      </c>
      <c r="I1676">
        <v>7.3260072999999995E-2</v>
      </c>
      <c r="J1676">
        <v>0.36350418000000001</v>
      </c>
      <c r="K1676">
        <v>0.20774647900000001</v>
      </c>
      <c r="L1676">
        <v>0.486486486</v>
      </c>
      <c r="M1676">
        <v>9.6004338999999994E-2</v>
      </c>
      <c r="N1676" t="e">
        <v>#N/A</v>
      </c>
      <c r="O1676" t="e">
        <v>#N/A</v>
      </c>
    </row>
    <row r="1677" spans="1:15" x14ac:dyDescent="0.25">
      <c r="A1677" t="s">
        <v>13</v>
      </c>
      <c r="B1677" t="s">
        <v>25</v>
      </c>
      <c r="C1677" s="3" t="str">
        <f>IF($B1677="GW1",VLOOKUP($A1677,Matches!$A:$AC,2,FALSE),IF($B1677="GW2",VLOOKUP($A1677,Matches!$A:$AC,9,FALSE),IF($B1677="GW3",VLOOKUP($A1677,Matches!$A:$AC,16,FALSE))))</f>
        <v>Newcastle</v>
      </c>
      <c r="D1677" s="6">
        <v>0.26526606186004559</v>
      </c>
      <c r="E1677" s="6">
        <v>0.49282933320191213</v>
      </c>
      <c r="F1677" s="6">
        <v>-0.22756327134186655</v>
      </c>
      <c r="G1677" s="3" t="s">
        <v>1</v>
      </c>
      <c r="H1677">
        <v>0.21164021199999999</v>
      </c>
      <c r="I1677">
        <v>0.105820106</v>
      </c>
      <c r="J1677">
        <v>0.33184005300000002</v>
      </c>
      <c r="K1677">
        <v>0.20774647900000001</v>
      </c>
      <c r="L1677">
        <v>0.486486486</v>
      </c>
      <c r="M1677">
        <v>9.6004338999999994E-2</v>
      </c>
      <c r="N1677" t="e">
        <v>#N/A</v>
      </c>
      <c r="O1677" t="e">
        <v>#N/A</v>
      </c>
    </row>
    <row r="1678" spans="1:15" x14ac:dyDescent="0.25">
      <c r="A1678" t="s">
        <v>13</v>
      </c>
      <c r="B1678" t="s">
        <v>25</v>
      </c>
      <c r="C1678" s="3" t="str">
        <f>IF($B1678="GW1",VLOOKUP($A1678,Matches!$A:$AC,2,FALSE),IF($B1678="GW2",VLOOKUP($A1678,Matches!$A:$AC,9,FALSE),IF($B1678="GW3",VLOOKUP($A1678,Matches!$A:$AC,16,FALSE))))</f>
        <v>Newcastle</v>
      </c>
      <c r="D1678" s="6">
        <v>0.26526606186004559</v>
      </c>
      <c r="E1678" s="6">
        <v>0.49282933320191213</v>
      </c>
      <c r="F1678" s="6">
        <v>-0.22756327134186655</v>
      </c>
      <c r="G1678" s="3" t="s">
        <v>1</v>
      </c>
      <c r="H1678">
        <v>0.11904761899999999</v>
      </c>
      <c r="I1678">
        <v>7.3260072999999995E-2</v>
      </c>
      <c r="J1678">
        <v>0.21164021199999999</v>
      </c>
      <c r="K1678">
        <v>0.20774647900000001</v>
      </c>
      <c r="L1678">
        <v>0.486486486</v>
      </c>
      <c r="M1678">
        <v>9.6004338999999994E-2</v>
      </c>
      <c r="N1678" t="e">
        <v>#N/A</v>
      </c>
      <c r="O1678" t="e">
        <v>#N/A</v>
      </c>
    </row>
    <row r="1679" spans="1:15" x14ac:dyDescent="0.25">
      <c r="A1679" t="s">
        <v>13</v>
      </c>
      <c r="B1679" t="s">
        <v>25</v>
      </c>
      <c r="C1679" s="3" t="str">
        <f>IF($B1679="GW1",VLOOKUP($A1679,Matches!$A:$AC,2,FALSE),IF($B1679="GW2",VLOOKUP($A1679,Matches!$A:$AC,9,FALSE),IF($B1679="GW3",VLOOKUP($A1679,Matches!$A:$AC,16,FALSE))))</f>
        <v>Newcastle</v>
      </c>
      <c r="D1679" s="6">
        <v>0.26526606186004559</v>
      </c>
      <c r="E1679" s="6">
        <v>0.49282933320191213</v>
      </c>
      <c r="F1679" s="6">
        <v>-0.22756327134186655</v>
      </c>
      <c r="G1679" s="3" t="s">
        <v>1</v>
      </c>
      <c r="H1679" t="e">
        <v>#N/A</v>
      </c>
      <c r="I1679" t="e">
        <v>#N/A</v>
      </c>
      <c r="J1679" t="e">
        <v>#N/A</v>
      </c>
      <c r="K1679">
        <v>0.20774647900000001</v>
      </c>
      <c r="L1679">
        <v>0.486486486</v>
      </c>
      <c r="M1679">
        <v>9.6004338999999994E-2</v>
      </c>
      <c r="N1679" t="e">
        <v>#N/A</v>
      </c>
      <c r="O1679" t="e">
        <v>#N/A</v>
      </c>
    </row>
    <row r="1680" spans="1:15" x14ac:dyDescent="0.25">
      <c r="A1680" t="s">
        <v>13</v>
      </c>
      <c r="B1680" t="s">
        <v>25</v>
      </c>
      <c r="C1680" s="3" t="str">
        <f>IF($B1680="GW1",VLOOKUP($A1680,Matches!$A:$AC,2,FALSE),IF($B1680="GW2",VLOOKUP($A1680,Matches!$A:$AC,9,FALSE),IF($B1680="GW3",VLOOKUP($A1680,Matches!$A:$AC,16,FALSE))))</f>
        <v>Newcastle</v>
      </c>
      <c r="D1680" s="6">
        <v>0.26526606186004559</v>
      </c>
      <c r="E1680" s="6">
        <v>0.49282933320191213</v>
      </c>
      <c r="F1680" s="6">
        <v>-0.22756327134186655</v>
      </c>
      <c r="G1680" s="3" t="s">
        <v>1</v>
      </c>
      <c r="H1680" t="e">
        <v>#N/A</v>
      </c>
      <c r="I1680" t="e">
        <v>#N/A</v>
      </c>
      <c r="J1680" t="e">
        <v>#N/A</v>
      </c>
      <c r="K1680">
        <v>0.20774647900000001</v>
      </c>
      <c r="L1680">
        <v>0.486486486</v>
      </c>
      <c r="M1680">
        <v>9.6004338999999994E-2</v>
      </c>
      <c r="N1680" t="e">
        <v>#N/A</v>
      </c>
      <c r="O1680" t="e">
        <v>#N/A</v>
      </c>
    </row>
    <row r="1681" spans="1:15" x14ac:dyDescent="0.25">
      <c r="A1681" t="s">
        <v>13</v>
      </c>
      <c r="B1681" t="s">
        <v>25</v>
      </c>
      <c r="C1681" s="3" t="str">
        <f>IF($B1681="GW1",VLOOKUP($A1681,Matches!$A:$AC,2,FALSE),IF($B1681="GW2",VLOOKUP($A1681,Matches!$A:$AC,9,FALSE),IF($B1681="GW3",VLOOKUP($A1681,Matches!$A:$AC,16,FALSE))))</f>
        <v>Newcastle</v>
      </c>
      <c r="D1681" s="6">
        <v>0.26526606186004559</v>
      </c>
      <c r="E1681" s="6">
        <v>0.49282933320191213</v>
      </c>
      <c r="F1681" s="6">
        <v>-0.22756327134186655</v>
      </c>
      <c r="G1681" s="3" t="s">
        <v>1</v>
      </c>
      <c r="H1681" t="e">
        <v>#N/A</v>
      </c>
      <c r="I1681" t="e">
        <v>#N/A</v>
      </c>
      <c r="J1681" t="e">
        <v>#N/A</v>
      </c>
      <c r="K1681">
        <v>0.20774647900000001</v>
      </c>
      <c r="L1681">
        <v>0.486486486</v>
      </c>
      <c r="M1681">
        <v>9.6004338999999994E-2</v>
      </c>
      <c r="N1681" t="e">
        <v>#N/A</v>
      </c>
      <c r="O1681" t="e">
        <v>#N/A</v>
      </c>
    </row>
    <row r="1682" spans="1:15" x14ac:dyDescent="0.25">
      <c r="A1682" t="s">
        <v>13</v>
      </c>
      <c r="B1682" t="s">
        <v>25</v>
      </c>
      <c r="C1682" s="3" t="str">
        <f>IF($B1682="GW1",VLOOKUP($A1682,Matches!$A:$AC,2,FALSE),IF($B1682="GW2",VLOOKUP($A1682,Matches!$A:$AC,9,FALSE),IF($B1682="GW3",VLOOKUP($A1682,Matches!$A:$AC,16,FALSE))))</f>
        <v>Newcastle</v>
      </c>
      <c r="D1682" s="6">
        <v>0.26526606186004559</v>
      </c>
      <c r="E1682" s="6">
        <v>0.49282933320191213</v>
      </c>
      <c r="F1682" s="6">
        <v>-0.22756327134186655</v>
      </c>
      <c r="G1682" s="3" t="s">
        <v>1</v>
      </c>
      <c r="H1682">
        <v>0.29304029300000001</v>
      </c>
      <c r="I1682">
        <v>7.3260072999999995E-2</v>
      </c>
      <c r="J1682">
        <v>0.173160173</v>
      </c>
      <c r="K1682">
        <v>0.20774647900000001</v>
      </c>
      <c r="L1682">
        <v>0.486486486</v>
      </c>
      <c r="M1682">
        <v>9.6004338999999994E-2</v>
      </c>
      <c r="N1682" t="e">
        <v>#N/A</v>
      </c>
      <c r="O1682" t="e">
        <v>#N/A</v>
      </c>
    </row>
    <row r="1683" spans="1:15" x14ac:dyDescent="0.25">
      <c r="A1683" t="s">
        <v>13</v>
      </c>
      <c r="B1683" t="s">
        <v>25</v>
      </c>
      <c r="C1683" s="3" t="str">
        <f>IF($B1683="GW1",VLOOKUP($A1683,Matches!$A:$AC,2,FALSE),IF($B1683="GW2",VLOOKUP($A1683,Matches!$A:$AC,9,FALSE),IF($B1683="GW3",VLOOKUP($A1683,Matches!$A:$AC,16,FALSE))))</f>
        <v>Newcastle</v>
      </c>
      <c r="D1683" s="6">
        <v>0.26526606186004559</v>
      </c>
      <c r="E1683" s="6">
        <v>0.49282933320191213</v>
      </c>
      <c r="F1683" s="6">
        <v>-0.22756327134186655</v>
      </c>
      <c r="G1683" s="3" t="s">
        <v>1</v>
      </c>
      <c r="H1683" t="e">
        <v>#N/A</v>
      </c>
      <c r="I1683" t="e">
        <v>#N/A</v>
      </c>
      <c r="J1683" t="e">
        <v>#N/A</v>
      </c>
      <c r="K1683">
        <v>0.20774647900000001</v>
      </c>
      <c r="L1683">
        <v>0.486486486</v>
      </c>
      <c r="M1683">
        <v>9.6004338999999994E-2</v>
      </c>
      <c r="N1683" t="e">
        <v>#N/A</v>
      </c>
      <c r="O1683" t="e">
        <v>#N/A</v>
      </c>
    </row>
    <row r="1684" spans="1:15" x14ac:dyDescent="0.25">
      <c r="A1684" t="s">
        <v>13</v>
      </c>
      <c r="B1684" t="s">
        <v>25</v>
      </c>
      <c r="C1684" s="3" t="str">
        <f>IF($B1684="GW1",VLOOKUP($A1684,Matches!$A:$AC,2,FALSE),IF($B1684="GW2",VLOOKUP($A1684,Matches!$A:$AC,9,FALSE),IF($B1684="GW3",VLOOKUP($A1684,Matches!$A:$AC,16,FALSE))))</f>
        <v>Newcastle</v>
      </c>
      <c r="D1684" s="6">
        <v>0.26526606186004559</v>
      </c>
      <c r="E1684" s="6">
        <v>0.49282933320191213</v>
      </c>
      <c r="F1684" s="6">
        <v>-0.22756327134186655</v>
      </c>
      <c r="G1684" s="3" t="s">
        <v>1</v>
      </c>
      <c r="H1684" t="e">
        <v>#N/A</v>
      </c>
      <c r="I1684" t="e">
        <v>#N/A</v>
      </c>
      <c r="J1684" t="e">
        <v>#N/A</v>
      </c>
      <c r="K1684">
        <v>0.20774647900000001</v>
      </c>
      <c r="L1684">
        <v>0.486486486</v>
      </c>
      <c r="M1684">
        <v>9.6004338999999994E-2</v>
      </c>
      <c r="N1684" t="e">
        <v>#N/A</v>
      </c>
      <c r="O1684" t="e">
        <v>#N/A</v>
      </c>
    </row>
    <row r="1685" spans="1:15" x14ac:dyDescent="0.25">
      <c r="A1685" t="s">
        <v>13</v>
      </c>
      <c r="B1685" t="s">
        <v>25</v>
      </c>
      <c r="C1685" s="3" t="str">
        <f>IF($B1685="GW1",VLOOKUP($A1685,Matches!$A:$AC,2,FALSE),IF($B1685="GW2",VLOOKUP($A1685,Matches!$A:$AC,9,FALSE),IF($B1685="GW3",VLOOKUP($A1685,Matches!$A:$AC,16,FALSE))))</f>
        <v>Newcastle</v>
      </c>
      <c r="D1685" s="6">
        <v>0.26526606186004559</v>
      </c>
      <c r="E1685" s="6">
        <v>0.49282933320191213</v>
      </c>
      <c r="F1685" s="6">
        <v>-0.22756327134186655</v>
      </c>
      <c r="G1685" s="3" t="s">
        <v>1</v>
      </c>
      <c r="H1685">
        <v>0.26455026500000001</v>
      </c>
      <c r="I1685">
        <v>9.5238094999999995E-2</v>
      </c>
      <c r="J1685">
        <v>0.21164021199999999</v>
      </c>
      <c r="K1685">
        <v>0.20774647900000001</v>
      </c>
      <c r="L1685">
        <v>0.486486486</v>
      </c>
      <c r="M1685">
        <v>9.6004338999999994E-2</v>
      </c>
      <c r="N1685" t="e">
        <v>#N/A</v>
      </c>
      <c r="O1685" t="e">
        <v>#N/A</v>
      </c>
    </row>
    <row r="1686" spans="1:15" x14ac:dyDescent="0.25">
      <c r="A1686" t="s">
        <v>13</v>
      </c>
      <c r="B1686" t="s">
        <v>25</v>
      </c>
      <c r="C1686" s="3" t="str">
        <f>IF($B1686="GW1",VLOOKUP($A1686,Matches!$A:$AC,2,FALSE),IF($B1686="GW2",VLOOKUP($A1686,Matches!$A:$AC,9,FALSE),IF($B1686="GW3",VLOOKUP($A1686,Matches!$A:$AC,16,FALSE))))</f>
        <v>Newcastle</v>
      </c>
      <c r="D1686" s="6">
        <v>0.26526606186004559</v>
      </c>
      <c r="E1686" s="6">
        <v>0.49282933320191213</v>
      </c>
      <c r="F1686" s="6">
        <v>-0.22756327134186655</v>
      </c>
      <c r="G1686" s="3" t="s">
        <v>1</v>
      </c>
      <c r="H1686">
        <v>0.10025062699999999</v>
      </c>
      <c r="I1686">
        <v>7.3260072999999995E-2</v>
      </c>
      <c r="J1686">
        <v>0.253968254</v>
      </c>
      <c r="K1686">
        <v>0.20774647900000001</v>
      </c>
      <c r="L1686">
        <v>0.486486486</v>
      </c>
      <c r="M1686">
        <v>9.6004338999999994E-2</v>
      </c>
      <c r="N1686" t="e">
        <v>#N/A</v>
      </c>
      <c r="O1686" t="e">
        <v>#N/A</v>
      </c>
    </row>
    <row r="1687" spans="1:15" x14ac:dyDescent="0.25">
      <c r="A1687" t="s">
        <v>13</v>
      </c>
      <c r="B1687" t="s">
        <v>25</v>
      </c>
      <c r="C1687" s="3" t="str">
        <f>IF($B1687="GW1",VLOOKUP($A1687,Matches!$A:$AC,2,FALSE),IF($B1687="GW2",VLOOKUP($A1687,Matches!$A:$AC,9,FALSE),IF($B1687="GW3",VLOOKUP($A1687,Matches!$A:$AC,16,FALSE))))</f>
        <v>Newcastle</v>
      </c>
      <c r="D1687" s="6">
        <v>0.26526606186004559</v>
      </c>
      <c r="E1687" s="6">
        <v>0.49282933320191213</v>
      </c>
      <c r="F1687" s="6">
        <v>-0.22756327134186655</v>
      </c>
      <c r="G1687" s="3" t="s">
        <v>1</v>
      </c>
      <c r="H1687">
        <v>0.13605442200000001</v>
      </c>
      <c r="I1687">
        <v>7.3260072999999995E-2</v>
      </c>
      <c r="J1687">
        <v>0.21994941200000001</v>
      </c>
      <c r="K1687">
        <v>0.20774647900000001</v>
      </c>
      <c r="L1687">
        <v>0.486486486</v>
      </c>
      <c r="M1687">
        <v>9.6004338999999994E-2</v>
      </c>
      <c r="N1687" t="e">
        <v>#N/A</v>
      </c>
      <c r="O1687" t="e">
        <v>#N/A</v>
      </c>
    </row>
    <row r="1688" spans="1:15" x14ac:dyDescent="0.25">
      <c r="A1688" t="s">
        <v>13</v>
      </c>
      <c r="B1688" t="s">
        <v>25</v>
      </c>
      <c r="C1688" s="3" t="str">
        <f>IF($B1688="GW1",VLOOKUP($A1688,Matches!$A:$AC,2,FALSE),IF($B1688="GW2",VLOOKUP($A1688,Matches!$A:$AC,9,FALSE),IF($B1688="GW3",VLOOKUP($A1688,Matches!$A:$AC,16,FALSE))))</f>
        <v>Newcastle</v>
      </c>
      <c r="D1688" s="6">
        <v>0.26526606186004559</v>
      </c>
      <c r="E1688" s="6">
        <v>0.49282933320191213</v>
      </c>
      <c r="F1688" s="6">
        <v>-0.22756327134186655</v>
      </c>
      <c r="G1688" s="3" t="s">
        <v>1</v>
      </c>
      <c r="H1688" t="e">
        <v>#N/A</v>
      </c>
      <c r="I1688" t="e">
        <v>#N/A</v>
      </c>
      <c r="J1688">
        <v>0.15873015900000001</v>
      </c>
      <c r="K1688">
        <v>0.20774647900000001</v>
      </c>
      <c r="L1688">
        <v>0.486486486</v>
      </c>
      <c r="M1688">
        <v>9.6004338999999994E-2</v>
      </c>
      <c r="N1688" t="e">
        <v>#N/A</v>
      </c>
      <c r="O1688" t="e">
        <v>#N/A</v>
      </c>
    </row>
    <row r="1689" spans="1:15" x14ac:dyDescent="0.25">
      <c r="A1689" t="s">
        <v>14</v>
      </c>
      <c r="B1689" t="s">
        <v>25</v>
      </c>
      <c r="C1689" s="3" t="str">
        <f>IF($B1689="GW1",VLOOKUP($A1689,Matches!$A:$AC,2,FALSE),IF($B1689="GW2",VLOOKUP($A1689,Matches!$A:$AC,9,FALSE),IF($B1689="GW3",VLOOKUP($A1689,Matches!$A:$AC,16,FALSE))))</f>
        <v>Arsenal</v>
      </c>
      <c r="D1689" s="6">
        <v>0.4854368932038835</v>
      </c>
      <c r="E1689" s="6">
        <v>0.26454326605116268</v>
      </c>
      <c r="F1689" s="6">
        <v>0.22089362715272082</v>
      </c>
      <c r="G1689" s="3" t="s">
        <v>1</v>
      </c>
      <c r="H1689" t="e">
        <v>#N/A</v>
      </c>
      <c r="I1689" t="e">
        <v>#N/A</v>
      </c>
      <c r="J1689">
        <v>0.19047618999999999</v>
      </c>
      <c r="K1689">
        <v>0.311926606</v>
      </c>
      <c r="L1689">
        <v>0.33734939800000002</v>
      </c>
      <c r="M1689">
        <v>4.6104928000000003E-2</v>
      </c>
      <c r="N1689" t="e">
        <v>#N/A</v>
      </c>
      <c r="O1689" t="e">
        <v>#N/A</v>
      </c>
    </row>
    <row r="1690" spans="1:15" x14ac:dyDescent="0.25">
      <c r="A1690" t="s">
        <v>14</v>
      </c>
      <c r="B1690" t="s">
        <v>25</v>
      </c>
      <c r="C1690" s="3" t="str">
        <f>IF($B1690="GW1",VLOOKUP($A1690,Matches!$A:$AC,2,FALSE),IF($B1690="GW2",VLOOKUP($A1690,Matches!$A:$AC,9,FALSE),IF($B1690="GW3",VLOOKUP($A1690,Matches!$A:$AC,16,FALSE))))</f>
        <v>Arsenal</v>
      </c>
      <c r="D1690" s="6">
        <v>0.4854368932038835</v>
      </c>
      <c r="E1690" s="6">
        <v>0.26454326605116268</v>
      </c>
      <c r="F1690" s="6">
        <v>0.22089362715272082</v>
      </c>
      <c r="G1690" s="3" t="s">
        <v>1</v>
      </c>
      <c r="H1690" t="e">
        <v>#N/A</v>
      </c>
      <c r="I1690" t="e">
        <v>#N/A</v>
      </c>
      <c r="J1690">
        <v>0.15873015900000001</v>
      </c>
      <c r="K1690">
        <v>0.311926606</v>
      </c>
      <c r="L1690">
        <v>0.33734939800000002</v>
      </c>
      <c r="M1690">
        <v>4.6104928000000003E-2</v>
      </c>
      <c r="N1690" t="e">
        <v>#N/A</v>
      </c>
      <c r="O1690" t="e">
        <v>#N/A</v>
      </c>
    </row>
    <row r="1691" spans="1:15" x14ac:dyDescent="0.25">
      <c r="A1691" t="s">
        <v>14</v>
      </c>
      <c r="B1691" t="s">
        <v>25</v>
      </c>
      <c r="C1691" s="3" t="str">
        <f>IF($B1691="GW1",VLOOKUP($A1691,Matches!$A:$AC,2,FALSE),IF($B1691="GW2",VLOOKUP($A1691,Matches!$A:$AC,9,FALSE),IF($B1691="GW3",VLOOKUP($A1691,Matches!$A:$AC,16,FALSE))))</f>
        <v>Arsenal</v>
      </c>
      <c r="D1691" s="6">
        <v>0.4854368932038835</v>
      </c>
      <c r="E1691" s="6">
        <v>0.26454326605116268</v>
      </c>
      <c r="F1691" s="6">
        <v>0.22089362715272082</v>
      </c>
      <c r="G1691" s="3" t="s">
        <v>1</v>
      </c>
      <c r="H1691" t="e">
        <v>#N/A</v>
      </c>
      <c r="I1691" t="e">
        <v>#N/A</v>
      </c>
      <c r="J1691" t="e">
        <v>#N/A</v>
      </c>
      <c r="K1691">
        <v>0.311926606</v>
      </c>
      <c r="L1691">
        <v>0.33734939800000002</v>
      </c>
      <c r="M1691">
        <v>4.6104928000000003E-2</v>
      </c>
      <c r="N1691" t="e">
        <v>#N/A</v>
      </c>
      <c r="O1691" t="e">
        <v>#N/A</v>
      </c>
    </row>
    <row r="1692" spans="1:15" x14ac:dyDescent="0.25">
      <c r="A1692" t="s">
        <v>14</v>
      </c>
      <c r="B1692" t="s">
        <v>25</v>
      </c>
      <c r="C1692" s="3" t="str">
        <f>IF($B1692="GW1",VLOOKUP($A1692,Matches!$A:$AC,2,FALSE),IF($B1692="GW2",VLOOKUP($A1692,Matches!$A:$AC,9,FALSE),IF($B1692="GW3",VLOOKUP($A1692,Matches!$A:$AC,16,FALSE))))</f>
        <v>Arsenal</v>
      </c>
      <c r="D1692" s="6">
        <v>0.4854368932038835</v>
      </c>
      <c r="E1692" s="6">
        <v>0.26454326605116268</v>
      </c>
      <c r="F1692" s="6">
        <v>0.22089362715272082</v>
      </c>
      <c r="G1692" s="3" t="s">
        <v>1</v>
      </c>
      <c r="H1692" t="e">
        <v>#N/A</v>
      </c>
      <c r="I1692" t="e">
        <v>#N/A</v>
      </c>
      <c r="J1692">
        <v>0.15873015900000001</v>
      </c>
      <c r="K1692">
        <v>0.311926606</v>
      </c>
      <c r="L1692">
        <v>0.33734939800000002</v>
      </c>
      <c r="M1692">
        <v>4.6104928000000003E-2</v>
      </c>
      <c r="N1692" t="e">
        <v>#N/A</v>
      </c>
      <c r="O1692" t="e">
        <v>#N/A</v>
      </c>
    </row>
    <row r="1693" spans="1:15" x14ac:dyDescent="0.25">
      <c r="A1693" t="s">
        <v>14</v>
      </c>
      <c r="B1693" t="s">
        <v>25</v>
      </c>
      <c r="C1693" s="3" t="str">
        <f>IF($B1693="GW1",VLOOKUP($A1693,Matches!$A:$AC,2,FALSE),IF($B1693="GW2",VLOOKUP($A1693,Matches!$A:$AC,9,FALSE),IF($B1693="GW3",VLOOKUP($A1693,Matches!$A:$AC,16,FALSE))))</f>
        <v>Arsenal</v>
      </c>
      <c r="D1693" s="6">
        <v>0.4854368932038835</v>
      </c>
      <c r="E1693" s="6">
        <v>0.26454326605116268</v>
      </c>
      <c r="F1693" s="6">
        <v>0.22089362715272082</v>
      </c>
      <c r="G1693" s="3" t="s">
        <v>1</v>
      </c>
      <c r="H1693">
        <v>0.11904761899999999</v>
      </c>
      <c r="I1693">
        <v>0.173160173</v>
      </c>
      <c r="J1693">
        <v>0.26455026500000001</v>
      </c>
      <c r="K1693">
        <v>0.311926606</v>
      </c>
      <c r="L1693">
        <v>0.33734939800000002</v>
      </c>
      <c r="M1693">
        <v>4.6104928000000003E-2</v>
      </c>
      <c r="N1693" t="e">
        <v>#N/A</v>
      </c>
      <c r="O1693" t="e">
        <v>#N/A</v>
      </c>
    </row>
    <row r="1694" spans="1:15" x14ac:dyDescent="0.25">
      <c r="A1694" t="s">
        <v>14</v>
      </c>
      <c r="B1694" t="s">
        <v>25</v>
      </c>
      <c r="C1694" s="3" t="str">
        <f>IF($B1694="GW1",VLOOKUP($A1694,Matches!$A:$AC,2,FALSE),IF($B1694="GW2",VLOOKUP($A1694,Matches!$A:$AC,9,FALSE),IF($B1694="GW3",VLOOKUP($A1694,Matches!$A:$AC,16,FALSE))))</f>
        <v>Arsenal</v>
      </c>
      <c r="D1694" s="6">
        <v>0.4854368932038835</v>
      </c>
      <c r="E1694" s="6">
        <v>0.26454326605116268</v>
      </c>
      <c r="F1694" s="6">
        <v>0.22089362715272082</v>
      </c>
      <c r="G1694" s="3" t="s">
        <v>1</v>
      </c>
      <c r="H1694">
        <v>6.3492063000000001E-2</v>
      </c>
      <c r="I1694">
        <v>9.5238094999999995E-2</v>
      </c>
      <c r="J1694">
        <v>0.26455026500000001</v>
      </c>
      <c r="K1694">
        <v>0.311926606</v>
      </c>
      <c r="L1694">
        <v>0.33734939800000002</v>
      </c>
      <c r="M1694">
        <v>4.6104928000000003E-2</v>
      </c>
      <c r="N1694" t="e">
        <v>#N/A</v>
      </c>
      <c r="O1694" t="e">
        <v>#N/A</v>
      </c>
    </row>
    <row r="1695" spans="1:15" x14ac:dyDescent="0.25">
      <c r="A1695" t="s">
        <v>14</v>
      </c>
      <c r="B1695" t="s">
        <v>25</v>
      </c>
      <c r="C1695" s="3" t="str">
        <f>IF($B1695="GW1",VLOOKUP($A1695,Matches!$A:$AC,2,FALSE),IF($B1695="GW2",VLOOKUP($A1695,Matches!$A:$AC,9,FALSE),IF($B1695="GW3",VLOOKUP($A1695,Matches!$A:$AC,16,FALSE))))</f>
        <v>Arsenal</v>
      </c>
      <c r="D1695" s="6">
        <v>0.4854368932038835</v>
      </c>
      <c r="E1695" s="6">
        <v>0.26454326605116268</v>
      </c>
      <c r="F1695" s="6">
        <v>0.22089362715272082</v>
      </c>
      <c r="G1695" s="3" t="s">
        <v>1</v>
      </c>
      <c r="H1695">
        <v>6.3492063000000001E-2</v>
      </c>
      <c r="I1695">
        <v>0.13605442200000001</v>
      </c>
      <c r="J1695">
        <v>0.26455026500000001</v>
      </c>
      <c r="K1695">
        <v>0.311926606</v>
      </c>
      <c r="L1695">
        <v>0.33734939800000002</v>
      </c>
      <c r="M1695">
        <v>4.6104928000000003E-2</v>
      </c>
      <c r="N1695" t="e">
        <v>#N/A</v>
      </c>
      <c r="O1695" t="e">
        <v>#N/A</v>
      </c>
    </row>
    <row r="1696" spans="1:15" x14ac:dyDescent="0.25">
      <c r="A1696" t="s">
        <v>14</v>
      </c>
      <c r="B1696" t="s">
        <v>25</v>
      </c>
      <c r="C1696" s="3" t="str">
        <f>IF($B1696="GW1",VLOOKUP($A1696,Matches!$A:$AC,2,FALSE),IF($B1696="GW2",VLOOKUP($A1696,Matches!$A:$AC,9,FALSE),IF($B1696="GW3",VLOOKUP($A1696,Matches!$A:$AC,16,FALSE))))</f>
        <v>Arsenal</v>
      </c>
      <c r="D1696" s="6">
        <v>0.4854368932038835</v>
      </c>
      <c r="E1696" s="6">
        <v>0.26454326605116268</v>
      </c>
      <c r="F1696" s="6">
        <v>0.22089362715272082</v>
      </c>
      <c r="G1696" s="3" t="s">
        <v>1</v>
      </c>
      <c r="H1696">
        <v>8.6580087E-2</v>
      </c>
      <c r="I1696">
        <v>3.6630036999999997E-2</v>
      </c>
      <c r="J1696">
        <v>0.19047618999999999</v>
      </c>
      <c r="K1696">
        <v>0.311926606</v>
      </c>
      <c r="L1696">
        <v>0.33734939800000002</v>
      </c>
      <c r="M1696">
        <v>4.6104928000000003E-2</v>
      </c>
      <c r="N1696" t="e">
        <v>#N/A</v>
      </c>
      <c r="O1696" t="e">
        <v>#N/A</v>
      </c>
    </row>
    <row r="1697" spans="1:15" x14ac:dyDescent="0.25">
      <c r="A1697" t="s">
        <v>14</v>
      </c>
      <c r="B1697" t="s">
        <v>25</v>
      </c>
      <c r="C1697" s="3" t="str">
        <f>IF($B1697="GW1",VLOOKUP($A1697,Matches!$A:$AC,2,FALSE),IF($B1697="GW2",VLOOKUP($A1697,Matches!$A:$AC,9,FALSE),IF($B1697="GW3",VLOOKUP($A1697,Matches!$A:$AC,16,FALSE))))</f>
        <v>Arsenal</v>
      </c>
      <c r="D1697" s="6">
        <v>0.4854368932038835</v>
      </c>
      <c r="E1697" s="6">
        <v>0.26454326605116268</v>
      </c>
      <c r="F1697" s="6">
        <v>0.22089362715272082</v>
      </c>
      <c r="G1697" s="3" t="s">
        <v>1</v>
      </c>
      <c r="H1697">
        <v>6.3492063000000001E-2</v>
      </c>
      <c r="I1697">
        <v>2.8011204000000001E-2</v>
      </c>
      <c r="J1697">
        <v>0.31746031699999999</v>
      </c>
      <c r="K1697">
        <v>0.311926606</v>
      </c>
      <c r="L1697">
        <v>0.33734939800000002</v>
      </c>
      <c r="M1697">
        <v>4.6104928000000003E-2</v>
      </c>
      <c r="N1697" t="e">
        <v>#N/A</v>
      </c>
      <c r="O1697" t="e">
        <v>#N/A</v>
      </c>
    </row>
    <row r="1698" spans="1:15" x14ac:dyDescent="0.25">
      <c r="A1698" t="s">
        <v>14</v>
      </c>
      <c r="B1698" t="s">
        <v>25</v>
      </c>
      <c r="C1698" s="3" t="str">
        <f>IF($B1698="GW1",VLOOKUP($A1698,Matches!$A:$AC,2,FALSE),IF($B1698="GW2",VLOOKUP($A1698,Matches!$A:$AC,9,FALSE),IF($B1698="GW3",VLOOKUP($A1698,Matches!$A:$AC,16,FALSE))))</f>
        <v>Arsenal</v>
      </c>
      <c r="D1698" s="6">
        <v>0.4854368932038835</v>
      </c>
      <c r="E1698" s="6">
        <v>0.26454326605116268</v>
      </c>
      <c r="F1698" s="6">
        <v>0.22089362715272082</v>
      </c>
      <c r="G1698" s="3" t="s">
        <v>1</v>
      </c>
      <c r="H1698">
        <v>0.112044818</v>
      </c>
      <c r="I1698">
        <v>0.11904761899999999</v>
      </c>
      <c r="J1698">
        <v>0.39682539700000002</v>
      </c>
      <c r="K1698">
        <v>0.311926606</v>
      </c>
      <c r="L1698">
        <v>0.33734939800000002</v>
      </c>
      <c r="M1698">
        <v>4.6104928000000003E-2</v>
      </c>
      <c r="N1698" t="e">
        <v>#N/A</v>
      </c>
      <c r="O1698" t="e">
        <v>#N/A</v>
      </c>
    </row>
    <row r="1699" spans="1:15" x14ac:dyDescent="0.25">
      <c r="A1699" t="s">
        <v>14</v>
      </c>
      <c r="B1699" t="s">
        <v>25</v>
      </c>
      <c r="C1699" s="3" t="str">
        <f>IF($B1699="GW1",VLOOKUP($A1699,Matches!$A:$AC,2,FALSE),IF($B1699="GW2",VLOOKUP($A1699,Matches!$A:$AC,9,FALSE),IF($B1699="GW3",VLOOKUP($A1699,Matches!$A:$AC,16,FALSE))))</f>
        <v>Arsenal</v>
      </c>
      <c r="D1699" s="6">
        <v>0.4854368932038835</v>
      </c>
      <c r="E1699" s="6">
        <v>0.26454326605116268</v>
      </c>
      <c r="F1699" s="6">
        <v>0.22089362715272082</v>
      </c>
      <c r="G1699" s="3" t="s">
        <v>1</v>
      </c>
      <c r="H1699">
        <v>8.6580087E-2</v>
      </c>
      <c r="I1699">
        <v>5.0125312999999998E-2</v>
      </c>
      <c r="J1699">
        <v>0.29304029300000001</v>
      </c>
      <c r="K1699">
        <v>0.311926606</v>
      </c>
      <c r="L1699">
        <v>0.33734939800000002</v>
      </c>
      <c r="M1699">
        <v>4.6104928000000003E-2</v>
      </c>
      <c r="N1699" t="e">
        <v>#N/A</v>
      </c>
      <c r="O1699" t="e">
        <v>#N/A</v>
      </c>
    </row>
    <row r="1700" spans="1:15" x14ac:dyDescent="0.25">
      <c r="A1700" t="s">
        <v>14</v>
      </c>
      <c r="B1700" t="s">
        <v>25</v>
      </c>
      <c r="C1700" s="3" t="str">
        <f>IF($B1700="GW1",VLOOKUP($A1700,Matches!$A:$AC,2,FALSE),IF($B1700="GW2",VLOOKUP($A1700,Matches!$A:$AC,9,FALSE),IF($B1700="GW3",VLOOKUP($A1700,Matches!$A:$AC,16,FALSE))))</f>
        <v>Arsenal</v>
      </c>
      <c r="D1700" s="6">
        <v>0.4854368932038835</v>
      </c>
      <c r="E1700" s="6">
        <v>0.26454326605116268</v>
      </c>
      <c r="F1700" s="6">
        <v>0.22089362715272082</v>
      </c>
      <c r="G1700" s="3" t="s">
        <v>1</v>
      </c>
      <c r="H1700">
        <v>5.0125312999999998E-2</v>
      </c>
      <c r="I1700">
        <v>0.13605442200000001</v>
      </c>
      <c r="J1700">
        <v>0.29304029300000001</v>
      </c>
      <c r="K1700">
        <v>0.311926606</v>
      </c>
      <c r="L1700">
        <v>0.33734939800000002</v>
      </c>
      <c r="M1700">
        <v>4.6104928000000003E-2</v>
      </c>
      <c r="N1700" t="e">
        <v>#N/A</v>
      </c>
      <c r="O1700" t="e">
        <v>#N/A</v>
      </c>
    </row>
    <row r="1701" spans="1:15" x14ac:dyDescent="0.25">
      <c r="A1701" t="s">
        <v>14</v>
      </c>
      <c r="B1701" t="s">
        <v>25</v>
      </c>
      <c r="C1701" s="3" t="str">
        <f>IF($B1701="GW1",VLOOKUP($A1701,Matches!$A:$AC,2,FALSE),IF($B1701="GW2",VLOOKUP($A1701,Matches!$A:$AC,9,FALSE),IF($B1701="GW3",VLOOKUP($A1701,Matches!$A:$AC,16,FALSE))))</f>
        <v>Arsenal</v>
      </c>
      <c r="D1701" s="6">
        <v>0.4854368932038835</v>
      </c>
      <c r="E1701" s="6">
        <v>0.26454326605116268</v>
      </c>
      <c r="F1701" s="6">
        <v>0.22089362715272082</v>
      </c>
      <c r="G1701" s="3" t="s">
        <v>1</v>
      </c>
      <c r="H1701" t="e">
        <v>#N/A</v>
      </c>
      <c r="I1701" t="e">
        <v>#N/A</v>
      </c>
      <c r="J1701" t="e">
        <v>#N/A</v>
      </c>
      <c r="K1701">
        <v>0.311926606</v>
      </c>
      <c r="L1701">
        <v>0.33734939800000002</v>
      </c>
      <c r="M1701">
        <v>4.6104928000000003E-2</v>
      </c>
      <c r="N1701" t="e">
        <v>#N/A</v>
      </c>
      <c r="O1701" t="e">
        <v>#N/A</v>
      </c>
    </row>
    <row r="1702" spans="1:15" x14ac:dyDescent="0.25">
      <c r="A1702" t="s">
        <v>14</v>
      </c>
      <c r="B1702" t="s">
        <v>25</v>
      </c>
      <c r="C1702" s="3" t="str">
        <f>IF($B1702="GW1",VLOOKUP($A1702,Matches!$A:$AC,2,FALSE),IF($B1702="GW2",VLOOKUP($A1702,Matches!$A:$AC,9,FALSE),IF($B1702="GW3",VLOOKUP($A1702,Matches!$A:$AC,16,FALSE))))</f>
        <v>Arsenal</v>
      </c>
      <c r="D1702" s="6">
        <v>0.4854368932038835</v>
      </c>
      <c r="E1702" s="6">
        <v>0.26454326605116268</v>
      </c>
      <c r="F1702" s="6">
        <v>0.22089362715272082</v>
      </c>
      <c r="G1702" s="3" t="s">
        <v>1</v>
      </c>
      <c r="H1702" t="e">
        <v>#N/A</v>
      </c>
      <c r="I1702" t="e">
        <v>#N/A</v>
      </c>
      <c r="J1702" t="e">
        <v>#N/A</v>
      </c>
      <c r="K1702">
        <v>0.311926606</v>
      </c>
      <c r="L1702">
        <v>0.33734939800000002</v>
      </c>
      <c r="M1702">
        <v>4.6104928000000003E-2</v>
      </c>
      <c r="N1702" t="e">
        <v>#N/A</v>
      </c>
      <c r="O1702" t="e">
        <v>#N/A</v>
      </c>
    </row>
    <row r="1703" spans="1:15" x14ac:dyDescent="0.25">
      <c r="A1703" t="s">
        <v>14</v>
      </c>
      <c r="B1703" t="s">
        <v>25</v>
      </c>
      <c r="C1703" s="3" t="str">
        <f>IF($B1703="GW1",VLOOKUP($A1703,Matches!$A:$AC,2,FALSE),IF($B1703="GW2",VLOOKUP($A1703,Matches!$A:$AC,9,FALSE),IF($B1703="GW3",VLOOKUP($A1703,Matches!$A:$AC,16,FALSE))))</f>
        <v>Arsenal</v>
      </c>
      <c r="D1703" s="6">
        <v>0.4854368932038835</v>
      </c>
      <c r="E1703" s="6">
        <v>0.26454326605116268</v>
      </c>
      <c r="F1703" s="6">
        <v>0.22089362715272082</v>
      </c>
      <c r="G1703" s="3" t="s">
        <v>1</v>
      </c>
      <c r="H1703" t="e">
        <v>#N/A</v>
      </c>
      <c r="I1703" t="e">
        <v>#N/A</v>
      </c>
      <c r="J1703" t="e">
        <v>#N/A</v>
      </c>
      <c r="K1703">
        <v>0.311926606</v>
      </c>
      <c r="L1703">
        <v>0.33734939800000002</v>
      </c>
      <c r="M1703">
        <v>4.6104928000000003E-2</v>
      </c>
      <c r="N1703" t="e">
        <v>#N/A</v>
      </c>
      <c r="O1703" t="e">
        <v>#N/A</v>
      </c>
    </row>
    <row r="1704" spans="1:15" x14ac:dyDescent="0.25">
      <c r="A1704" t="s">
        <v>14</v>
      </c>
      <c r="B1704" t="s">
        <v>25</v>
      </c>
      <c r="C1704" s="3" t="str">
        <f>IF($B1704="GW1",VLOOKUP($A1704,Matches!$A:$AC,2,FALSE),IF($B1704="GW2",VLOOKUP($A1704,Matches!$A:$AC,9,FALSE),IF($B1704="GW3",VLOOKUP($A1704,Matches!$A:$AC,16,FALSE))))</f>
        <v>Arsenal</v>
      </c>
      <c r="D1704" s="6">
        <v>0.4854368932038835</v>
      </c>
      <c r="E1704" s="6">
        <v>0.26454326605116268</v>
      </c>
      <c r="F1704" s="6">
        <v>0.22089362715272082</v>
      </c>
      <c r="G1704" s="3" t="s">
        <v>1</v>
      </c>
      <c r="H1704">
        <v>0.40184850300000002</v>
      </c>
      <c r="I1704">
        <v>0.21994941200000001</v>
      </c>
      <c r="J1704">
        <v>0.126984127</v>
      </c>
      <c r="K1704">
        <v>0.311926606</v>
      </c>
      <c r="L1704">
        <v>0.33734939800000002</v>
      </c>
      <c r="M1704">
        <v>4.6104928000000003E-2</v>
      </c>
      <c r="N1704" t="e">
        <v>#N/A</v>
      </c>
      <c r="O1704" t="e">
        <v>#N/A</v>
      </c>
    </row>
    <row r="1705" spans="1:15" x14ac:dyDescent="0.25">
      <c r="A1705" t="s">
        <v>14</v>
      </c>
      <c r="B1705" t="s">
        <v>25</v>
      </c>
      <c r="C1705" s="3" t="str">
        <f>IF($B1705="GW1",VLOOKUP($A1705,Matches!$A:$AC,2,FALSE),IF($B1705="GW2",VLOOKUP($A1705,Matches!$A:$AC,9,FALSE),IF($B1705="GW3",VLOOKUP($A1705,Matches!$A:$AC,16,FALSE))))</f>
        <v>Arsenal</v>
      </c>
      <c r="D1705" s="6">
        <v>0.4854368932038835</v>
      </c>
      <c r="E1705" s="6">
        <v>0.26454326605116268</v>
      </c>
      <c r="F1705" s="6">
        <v>0.22089362715272082</v>
      </c>
      <c r="G1705" s="3" t="s">
        <v>1</v>
      </c>
      <c r="H1705">
        <v>0.29304029300000001</v>
      </c>
      <c r="I1705">
        <v>0.19047618999999999</v>
      </c>
      <c r="J1705">
        <v>0.29304029300000001</v>
      </c>
      <c r="K1705">
        <v>0.311926606</v>
      </c>
      <c r="L1705">
        <v>0.33734939800000002</v>
      </c>
      <c r="M1705">
        <v>4.6104928000000003E-2</v>
      </c>
      <c r="N1705" t="e">
        <v>#N/A</v>
      </c>
      <c r="O1705" t="e">
        <v>#N/A</v>
      </c>
    </row>
    <row r="1706" spans="1:15" x14ac:dyDescent="0.25">
      <c r="A1706" t="s">
        <v>14</v>
      </c>
      <c r="B1706" t="s">
        <v>25</v>
      </c>
      <c r="C1706" s="3" t="str">
        <f>IF($B1706="GW1",VLOOKUP($A1706,Matches!$A:$AC,2,FALSE),IF($B1706="GW2",VLOOKUP($A1706,Matches!$A:$AC,9,FALSE),IF($B1706="GW3",VLOOKUP($A1706,Matches!$A:$AC,16,FALSE))))</f>
        <v>Arsenal</v>
      </c>
      <c r="D1706" s="6">
        <v>0.4854368932038835</v>
      </c>
      <c r="E1706" s="6">
        <v>0.26454326605116268</v>
      </c>
      <c r="F1706" s="6">
        <v>0.22089362715272082</v>
      </c>
      <c r="G1706" s="3" t="s">
        <v>1</v>
      </c>
      <c r="H1706" t="e">
        <v>#N/A</v>
      </c>
      <c r="I1706" t="e">
        <v>#N/A</v>
      </c>
      <c r="J1706" t="e">
        <v>#N/A</v>
      </c>
      <c r="K1706">
        <v>0.311926606</v>
      </c>
      <c r="L1706">
        <v>0.33734939800000002</v>
      </c>
      <c r="M1706">
        <v>4.6104928000000003E-2</v>
      </c>
      <c r="N1706" t="e">
        <v>#N/A</v>
      </c>
      <c r="O1706" t="e">
        <v>#N/A</v>
      </c>
    </row>
    <row r="1707" spans="1:15" x14ac:dyDescent="0.25">
      <c r="A1707" t="s">
        <v>14</v>
      </c>
      <c r="B1707" t="s">
        <v>25</v>
      </c>
      <c r="C1707" s="3" t="str">
        <f>IF($B1707="GW1",VLOOKUP($A1707,Matches!$A:$AC,2,FALSE),IF($B1707="GW2",VLOOKUP($A1707,Matches!$A:$AC,9,FALSE),IF($B1707="GW3",VLOOKUP($A1707,Matches!$A:$AC,16,FALSE))))</f>
        <v>Arsenal</v>
      </c>
      <c r="D1707" s="6">
        <v>0.4854368932038835</v>
      </c>
      <c r="E1707" s="6">
        <v>0.26454326605116268</v>
      </c>
      <c r="F1707" s="6">
        <v>0.22089362715272082</v>
      </c>
      <c r="G1707" s="3" t="s">
        <v>1</v>
      </c>
      <c r="H1707">
        <v>0.28011204499999998</v>
      </c>
      <c r="I1707">
        <v>0.13605442200000001</v>
      </c>
      <c r="J1707">
        <v>0.14652014699999999</v>
      </c>
      <c r="K1707">
        <v>0.311926606</v>
      </c>
      <c r="L1707">
        <v>0.33734939800000002</v>
      </c>
      <c r="M1707">
        <v>4.6104928000000003E-2</v>
      </c>
      <c r="N1707" t="e">
        <v>#N/A</v>
      </c>
      <c r="O1707" t="e">
        <v>#N/A</v>
      </c>
    </row>
    <row r="1708" spans="1:15" x14ac:dyDescent="0.25">
      <c r="A1708" t="s">
        <v>14</v>
      </c>
      <c r="B1708" t="s">
        <v>25</v>
      </c>
      <c r="C1708" s="3" t="str">
        <f>IF($B1708="GW1",VLOOKUP($A1708,Matches!$A:$AC,2,FALSE),IF($B1708="GW2",VLOOKUP($A1708,Matches!$A:$AC,9,FALSE),IF($B1708="GW3",VLOOKUP($A1708,Matches!$A:$AC,16,FALSE))))</f>
        <v>Arsenal</v>
      </c>
      <c r="D1708" s="6">
        <v>0.4854368932038835</v>
      </c>
      <c r="E1708" s="6">
        <v>0.26454326605116268</v>
      </c>
      <c r="F1708" s="6">
        <v>0.22089362715272082</v>
      </c>
      <c r="G1708" s="3" t="s">
        <v>1</v>
      </c>
      <c r="H1708">
        <v>0.253968254</v>
      </c>
      <c r="I1708">
        <v>0.14652014699999999</v>
      </c>
      <c r="J1708">
        <v>0.15873015900000001</v>
      </c>
      <c r="K1708">
        <v>0.311926606</v>
      </c>
      <c r="L1708">
        <v>0.33734939800000002</v>
      </c>
      <c r="M1708">
        <v>4.6104928000000003E-2</v>
      </c>
      <c r="N1708" t="e">
        <v>#N/A</v>
      </c>
      <c r="O1708" t="e">
        <v>#N/A</v>
      </c>
    </row>
    <row r="1709" spans="1:15" x14ac:dyDescent="0.25">
      <c r="A1709" t="s">
        <v>14</v>
      </c>
      <c r="B1709" t="s">
        <v>25</v>
      </c>
      <c r="C1709" s="3" t="str">
        <f>IF($B1709="GW1",VLOOKUP($A1709,Matches!$A:$AC,2,FALSE),IF($B1709="GW2",VLOOKUP($A1709,Matches!$A:$AC,9,FALSE),IF($B1709="GW3",VLOOKUP($A1709,Matches!$A:$AC,16,FALSE))))</f>
        <v>Arsenal</v>
      </c>
      <c r="D1709" s="6">
        <v>0.4854368932038835</v>
      </c>
      <c r="E1709" s="6">
        <v>0.26454326605116268</v>
      </c>
      <c r="F1709" s="6">
        <v>0.22089362715272082</v>
      </c>
      <c r="G1709" s="3" t="s">
        <v>1</v>
      </c>
      <c r="H1709">
        <v>0.13605442200000001</v>
      </c>
      <c r="I1709">
        <v>0.105820106</v>
      </c>
      <c r="J1709">
        <v>0.29304029300000001</v>
      </c>
      <c r="K1709">
        <v>0.311926606</v>
      </c>
      <c r="L1709">
        <v>0.33734939800000002</v>
      </c>
      <c r="M1709">
        <v>4.6104928000000003E-2</v>
      </c>
      <c r="N1709" t="e">
        <v>#N/A</v>
      </c>
      <c r="O1709" t="e">
        <v>#N/A</v>
      </c>
    </row>
    <row r="1710" spans="1:15" x14ac:dyDescent="0.25">
      <c r="A1710" t="s">
        <v>14</v>
      </c>
      <c r="B1710" t="s">
        <v>25</v>
      </c>
      <c r="C1710" s="3" t="str">
        <f>IF($B1710="GW1",VLOOKUP($A1710,Matches!$A:$AC,2,FALSE),IF($B1710="GW2",VLOOKUP($A1710,Matches!$A:$AC,9,FALSE),IF($B1710="GW3",VLOOKUP($A1710,Matches!$A:$AC,16,FALSE))))</f>
        <v>Arsenal</v>
      </c>
      <c r="D1710" s="6">
        <v>0.4854368932038835</v>
      </c>
      <c r="E1710" s="6">
        <v>0.26454326605116268</v>
      </c>
      <c r="F1710" s="6">
        <v>0.22089362715272082</v>
      </c>
      <c r="G1710" s="3" t="s">
        <v>1</v>
      </c>
      <c r="H1710">
        <v>0.15873015900000001</v>
      </c>
      <c r="I1710">
        <v>0.11904761899999999</v>
      </c>
      <c r="J1710">
        <v>0.21164021199999999</v>
      </c>
      <c r="K1710">
        <v>0.311926606</v>
      </c>
      <c r="L1710">
        <v>0.33734939800000002</v>
      </c>
      <c r="M1710">
        <v>4.6104928000000003E-2</v>
      </c>
      <c r="N1710" t="e">
        <v>#N/A</v>
      </c>
      <c r="O1710" t="e">
        <v>#N/A</v>
      </c>
    </row>
    <row r="1711" spans="1:15" x14ac:dyDescent="0.25">
      <c r="A1711" t="s">
        <v>14</v>
      </c>
      <c r="B1711" t="s">
        <v>25</v>
      </c>
      <c r="C1711" s="3" t="str">
        <f>IF($B1711="GW1",VLOOKUP($A1711,Matches!$A:$AC,2,FALSE),IF($B1711="GW2",VLOOKUP($A1711,Matches!$A:$AC,9,FALSE),IF($B1711="GW3",VLOOKUP($A1711,Matches!$A:$AC,16,FALSE))))</f>
        <v>Arsenal</v>
      </c>
      <c r="D1711" s="6">
        <v>0.4854368932038835</v>
      </c>
      <c r="E1711" s="6">
        <v>0.26454326605116268</v>
      </c>
      <c r="F1711" s="6">
        <v>0.22089362715272082</v>
      </c>
      <c r="G1711" s="3" t="s">
        <v>1</v>
      </c>
      <c r="H1711">
        <v>0.19047618999999999</v>
      </c>
      <c r="I1711">
        <v>8.6580087E-2</v>
      </c>
      <c r="J1711">
        <v>0.23809523799999999</v>
      </c>
      <c r="K1711">
        <v>0.311926606</v>
      </c>
      <c r="L1711">
        <v>0.33734939800000002</v>
      </c>
      <c r="M1711">
        <v>4.6104928000000003E-2</v>
      </c>
      <c r="N1711" t="e">
        <v>#N/A</v>
      </c>
      <c r="O1711" t="e">
        <v>#N/A</v>
      </c>
    </row>
    <row r="1712" spans="1:15" x14ac:dyDescent="0.25">
      <c r="A1712" t="s">
        <v>14</v>
      </c>
      <c r="B1712" t="s">
        <v>25</v>
      </c>
      <c r="C1712" s="3" t="str">
        <f>IF($B1712="GW1",VLOOKUP($A1712,Matches!$A:$AC,2,FALSE),IF($B1712="GW2",VLOOKUP($A1712,Matches!$A:$AC,9,FALSE),IF($B1712="GW3",VLOOKUP($A1712,Matches!$A:$AC,16,FALSE))))</f>
        <v>Arsenal</v>
      </c>
      <c r="D1712" s="6">
        <v>0.4854368932038835</v>
      </c>
      <c r="E1712" s="6">
        <v>0.26454326605116268</v>
      </c>
      <c r="F1712" s="6">
        <v>0.22089362715272082</v>
      </c>
      <c r="G1712" s="3" t="s">
        <v>1</v>
      </c>
      <c r="H1712">
        <v>0.19047618999999999</v>
      </c>
      <c r="I1712">
        <v>0.11904761899999999</v>
      </c>
      <c r="J1712">
        <v>0.15873015900000001</v>
      </c>
      <c r="K1712">
        <v>0.311926606</v>
      </c>
      <c r="L1712">
        <v>0.33734939800000002</v>
      </c>
      <c r="M1712">
        <v>4.6104928000000003E-2</v>
      </c>
      <c r="N1712" t="e">
        <v>#N/A</v>
      </c>
      <c r="O1712" t="e">
        <v>#N/A</v>
      </c>
    </row>
    <row r="1713" spans="1:15" x14ac:dyDescent="0.25">
      <c r="A1713" t="s">
        <v>14</v>
      </c>
      <c r="B1713" t="s">
        <v>25</v>
      </c>
      <c r="C1713" s="3" t="str">
        <f>IF($B1713="GW1",VLOOKUP($A1713,Matches!$A:$AC,2,FALSE),IF($B1713="GW2",VLOOKUP($A1713,Matches!$A:$AC,9,FALSE),IF($B1713="GW3",VLOOKUP($A1713,Matches!$A:$AC,16,FALSE))))</f>
        <v>Arsenal</v>
      </c>
      <c r="D1713" s="6">
        <v>0.4854368932038835</v>
      </c>
      <c r="E1713" s="6">
        <v>0.26454326605116268</v>
      </c>
      <c r="F1713" s="6">
        <v>0.22089362715272082</v>
      </c>
      <c r="G1713" s="3" t="s">
        <v>1</v>
      </c>
      <c r="H1713">
        <v>0.112044818</v>
      </c>
      <c r="I1713">
        <v>7.3260072999999995E-2</v>
      </c>
      <c r="J1713">
        <v>0.26455026500000001</v>
      </c>
      <c r="K1713">
        <v>0.311926606</v>
      </c>
      <c r="L1713">
        <v>0.33734939800000002</v>
      </c>
      <c r="M1713">
        <v>4.6104928000000003E-2</v>
      </c>
      <c r="N1713" t="e">
        <v>#N/A</v>
      </c>
      <c r="O1713" t="e">
        <v>#N/A</v>
      </c>
    </row>
    <row r="1714" spans="1:15" x14ac:dyDescent="0.25">
      <c r="A1714" t="s">
        <v>14</v>
      </c>
      <c r="B1714" t="s">
        <v>25</v>
      </c>
      <c r="C1714" s="3" t="str">
        <f>IF($B1714="GW1",VLOOKUP($A1714,Matches!$A:$AC,2,FALSE),IF($B1714="GW2",VLOOKUP($A1714,Matches!$A:$AC,9,FALSE),IF($B1714="GW3",VLOOKUP($A1714,Matches!$A:$AC,16,FALSE))))</f>
        <v>Arsenal</v>
      </c>
      <c r="D1714" s="6">
        <v>0.4854368932038835</v>
      </c>
      <c r="E1714" s="6">
        <v>0.26454326605116268</v>
      </c>
      <c r="F1714" s="6">
        <v>0.22089362715272082</v>
      </c>
      <c r="G1714" s="3" t="s">
        <v>1</v>
      </c>
      <c r="H1714">
        <v>0.19047618999999999</v>
      </c>
      <c r="I1714">
        <v>0.13605442200000001</v>
      </c>
      <c r="J1714">
        <v>0.173160173</v>
      </c>
      <c r="K1714">
        <v>0.311926606</v>
      </c>
      <c r="L1714">
        <v>0.33734939800000002</v>
      </c>
      <c r="M1714">
        <v>4.6104928000000003E-2</v>
      </c>
      <c r="N1714" t="e">
        <v>#N/A</v>
      </c>
      <c r="O1714" t="e">
        <v>#N/A</v>
      </c>
    </row>
    <row r="1715" spans="1:15" x14ac:dyDescent="0.25">
      <c r="A1715" t="s">
        <v>14</v>
      </c>
      <c r="B1715" t="s">
        <v>25</v>
      </c>
      <c r="C1715" s="3" t="str">
        <f>IF($B1715="GW1",VLOOKUP($A1715,Matches!$A:$AC,2,FALSE),IF($B1715="GW2",VLOOKUP($A1715,Matches!$A:$AC,9,FALSE),IF($B1715="GW3",VLOOKUP($A1715,Matches!$A:$AC,16,FALSE))))</f>
        <v>Arsenal</v>
      </c>
      <c r="D1715" s="6">
        <v>0.4854368932038835</v>
      </c>
      <c r="E1715" s="6">
        <v>0.26454326605116268</v>
      </c>
      <c r="F1715" s="6">
        <v>0.22089362715272082</v>
      </c>
      <c r="G1715" s="3" t="s">
        <v>1</v>
      </c>
      <c r="H1715" t="e">
        <v>#N/A</v>
      </c>
      <c r="I1715" t="e">
        <v>#N/A</v>
      </c>
      <c r="J1715" t="e">
        <v>#N/A</v>
      </c>
      <c r="K1715">
        <v>0.311926606</v>
      </c>
      <c r="L1715">
        <v>0.33734939800000002</v>
      </c>
      <c r="M1715">
        <v>4.6104928000000003E-2</v>
      </c>
      <c r="N1715" t="e">
        <v>#N/A</v>
      </c>
      <c r="O1715" t="e">
        <v>#N/A</v>
      </c>
    </row>
    <row r="1716" spans="1:15" x14ac:dyDescent="0.25">
      <c r="A1716" t="s">
        <v>14</v>
      </c>
      <c r="B1716" t="s">
        <v>25</v>
      </c>
      <c r="C1716" s="3" t="str">
        <f>IF($B1716="GW1",VLOOKUP($A1716,Matches!$A:$AC,2,FALSE),IF($B1716="GW2",VLOOKUP($A1716,Matches!$A:$AC,9,FALSE),IF($B1716="GW3",VLOOKUP($A1716,Matches!$A:$AC,16,FALSE))))</f>
        <v>Arsenal</v>
      </c>
      <c r="D1716" s="6">
        <v>0.4854368932038835</v>
      </c>
      <c r="E1716" s="6">
        <v>0.26454326605116268</v>
      </c>
      <c r="F1716" s="6">
        <v>0.22089362715272082</v>
      </c>
      <c r="G1716" s="3" t="s">
        <v>1</v>
      </c>
      <c r="H1716" t="e">
        <v>#N/A</v>
      </c>
      <c r="I1716" t="e">
        <v>#N/A</v>
      </c>
      <c r="J1716" t="e">
        <v>#N/A</v>
      </c>
      <c r="K1716">
        <v>0.311926606</v>
      </c>
      <c r="L1716">
        <v>0.33734939800000002</v>
      </c>
      <c r="M1716">
        <v>4.6104928000000003E-2</v>
      </c>
      <c r="N1716" t="e">
        <v>#N/A</v>
      </c>
      <c r="O1716" t="e">
        <v>#N/A</v>
      </c>
    </row>
    <row r="1717" spans="1:15" x14ac:dyDescent="0.25">
      <c r="A1717" t="s">
        <v>14</v>
      </c>
      <c r="B1717" t="s">
        <v>25</v>
      </c>
      <c r="C1717" s="3" t="str">
        <f>IF($B1717="GW1",VLOOKUP($A1717,Matches!$A:$AC,2,FALSE),IF($B1717="GW2",VLOOKUP($A1717,Matches!$A:$AC,9,FALSE),IF($B1717="GW3",VLOOKUP($A1717,Matches!$A:$AC,16,FALSE))))</f>
        <v>Arsenal</v>
      </c>
      <c r="D1717" s="6">
        <v>0.4854368932038835</v>
      </c>
      <c r="E1717" s="6">
        <v>0.26454326605116268</v>
      </c>
      <c r="F1717" s="6">
        <v>0.22089362715272082</v>
      </c>
      <c r="G1717" s="3" t="s">
        <v>1</v>
      </c>
      <c r="H1717" t="e">
        <v>#N/A</v>
      </c>
      <c r="I1717" t="e">
        <v>#N/A</v>
      </c>
      <c r="J1717" t="e">
        <v>#N/A</v>
      </c>
      <c r="K1717">
        <v>0.311926606</v>
      </c>
      <c r="L1717">
        <v>0.33734939800000002</v>
      </c>
      <c r="M1717">
        <v>4.6104928000000003E-2</v>
      </c>
      <c r="N1717" t="e">
        <v>#N/A</v>
      </c>
      <c r="O1717" t="e">
        <v>#N/A</v>
      </c>
    </row>
    <row r="1718" spans="1:15" x14ac:dyDescent="0.25">
      <c r="A1718" t="s">
        <v>14</v>
      </c>
      <c r="B1718" t="s">
        <v>25</v>
      </c>
      <c r="C1718" s="3" t="str">
        <f>IF($B1718="GW1",VLOOKUP($A1718,Matches!$A:$AC,2,FALSE),IF($B1718="GW2",VLOOKUP($A1718,Matches!$A:$AC,9,FALSE),IF($B1718="GW3",VLOOKUP($A1718,Matches!$A:$AC,16,FALSE))))</f>
        <v>Arsenal</v>
      </c>
      <c r="D1718" s="6">
        <v>0.4854368932038835</v>
      </c>
      <c r="E1718" s="6">
        <v>0.26454326605116268</v>
      </c>
      <c r="F1718" s="6">
        <v>0.22089362715272082</v>
      </c>
      <c r="G1718" s="3" t="s">
        <v>1</v>
      </c>
      <c r="H1718" t="e">
        <v>#N/A</v>
      </c>
      <c r="I1718" t="e">
        <v>#N/A</v>
      </c>
      <c r="J1718" t="e">
        <v>#N/A</v>
      </c>
      <c r="K1718">
        <v>0.311926606</v>
      </c>
      <c r="L1718">
        <v>0.33734939800000002</v>
      </c>
      <c r="M1718">
        <v>4.6104928000000003E-2</v>
      </c>
      <c r="N1718" t="e">
        <v>#N/A</v>
      </c>
      <c r="O1718" t="e">
        <v>#N/A</v>
      </c>
    </row>
    <row r="1719" spans="1:15" x14ac:dyDescent="0.25">
      <c r="A1719" t="s">
        <v>14</v>
      </c>
      <c r="B1719" t="s">
        <v>25</v>
      </c>
      <c r="C1719" s="3" t="str">
        <f>IF($B1719="GW1",VLOOKUP($A1719,Matches!$A:$AC,2,FALSE),IF($B1719="GW2",VLOOKUP($A1719,Matches!$A:$AC,9,FALSE),IF($B1719="GW3",VLOOKUP($A1719,Matches!$A:$AC,16,FALSE))))</f>
        <v>Arsenal</v>
      </c>
      <c r="D1719" s="6">
        <v>0.4854368932038835</v>
      </c>
      <c r="E1719" s="6">
        <v>0.26454326605116268</v>
      </c>
      <c r="F1719" s="6">
        <v>0.22089362715272082</v>
      </c>
      <c r="G1719" s="3" t="s">
        <v>1</v>
      </c>
      <c r="H1719">
        <v>0.13605442200000001</v>
      </c>
      <c r="I1719">
        <v>8.6580087E-2</v>
      </c>
      <c r="J1719">
        <v>0.19047618999999999</v>
      </c>
      <c r="K1719">
        <v>0.311926606</v>
      </c>
      <c r="L1719">
        <v>0.33734939800000002</v>
      </c>
      <c r="M1719">
        <v>4.6104928000000003E-2</v>
      </c>
      <c r="N1719" t="e">
        <v>#N/A</v>
      </c>
      <c r="O1719" t="e">
        <v>#N/A</v>
      </c>
    </row>
    <row r="1720" spans="1:15" x14ac:dyDescent="0.25">
      <c r="A1720" t="s">
        <v>14</v>
      </c>
      <c r="B1720" t="s">
        <v>25</v>
      </c>
      <c r="C1720" s="3" t="str">
        <f>IF($B1720="GW1",VLOOKUP($A1720,Matches!$A:$AC,2,FALSE),IF($B1720="GW2",VLOOKUP($A1720,Matches!$A:$AC,9,FALSE),IF($B1720="GW3",VLOOKUP($A1720,Matches!$A:$AC,16,FALSE))))</f>
        <v>Arsenal</v>
      </c>
      <c r="D1720" s="6">
        <v>0.4854368932038835</v>
      </c>
      <c r="E1720" s="6">
        <v>0.26454326605116268</v>
      </c>
      <c r="F1720" s="6">
        <v>0.22089362715272082</v>
      </c>
      <c r="G1720" s="3" t="s">
        <v>1</v>
      </c>
      <c r="H1720" t="e">
        <v>#N/A</v>
      </c>
      <c r="I1720" t="e">
        <v>#N/A</v>
      </c>
      <c r="J1720" t="e">
        <v>#N/A</v>
      </c>
      <c r="K1720">
        <v>0.311926606</v>
      </c>
      <c r="L1720">
        <v>0.33734939800000002</v>
      </c>
      <c r="M1720">
        <v>4.6104928000000003E-2</v>
      </c>
      <c r="N1720" t="e">
        <v>#N/A</v>
      </c>
      <c r="O1720" t="e">
        <v>#N/A</v>
      </c>
    </row>
    <row r="1721" spans="1:15" x14ac:dyDescent="0.25">
      <c r="A1721" t="s">
        <v>14</v>
      </c>
      <c r="B1721" t="s">
        <v>25</v>
      </c>
      <c r="C1721" s="3" t="str">
        <f>IF($B1721="GW1",VLOOKUP($A1721,Matches!$A:$AC,2,FALSE),IF($B1721="GW2",VLOOKUP($A1721,Matches!$A:$AC,9,FALSE),IF($B1721="GW3",VLOOKUP($A1721,Matches!$A:$AC,16,FALSE))))</f>
        <v>Arsenal</v>
      </c>
      <c r="D1721" s="6">
        <v>0.4854368932038835</v>
      </c>
      <c r="E1721" s="6">
        <v>0.26454326605116268</v>
      </c>
      <c r="F1721" s="6">
        <v>0.22089362715272082</v>
      </c>
      <c r="G1721" s="3" t="s">
        <v>1</v>
      </c>
      <c r="H1721" t="e">
        <v>#N/A</v>
      </c>
      <c r="I1721" t="e">
        <v>#N/A</v>
      </c>
      <c r="J1721" t="e">
        <v>#N/A</v>
      </c>
      <c r="K1721">
        <v>0.311926606</v>
      </c>
      <c r="L1721">
        <v>0.33734939800000002</v>
      </c>
      <c r="M1721">
        <v>4.6104928000000003E-2</v>
      </c>
      <c r="N1721" t="e">
        <v>#N/A</v>
      </c>
      <c r="O1721" t="e">
        <v>#N/A</v>
      </c>
    </row>
    <row r="1722" spans="1:15" x14ac:dyDescent="0.25">
      <c r="A1722" t="s">
        <v>14</v>
      </c>
      <c r="B1722" t="s">
        <v>25</v>
      </c>
      <c r="C1722" s="3" t="str">
        <f>IF($B1722="GW1",VLOOKUP($A1722,Matches!$A:$AC,2,FALSE),IF($B1722="GW2",VLOOKUP($A1722,Matches!$A:$AC,9,FALSE),IF($B1722="GW3",VLOOKUP($A1722,Matches!$A:$AC,16,FALSE))))</f>
        <v>Arsenal</v>
      </c>
      <c r="D1722" s="6">
        <v>0.4854368932038835</v>
      </c>
      <c r="E1722" s="6">
        <v>0.26454326605116268</v>
      </c>
      <c r="F1722" s="6">
        <v>0.22089362715272082</v>
      </c>
      <c r="G1722" s="3" t="s">
        <v>1</v>
      </c>
      <c r="H1722">
        <v>0.346320346</v>
      </c>
      <c r="I1722">
        <v>0.21164021199999999</v>
      </c>
      <c r="J1722">
        <v>0.29304029300000001</v>
      </c>
      <c r="K1722">
        <v>0.311926606</v>
      </c>
      <c r="L1722">
        <v>0.33734939800000002</v>
      </c>
      <c r="M1722">
        <v>4.6104928000000003E-2</v>
      </c>
      <c r="N1722" t="e">
        <v>#N/A</v>
      </c>
      <c r="O1722" t="e">
        <v>#N/A</v>
      </c>
    </row>
    <row r="1723" spans="1:15" x14ac:dyDescent="0.25">
      <c r="A1723" t="s">
        <v>15</v>
      </c>
      <c r="B1723" t="s">
        <v>25</v>
      </c>
      <c r="C1723" s="3" t="str">
        <f>IF($B1723="GW1",VLOOKUP($A1723,Matches!$A:$AC,2,FALSE),IF($B1723="GW2",VLOOKUP($A1723,Matches!$A:$AC,9,FALSE),IF($B1723="GW3",VLOOKUP($A1723,Matches!$A:$AC,16,FALSE))))</f>
        <v>Brighton</v>
      </c>
      <c r="D1723" s="6">
        <v>0.54543471146503764</v>
      </c>
      <c r="E1723" s="6">
        <v>0.22683966972144087</v>
      </c>
      <c r="F1723" s="6">
        <v>0.31859504174359676</v>
      </c>
      <c r="G1723" s="3" t="s">
        <v>0</v>
      </c>
      <c r="H1723" t="e">
        <v>#N/A</v>
      </c>
      <c r="I1723" t="e">
        <v>#N/A</v>
      </c>
      <c r="J1723">
        <v>0.10025062699999999</v>
      </c>
      <c r="K1723">
        <v>0.311926606</v>
      </c>
      <c r="L1723">
        <v>0.33734939800000002</v>
      </c>
      <c r="M1723">
        <v>4.6104928000000003E-2</v>
      </c>
      <c r="N1723" t="e">
        <v>#N/A</v>
      </c>
      <c r="O1723" t="e">
        <v>#N/A</v>
      </c>
    </row>
    <row r="1724" spans="1:15" x14ac:dyDescent="0.25">
      <c r="A1724" t="s">
        <v>15</v>
      </c>
      <c r="B1724" t="s">
        <v>25</v>
      </c>
      <c r="C1724" s="3" t="str">
        <f>IF($B1724="GW1",VLOOKUP($A1724,Matches!$A:$AC,2,FALSE),IF($B1724="GW2",VLOOKUP($A1724,Matches!$A:$AC,9,FALSE),IF($B1724="GW3",VLOOKUP($A1724,Matches!$A:$AC,16,FALSE))))</f>
        <v>Brighton</v>
      </c>
      <c r="D1724" s="6">
        <v>0.54543471146503764</v>
      </c>
      <c r="E1724" s="6">
        <v>0.22683966972144087</v>
      </c>
      <c r="F1724" s="6">
        <v>0.31859504174359676</v>
      </c>
      <c r="G1724" s="3" t="s">
        <v>0</v>
      </c>
      <c r="H1724" t="e">
        <v>#N/A</v>
      </c>
      <c r="I1724" t="e">
        <v>#N/A</v>
      </c>
      <c r="J1724">
        <v>0.10025062699999999</v>
      </c>
      <c r="K1724">
        <v>0.311926606</v>
      </c>
      <c r="L1724">
        <v>0.33734939800000002</v>
      </c>
      <c r="M1724">
        <v>4.6104928000000003E-2</v>
      </c>
      <c r="N1724" t="e">
        <v>#N/A</v>
      </c>
      <c r="O1724" t="e">
        <v>#N/A</v>
      </c>
    </row>
    <row r="1725" spans="1:15" x14ac:dyDescent="0.25">
      <c r="A1725" t="s">
        <v>15</v>
      </c>
      <c r="B1725" t="s">
        <v>25</v>
      </c>
      <c r="C1725" s="3" t="str">
        <f>IF($B1725="GW1",VLOOKUP($A1725,Matches!$A:$AC,2,FALSE),IF($B1725="GW2",VLOOKUP($A1725,Matches!$A:$AC,9,FALSE),IF($B1725="GW3",VLOOKUP($A1725,Matches!$A:$AC,16,FALSE))))</f>
        <v>Brighton</v>
      </c>
      <c r="D1725" s="6">
        <v>0.54543471146503764</v>
      </c>
      <c r="E1725" s="6">
        <v>0.22683966972144087</v>
      </c>
      <c r="F1725" s="6">
        <v>0.31859504174359676</v>
      </c>
      <c r="G1725" s="3" t="s">
        <v>0</v>
      </c>
      <c r="H1725" t="e">
        <v>#N/A</v>
      </c>
      <c r="I1725" t="e">
        <v>#N/A</v>
      </c>
      <c r="J1725" t="e">
        <v>#N/A</v>
      </c>
      <c r="K1725">
        <v>0.311926606</v>
      </c>
      <c r="L1725">
        <v>0.33734939800000002</v>
      </c>
      <c r="M1725">
        <v>4.6104928000000003E-2</v>
      </c>
      <c r="N1725" t="e">
        <v>#N/A</v>
      </c>
      <c r="O1725" t="e">
        <v>#N/A</v>
      </c>
    </row>
    <row r="1726" spans="1:15" x14ac:dyDescent="0.25">
      <c r="A1726" t="s">
        <v>15</v>
      </c>
      <c r="B1726" t="s">
        <v>25</v>
      </c>
      <c r="C1726" s="3" t="str">
        <f>IF($B1726="GW1",VLOOKUP($A1726,Matches!$A:$AC,2,FALSE),IF($B1726="GW2",VLOOKUP($A1726,Matches!$A:$AC,9,FALSE),IF($B1726="GW3",VLOOKUP($A1726,Matches!$A:$AC,16,FALSE))))</f>
        <v>Brighton</v>
      </c>
      <c r="D1726" s="6">
        <v>0.54543471146503764</v>
      </c>
      <c r="E1726" s="6">
        <v>0.22683966972144087</v>
      </c>
      <c r="F1726" s="6">
        <v>0.31859504174359676</v>
      </c>
      <c r="G1726" s="3" t="s">
        <v>0</v>
      </c>
      <c r="H1726" t="e">
        <v>#N/A</v>
      </c>
      <c r="I1726" t="e">
        <v>#N/A</v>
      </c>
      <c r="J1726">
        <v>0.10025062699999999</v>
      </c>
      <c r="K1726">
        <v>0.311926606</v>
      </c>
      <c r="L1726">
        <v>0.33734939800000002</v>
      </c>
      <c r="M1726">
        <v>4.6104928000000003E-2</v>
      </c>
      <c r="N1726" t="e">
        <v>#N/A</v>
      </c>
      <c r="O1726" t="e">
        <v>#N/A</v>
      </c>
    </row>
    <row r="1727" spans="1:15" x14ac:dyDescent="0.25">
      <c r="A1727" t="s">
        <v>15</v>
      </c>
      <c r="B1727" t="s">
        <v>25</v>
      </c>
      <c r="C1727" s="3" t="str">
        <f>IF($B1727="GW1",VLOOKUP($A1727,Matches!$A:$AC,2,FALSE),IF($B1727="GW2",VLOOKUP($A1727,Matches!$A:$AC,9,FALSE),IF($B1727="GW3",VLOOKUP($A1727,Matches!$A:$AC,16,FALSE))))</f>
        <v>Brighton</v>
      </c>
      <c r="D1727" s="6">
        <v>0.54543471146503764</v>
      </c>
      <c r="E1727" s="6">
        <v>0.22683966972144087</v>
      </c>
      <c r="F1727" s="6">
        <v>0.31859504174359676</v>
      </c>
      <c r="G1727" s="3" t="s">
        <v>0</v>
      </c>
      <c r="H1727">
        <v>0.112044818</v>
      </c>
      <c r="I1727">
        <v>0.19047618999999999</v>
      </c>
      <c r="J1727">
        <v>0.15873015900000001</v>
      </c>
      <c r="K1727">
        <v>0.311926606</v>
      </c>
      <c r="L1727">
        <v>0.33734939800000002</v>
      </c>
      <c r="M1727">
        <v>4.6104928000000003E-2</v>
      </c>
      <c r="N1727" t="e">
        <v>#N/A</v>
      </c>
      <c r="O1727" t="e">
        <v>#N/A</v>
      </c>
    </row>
    <row r="1728" spans="1:15" x14ac:dyDescent="0.25">
      <c r="A1728" t="s">
        <v>15</v>
      </c>
      <c r="B1728" t="s">
        <v>25</v>
      </c>
      <c r="C1728" s="3" t="str">
        <f>IF($B1728="GW1",VLOOKUP($A1728,Matches!$A:$AC,2,FALSE),IF($B1728="GW2",VLOOKUP($A1728,Matches!$A:$AC,9,FALSE),IF($B1728="GW3",VLOOKUP($A1728,Matches!$A:$AC,16,FALSE))))</f>
        <v>Brighton</v>
      </c>
      <c r="D1728" s="6">
        <v>0.54543471146503764</v>
      </c>
      <c r="E1728" s="6">
        <v>0.22683966972144087</v>
      </c>
      <c r="F1728" s="6">
        <v>0.31859504174359676</v>
      </c>
      <c r="G1728" s="3" t="s">
        <v>0</v>
      </c>
      <c r="H1728" t="e">
        <v>#N/A</v>
      </c>
      <c r="I1728" t="e">
        <v>#N/A</v>
      </c>
      <c r="J1728" t="e">
        <v>#N/A</v>
      </c>
      <c r="K1728">
        <v>0.311926606</v>
      </c>
      <c r="L1728">
        <v>0.33734939800000002</v>
      </c>
      <c r="M1728">
        <v>4.6104928000000003E-2</v>
      </c>
      <c r="N1728" t="e">
        <v>#N/A</v>
      </c>
      <c r="O1728" t="e">
        <v>#N/A</v>
      </c>
    </row>
    <row r="1729" spans="1:15" x14ac:dyDescent="0.25">
      <c r="A1729" t="s">
        <v>15</v>
      </c>
      <c r="B1729" t="s">
        <v>25</v>
      </c>
      <c r="C1729" s="3" t="str">
        <f>IF($B1729="GW1",VLOOKUP($A1729,Matches!$A:$AC,2,FALSE),IF($B1729="GW2",VLOOKUP($A1729,Matches!$A:$AC,9,FALSE),IF($B1729="GW3",VLOOKUP($A1729,Matches!$A:$AC,16,FALSE))))</f>
        <v>Brighton</v>
      </c>
      <c r="D1729" s="6">
        <v>0.54543471146503764</v>
      </c>
      <c r="E1729" s="6">
        <v>0.22683966972144087</v>
      </c>
      <c r="F1729" s="6">
        <v>0.31859504174359676</v>
      </c>
      <c r="G1729" s="3" t="s">
        <v>0</v>
      </c>
      <c r="H1729">
        <v>8.6580087E-2</v>
      </c>
      <c r="I1729">
        <v>4.1407867000000001E-2</v>
      </c>
      <c r="J1729">
        <v>0.14652014699999999</v>
      </c>
      <c r="K1729">
        <v>0.311926606</v>
      </c>
      <c r="L1729">
        <v>0.33734939800000002</v>
      </c>
      <c r="M1729">
        <v>4.6104928000000003E-2</v>
      </c>
      <c r="N1729" t="e">
        <v>#N/A</v>
      </c>
      <c r="O1729" t="e">
        <v>#N/A</v>
      </c>
    </row>
    <row r="1730" spans="1:15" x14ac:dyDescent="0.25">
      <c r="A1730" t="s">
        <v>15</v>
      </c>
      <c r="B1730" t="s">
        <v>25</v>
      </c>
      <c r="C1730" s="3" t="str">
        <f>IF($B1730="GW1",VLOOKUP($A1730,Matches!$A:$AC,2,FALSE),IF($B1730="GW2",VLOOKUP($A1730,Matches!$A:$AC,9,FALSE),IF($B1730="GW3",VLOOKUP($A1730,Matches!$A:$AC,16,FALSE))))</f>
        <v>Brighton</v>
      </c>
      <c r="D1730" s="6">
        <v>0.54543471146503764</v>
      </c>
      <c r="E1730" s="6">
        <v>0.22683966972144087</v>
      </c>
      <c r="F1730" s="6">
        <v>0.31859504174359676</v>
      </c>
      <c r="G1730" s="3" t="s">
        <v>0</v>
      </c>
      <c r="H1730">
        <v>8.6580087E-2</v>
      </c>
      <c r="I1730">
        <v>4.1407867000000001E-2</v>
      </c>
      <c r="J1730">
        <v>0.126984127</v>
      </c>
      <c r="K1730">
        <v>0.311926606</v>
      </c>
      <c r="L1730">
        <v>0.33734939800000002</v>
      </c>
      <c r="M1730">
        <v>4.6104928000000003E-2</v>
      </c>
      <c r="N1730" t="e">
        <v>#N/A</v>
      </c>
      <c r="O1730" t="e">
        <v>#N/A</v>
      </c>
    </row>
    <row r="1731" spans="1:15" x14ac:dyDescent="0.25">
      <c r="A1731" t="s">
        <v>15</v>
      </c>
      <c r="B1731" t="s">
        <v>25</v>
      </c>
      <c r="C1731" s="3" t="str">
        <f>IF($B1731="GW1",VLOOKUP($A1731,Matches!$A:$AC,2,FALSE),IF($B1731="GW2",VLOOKUP($A1731,Matches!$A:$AC,9,FALSE),IF($B1731="GW3",VLOOKUP($A1731,Matches!$A:$AC,16,FALSE))))</f>
        <v>Brighton</v>
      </c>
      <c r="D1731" s="6">
        <v>0.54543471146503764</v>
      </c>
      <c r="E1731" s="6">
        <v>0.22683966972144087</v>
      </c>
      <c r="F1731" s="6">
        <v>0.31859504174359676</v>
      </c>
      <c r="G1731" s="3" t="s">
        <v>0</v>
      </c>
      <c r="H1731" t="e">
        <v>#N/A</v>
      </c>
      <c r="I1731" t="e">
        <v>#N/A</v>
      </c>
      <c r="J1731" t="e">
        <v>#N/A</v>
      </c>
      <c r="K1731">
        <v>0.311926606</v>
      </c>
      <c r="L1731">
        <v>0.33734939800000002</v>
      </c>
      <c r="M1731">
        <v>4.6104928000000003E-2</v>
      </c>
      <c r="N1731" t="e">
        <v>#N/A</v>
      </c>
      <c r="O1731" t="e">
        <v>#N/A</v>
      </c>
    </row>
    <row r="1732" spans="1:15" x14ac:dyDescent="0.25">
      <c r="A1732" t="s">
        <v>15</v>
      </c>
      <c r="B1732" t="s">
        <v>25</v>
      </c>
      <c r="C1732" s="3" t="str">
        <f>IF($B1732="GW1",VLOOKUP($A1732,Matches!$A:$AC,2,FALSE),IF($B1732="GW2",VLOOKUP($A1732,Matches!$A:$AC,9,FALSE),IF($B1732="GW3",VLOOKUP($A1732,Matches!$A:$AC,16,FALSE))))</f>
        <v>Brighton</v>
      </c>
      <c r="D1732" s="6">
        <v>0.54543471146503764</v>
      </c>
      <c r="E1732" s="6">
        <v>0.22683966972144087</v>
      </c>
      <c r="F1732" s="6">
        <v>0.31859504174359676</v>
      </c>
      <c r="G1732" s="3" t="s">
        <v>0</v>
      </c>
      <c r="H1732">
        <v>0.13605442200000001</v>
      </c>
      <c r="I1732">
        <v>0.173160173</v>
      </c>
      <c r="J1732">
        <v>0.14652014699999999</v>
      </c>
      <c r="K1732">
        <v>0.311926606</v>
      </c>
      <c r="L1732">
        <v>0.33734939800000002</v>
      </c>
      <c r="M1732">
        <v>4.6104928000000003E-2</v>
      </c>
      <c r="N1732" t="e">
        <v>#N/A</v>
      </c>
      <c r="O1732" t="e">
        <v>#N/A</v>
      </c>
    </row>
    <row r="1733" spans="1:15" x14ac:dyDescent="0.25">
      <c r="A1733" t="s">
        <v>15</v>
      </c>
      <c r="B1733" t="s">
        <v>25</v>
      </c>
      <c r="C1733" s="3" t="str">
        <f>IF($B1733="GW1",VLOOKUP($A1733,Matches!$A:$AC,2,FALSE),IF($B1733="GW2",VLOOKUP($A1733,Matches!$A:$AC,9,FALSE),IF($B1733="GW3",VLOOKUP($A1733,Matches!$A:$AC,16,FALSE))))</f>
        <v>Brighton</v>
      </c>
      <c r="D1733" s="6">
        <v>0.54543471146503764</v>
      </c>
      <c r="E1733" s="6">
        <v>0.22683966972144087</v>
      </c>
      <c r="F1733" s="6">
        <v>0.31859504174359676</v>
      </c>
      <c r="G1733" s="3" t="s">
        <v>0</v>
      </c>
      <c r="H1733">
        <v>8.6580087E-2</v>
      </c>
      <c r="I1733">
        <v>3.2840722000000003E-2</v>
      </c>
      <c r="J1733">
        <v>0.14652014699999999</v>
      </c>
      <c r="K1733">
        <v>0.311926606</v>
      </c>
      <c r="L1733">
        <v>0.33734939800000002</v>
      </c>
      <c r="M1733">
        <v>4.6104928000000003E-2</v>
      </c>
      <c r="N1733" t="e">
        <v>#N/A</v>
      </c>
      <c r="O1733" t="e">
        <v>#N/A</v>
      </c>
    </row>
    <row r="1734" spans="1:15" x14ac:dyDescent="0.25">
      <c r="A1734" t="s">
        <v>15</v>
      </c>
      <c r="B1734" t="s">
        <v>25</v>
      </c>
      <c r="C1734" s="3" t="str">
        <f>IF($B1734="GW1",VLOOKUP($A1734,Matches!$A:$AC,2,FALSE),IF($B1734="GW2",VLOOKUP($A1734,Matches!$A:$AC,9,FALSE),IF($B1734="GW3",VLOOKUP($A1734,Matches!$A:$AC,16,FALSE))))</f>
        <v>Brighton</v>
      </c>
      <c r="D1734" s="6">
        <v>0.54543471146503764</v>
      </c>
      <c r="E1734" s="6">
        <v>0.22683966972144087</v>
      </c>
      <c r="F1734" s="6">
        <v>0.31859504174359676</v>
      </c>
      <c r="G1734" s="3" t="s">
        <v>0</v>
      </c>
      <c r="H1734">
        <v>8.6580087E-2</v>
      </c>
      <c r="I1734">
        <v>6.3492063000000001E-2</v>
      </c>
      <c r="J1734">
        <v>0.14652014699999999</v>
      </c>
      <c r="K1734">
        <v>0.311926606</v>
      </c>
      <c r="L1734">
        <v>0.33734939800000002</v>
      </c>
      <c r="M1734">
        <v>4.6104928000000003E-2</v>
      </c>
      <c r="N1734" t="e">
        <v>#N/A</v>
      </c>
      <c r="O1734" t="e">
        <v>#N/A</v>
      </c>
    </row>
    <row r="1735" spans="1:15" x14ac:dyDescent="0.25">
      <c r="A1735" t="s">
        <v>15</v>
      </c>
      <c r="B1735" t="s">
        <v>25</v>
      </c>
      <c r="C1735" s="3" t="str">
        <f>IF($B1735="GW1",VLOOKUP($A1735,Matches!$A:$AC,2,FALSE),IF($B1735="GW2",VLOOKUP($A1735,Matches!$A:$AC,9,FALSE),IF($B1735="GW3",VLOOKUP($A1735,Matches!$A:$AC,16,FALSE))))</f>
        <v>Brighton</v>
      </c>
      <c r="D1735" s="6">
        <v>0.54543471146503764</v>
      </c>
      <c r="E1735" s="6">
        <v>0.22683966972144087</v>
      </c>
      <c r="F1735" s="6">
        <v>0.31859504174359676</v>
      </c>
      <c r="G1735" s="3" t="s">
        <v>0</v>
      </c>
      <c r="H1735">
        <v>8.6580087E-2</v>
      </c>
      <c r="I1735">
        <v>8.6580087E-2</v>
      </c>
      <c r="J1735">
        <v>0.11904761899999999</v>
      </c>
      <c r="K1735">
        <v>0.311926606</v>
      </c>
      <c r="L1735">
        <v>0.33734939800000002</v>
      </c>
      <c r="M1735">
        <v>4.6104928000000003E-2</v>
      </c>
      <c r="N1735" t="e">
        <v>#N/A</v>
      </c>
      <c r="O1735" t="e">
        <v>#N/A</v>
      </c>
    </row>
    <row r="1736" spans="1:15" x14ac:dyDescent="0.25">
      <c r="A1736" t="s">
        <v>15</v>
      </c>
      <c r="B1736" t="s">
        <v>25</v>
      </c>
      <c r="C1736" s="3" t="str">
        <f>IF($B1736="GW1",VLOOKUP($A1736,Matches!$A:$AC,2,FALSE),IF($B1736="GW2",VLOOKUP($A1736,Matches!$A:$AC,9,FALSE),IF($B1736="GW3",VLOOKUP($A1736,Matches!$A:$AC,16,FALSE))))</f>
        <v>Brighton</v>
      </c>
      <c r="D1736" s="6">
        <v>0.54543471146503764</v>
      </c>
      <c r="E1736" s="6">
        <v>0.22683966972144087</v>
      </c>
      <c r="F1736" s="6">
        <v>0.31859504174359676</v>
      </c>
      <c r="G1736" s="3" t="s">
        <v>0</v>
      </c>
      <c r="H1736">
        <v>0.13605442200000001</v>
      </c>
      <c r="I1736">
        <v>0.11904761899999999</v>
      </c>
      <c r="J1736">
        <v>0.10025062699999999</v>
      </c>
      <c r="K1736">
        <v>0.311926606</v>
      </c>
      <c r="L1736">
        <v>0.33734939800000002</v>
      </c>
      <c r="M1736">
        <v>4.6104928000000003E-2</v>
      </c>
      <c r="N1736" t="e">
        <v>#N/A</v>
      </c>
      <c r="O1736" t="e">
        <v>#N/A</v>
      </c>
    </row>
    <row r="1737" spans="1:15" x14ac:dyDescent="0.25">
      <c r="A1737" t="s">
        <v>15</v>
      </c>
      <c r="B1737" t="s">
        <v>25</v>
      </c>
      <c r="C1737" s="3" t="str">
        <f>IF($B1737="GW1",VLOOKUP($A1737,Matches!$A:$AC,2,FALSE),IF($B1737="GW2",VLOOKUP($A1737,Matches!$A:$AC,9,FALSE),IF($B1737="GW3",VLOOKUP($A1737,Matches!$A:$AC,16,FALSE))))</f>
        <v>Brighton</v>
      </c>
      <c r="D1737" s="6">
        <v>0.54543471146503764</v>
      </c>
      <c r="E1737" s="6">
        <v>0.22683966972144087</v>
      </c>
      <c r="F1737" s="6">
        <v>0.31859504174359676</v>
      </c>
      <c r="G1737" s="3" t="s">
        <v>0</v>
      </c>
      <c r="H1737" t="e">
        <v>#N/A</v>
      </c>
      <c r="I1737" t="e">
        <v>#N/A</v>
      </c>
      <c r="J1737" t="e">
        <v>#N/A</v>
      </c>
      <c r="K1737">
        <v>0.311926606</v>
      </c>
      <c r="L1737">
        <v>0.33734939800000002</v>
      </c>
      <c r="M1737">
        <v>4.6104928000000003E-2</v>
      </c>
      <c r="N1737" t="e">
        <v>#N/A</v>
      </c>
      <c r="O1737" t="e">
        <v>#N/A</v>
      </c>
    </row>
    <row r="1738" spans="1:15" x14ac:dyDescent="0.25">
      <c r="A1738" t="s">
        <v>15</v>
      </c>
      <c r="B1738" t="s">
        <v>25</v>
      </c>
      <c r="C1738" s="3" t="str">
        <f>IF($B1738="GW1",VLOOKUP($A1738,Matches!$A:$AC,2,FALSE),IF($B1738="GW2",VLOOKUP($A1738,Matches!$A:$AC,9,FALSE),IF($B1738="GW3",VLOOKUP($A1738,Matches!$A:$AC,16,FALSE))))</f>
        <v>Brighton</v>
      </c>
      <c r="D1738" s="6">
        <v>0.54543471146503764</v>
      </c>
      <c r="E1738" s="6">
        <v>0.22683966972144087</v>
      </c>
      <c r="F1738" s="6">
        <v>0.31859504174359676</v>
      </c>
      <c r="G1738" s="3" t="s">
        <v>0</v>
      </c>
      <c r="H1738">
        <v>0.36630036599999999</v>
      </c>
      <c r="I1738">
        <v>0.253968254</v>
      </c>
      <c r="J1738">
        <v>0.14652014699999999</v>
      </c>
      <c r="K1738">
        <v>0.311926606</v>
      </c>
      <c r="L1738">
        <v>0.33734939800000002</v>
      </c>
      <c r="M1738">
        <v>4.6104928000000003E-2</v>
      </c>
      <c r="N1738" t="e">
        <v>#N/A</v>
      </c>
      <c r="O1738" t="e">
        <v>#N/A</v>
      </c>
    </row>
    <row r="1739" spans="1:15" x14ac:dyDescent="0.25">
      <c r="A1739" t="s">
        <v>15</v>
      </c>
      <c r="B1739" t="s">
        <v>25</v>
      </c>
      <c r="C1739" s="3" t="str">
        <f>IF($B1739="GW1",VLOOKUP($A1739,Matches!$A:$AC,2,FALSE),IF($B1739="GW2",VLOOKUP($A1739,Matches!$A:$AC,9,FALSE),IF($B1739="GW3",VLOOKUP($A1739,Matches!$A:$AC,16,FALSE))))</f>
        <v>Brighton</v>
      </c>
      <c r="D1739" s="6">
        <v>0.54543471146503764</v>
      </c>
      <c r="E1739" s="6">
        <v>0.22683966972144087</v>
      </c>
      <c r="F1739" s="6">
        <v>0.31859504174359676</v>
      </c>
      <c r="G1739" s="3" t="s">
        <v>0</v>
      </c>
      <c r="H1739">
        <v>0.33184005300000002</v>
      </c>
      <c r="I1739">
        <v>0.23809523799999999</v>
      </c>
      <c r="J1739">
        <v>8.6580087E-2</v>
      </c>
      <c r="K1739">
        <v>0.311926606</v>
      </c>
      <c r="L1739">
        <v>0.33734939800000002</v>
      </c>
      <c r="M1739">
        <v>4.6104928000000003E-2</v>
      </c>
      <c r="N1739" t="e">
        <v>#N/A</v>
      </c>
      <c r="O1739" t="e">
        <v>#N/A</v>
      </c>
    </row>
    <row r="1740" spans="1:15" x14ac:dyDescent="0.25">
      <c r="A1740" t="s">
        <v>15</v>
      </c>
      <c r="B1740" t="s">
        <v>25</v>
      </c>
      <c r="C1740" s="3" t="str">
        <f>IF($B1740="GW1",VLOOKUP($A1740,Matches!$A:$AC,2,FALSE),IF($B1740="GW2",VLOOKUP($A1740,Matches!$A:$AC,9,FALSE),IF($B1740="GW3",VLOOKUP($A1740,Matches!$A:$AC,16,FALSE))))</f>
        <v>Brighton</v>
      </c>
      <c r="D1740" s="6">
        <v>0.54543471146503764</v>
      </c>
      <c r="E1740" s="6">
        <v>0.22683966972144087</v>
      </c>
      <c r="F1740" s="6">
        <v>0.31859504174359676</v>
      </c>
      <c r="G1740" s="3" t="s">
        <v>0</v>
      </c>
      <c r="H1740">
        <v>0.23809523799999999</v>
      </c>
      <c r="I1740">
        <v>0.23809523799999999</v>
      </c>
      <c r="J1740">
        <v>0.112044818</v>
      </c>
      <c r="K1740">
        <v>0.311926606</v>
      </c>
      <c r="L1740">
        <v>0.33734939800000002</v>
      </c>
      <c r="M1740">
        <v>4.6104928000000003E-2</v>
      </c>
      <c r="N1740" t="e">
        <v>#N/A</v>
      </c>
      <c r="O1740" t="e">
        <v>#N/A</v>
      </c>
    </row>
    <row r="1741" spans="1:15" x14ac:dyDescent="0.25">
      <c r="A1741" t="s">
        <v>15</v>
      </c>
      <c r="B1741" t="s">
        <v>25</v>
      </c>
      <c r="C1741" s="3" t="str">
        <f>IF($B1741="GW1",VLOOKUP($A1741,Matches!$A:$AC,2,FALSE),IF($B1741="GW2",VLOOKUP($A1741,Matches!$A:$AC,9,FALSE),IF($B1741="GW3",VLOOKUP($A1741,Matches!$A:$AC,16,FALSE))))</f>
        <v>Brighton</v>
      </c>
      <c r="D1741" s="6">
        <v>0.54543471146503764</v>
      </c>
      <c r="E1741" s="6">
        <v>0.22683966972144087</v>
      </c>
      <c r="F1741" s="6">
        <v>0.31859504174359676</v>
      </c>
      <c r="G1741" s="3" t="s">
        <v>0</v>
      </c>
      <c r="H1741">
        <v>0.21164021199999999</v>
      </c>
      <c r="I1741">
        <v>0.19047618999999999</v>
      </c>
      <c r="J1741">
        <v>0.20050125299999999</v>
      </c>
      <c r="K1741">
        <v>0.311926606</v>
      </c>
      <c r="L1741">
        <v>0.33734939800000002</v>
      </c>
      <c r="M1741">
        <v>4.6104928000000003E-2</v>
      </c>
      <c r="N1741" t="e">
        <v>#N/A</v>
      </c>
      <c r="O1741" t="e">
        <v>#N/A</v>
      </c>
    </row>
    <row r="1742" spans="1:15" x14ac:dyDescent="0.25">
      <c r="A1742" t="s">
        <v>15</v>
      </c>
      <c r="B1742" t="s">
        <v>25</v>
      </c>
      <c r="C1742" s="3" t="str">
        <f>IF($B1742="GW1",VLOOKUP($A1742,Matches!$A:$AC,2,FALSE),IF($B1742="GW2",VLOOKUP($A1742,Matches!$A:$AC,9,FALSE),IF($B1742="GW3",VLOOKUP($A1742,Matches!$A:$AC,16,FALSE))))</f>
        <v>Brighton</v>
      </c>
      <c r="D1742" s="6">
        <v>0.54543471146503764</v>
      </c>
      <c r="E1742" s="6">
        <v>0.22683966972144087</v>
      </c>
      <c r="F1742" s="6">
        <v>0.31859504174359676</v>
      </c>
      <c r="G1742" s="3" t="s">
        <v>0</v>
      </c>
      <c r="H1742">
        <v>0.27210884400000002</v>
      </c>
      <c r="I1742">
        <v>0.253968254</v>
      </c>
      <c r="J1742">
        <v>0.126984127</v>
      </c>
      <c r="K1742">
        <v>0.311926606</v>
      </c>
      <c r="L1742">
        <v>0.33734939800000002</v>
      </c>
      <c r="M1742">
        <v>4.6104928000000003E-2</v>
      </c>
      <c r="N1742" t="e">
        <v>#N/A</v>
      </c>
      <c r="O1742" t="e">
        <v>#N/A</v>
      </c>
    </row>
    <row r="1743" spans="1:15" x14ac:dyDescent="0.25">
      <c r="A1743" t="s">
        <v>15</v>
      </c>
      <c r="B1743" t="s">
        <v>25</v>
      </c>
      <c r="C1743" s="3" t="str">
        <f>IF($B1743="GW1",VLOOKUP($A1743,Matches!$A:$AC,2,FALSE),IF($B1743="GW2",VLOOKUP($A1743,Matches!$A:$AC,9,FALSE),IF($B1743="GW3",VLOOKUP($A1743,Matches!$A:$AC,16,FALSE))))</f>
        <v>Brighton</v>
      </c>
      <c r="D1743" s="6">
        <v>0.54543471146503764</v>
      </c>
      <c r="E1743" s="6">
        <v>0.22683966972144087</v>
      </c>
      <c r="F1743" s="6">
        <v>0.31859504174359676</v>
      </c>
      <c r="G1743" s="3" t="s">
        <v>0</v>
      </c>
      <c r="H1743">
        <v>0.23809523799999999</v>
      </c>
      <c r="I1743">
        <v>0.19047618999999999</v>
      </c>
      <c r="J1743">
        <v>0.11904761899999999</v>
      </c>
      <c r="K1743">
        <v>0.311926606</v>
      </c>
      <c r="L1743">
        <v>0.33734939800000002</v>
      </c>
      <c r="M1743">
        <v>4.6104928000000003E-2</v>
      </c>
      <c r="N1743" t="e">
        <v>#N/A</v>
      </c>
      <c r="O1743" t="e">
        <v>#N/A</v>
      </c>
    </row>
    <row r="1744" spans="1:15" x14ac:dyDescent="0.25">
      <c r="A1744" t="s">
        <v>15</v>
      </c>
      <c r="B1744" t="s">
        <v>25</v>
      </c>
      <c r="C1744" s="3" t="str">
        <f>IF($B1744="GW1",VLOOKUP($A1744,Matches!$A:$AC,2,FALSE),IF($B1744="GW2",VLOOKUP($A1744,Matches!$A:$AC,9,FALSE),IF($B1744="GW3",VLOOKUP($A1744,Matches!$A:$AC,16,FALSE))))</f>
        <v>Brighton</v>
      </c>
      <c r="D1744" s="6">
        <v>0.54543471146503764</v>
      </c>
      <c r="E1744" s="6">
        <v>0.22683966972144087</v>
      </c>
      <c r="F1744" s="6">
        <v>0.31859504174359676</v>
      </c>
      <c r="G1744" s="3" t="s">
        <v>0</v>
      </c>
      <c r="H1744">
        <v>0.20050125299999999</v>
      </c>
      <c r="I1744">
        <v>0.14652014699999999</v>
      </c>
      <c r="J1744">
        <v>0.21164021199999999</v>
      </c>
      <c r="K1744">
        <v>0.311926606</v>
      </c>
      <c r="L1744">
        <v>0.33734939800000002</v>
      </c>
      <c r="M1744">
        <v>4.6104928000000003E-2</v>
      </c>
      <c r="N1744" t="e">
        <v>#N/A</v>
      </c>
      <c r="O1744" t="e">
        <v>#N/A</v>
      </c>
    </row>
    <row r="1745" spans="1:15" x14ac:dyDescent="0.25">
      <c r="A1745" t="s">
        <v>15</v>
      </c>
      <c r="B1745" t="s">
        <v>25</v>
      </c>
      <c r="C1745" s="3" t="str">
        <f>IF($B1745="GW1",VLOOKUP($A1745,Matches!$A:$AC,2,FALSE),IF($B1745="GW2",VLOOKUP($A1745,Matches!$A:$AC,9,FALSE),IF($B1745="GW3",VLOOKUP($A1745,Matches!$A:$AC,16,FALSE))))</f>
        <v>Brighton</v>
      </c>
      <c r="D1745" s="6">
        <v>0.54543471146503764</v>
      </c>
      <c r="E1745" s="6">
        <v>0.22683966972144087</v>
      </c>
      <c r="F1745" s="6">
        <v>0.31859504174359676</v>
      </c>
      <c r="G1745" s="3" t="s">
        <v>0</v>
      </c>
      <c r="H1745">
        <v>0.173160173</v>
      </c>
      <c r="I1745">
        <v>0.13605442200000001</v>
      </c>
      <c r="J1745">
        <v>0.14652014699999999</v>
      </c>
      <c r="K1745">
        <v>0.311926606</v>
      </c>
      <c r="L1745">
        <v>0.33734939800000002</v>
      </c>
      <c r="M1745">
        <v>4.6104928000000003E-2</v>
      </c>
      <c r="N1745" t="e">
        <v>#N/A</v>
      </c>
      <c r="O1745" t="e">
        <v>#N/A</v>
      </c>
    </row>
    <row r="1746" spans="1:15" x14ac:dyDescent="0.25">
      <c r="A1746" t="s">
        <v>15</v>
      </c>
      <c r="B1746" t="s">
        <v>25</v>
      </c>
      <c r="C1746" s="3" t="str">
        <f>IF($B1746="GW1",VLOOKUP($A1746,Matches!$A:$AC,2,FALSE),IF($B1746="GW2",VLOOKUP($A1746,Matches!$A:$AC,9,FALSE),IF($B1746="GW3",VLOOKUP($A1746,Matches!$A:$AC,16,FALSE))))</f>
        <v>Brighton</v>
      </c>
      <c r="D1746" s="6">
        <v>0.54543471146503764</v>
      </c>
      <c r="E1746" s="6">
        <v>0.22683966972144087</v>
      </c>
      <c r="F1746" s="6">
        <v>0.31859504174359676</v>
      </c>
      <c r="G1746" s="3" t="s">
        <v>0</v>
      </c>
      <c r="H1746" t="e">
        <v>#N/A</v>
      </c>
      <c r="I1746" t="e">
        <v>#N/A</v>
      </c>
      <c r="J1746" t="e">
        <v>#N/A</v>
      </c>
      <c r="K1746">
        <v>0.311926606</v>
      </c>
      <c r="L1746">
        <v>0.33734939800000002</v>
      </c>
      <c r="M1746">
        <v>4.6104928000000003E-2</v>
      </c>
      <c r="N1746" t="e">
        <v>#N/A</v>
      </c>
      <c r="O1746" t="e">
        <v>#N/A</v>
      </c>
    </row>
    <row r="1747" spans="1:15" x14ac:dyDescent="0.25">
      <c r="A1747" t="s">
        <v>15</v>
      </c>
      <c r="B1747" t="s">
        <v>25</v>
      </c>
      <c r="C1747" s="3" t="str">
        <f>IF($B1747="GW1",VLOOKUP($A1747,Matches!$A:$AC,2,FALSE),IF($B1747="GW2",VLOOKUP($A1747,Matches!$A:$AC,9,FALSE),IF($B1747="GW3",VLOOKUP($A1747,Matches!$A:$AC,16,FALSE))))</f>
        <v>Brighton</v>
      </c>
      <c r="D1747" s="6">
        <v>0.54543471146503764</v>
      </c>
      <c r="E1747" s="6">
        <v>0.22683966972144087</v>
      </c>
      <c r="F1747" s="6">
        <v>0.31859504174359676</v>
      </c>
      <c r="G1747" s="3" t="s">
        <v>0</v>
      </c>
      <c r="H1747" t="e">
        <v>#N/A</v>
      </c>
      <c r="I1747" t="e">
        <v>#N/A</v>
      </c>
      <c r="J1747" t="e">
        <v>#N/A</v>
      </c>
      <c r="K1747">
        <v>0.311926606</v>
      </c>
      <c r="L1747">
        <v>0.33734939800000002</v>
      </c>
      <c r="M1747">
        <v>4.6104928000000003E-2</v>
      </c>
      <c r="N1747" t="e">
        <v>#N/A</v>
      </c>
      <c r="O1747" t="e">
        <v>#N/A</v>
      </c>
    </row>
    <row r="1748" spans="1:15" x14ac:dyDescent="0.25">
      <c r="A1748" t="s">
        <v>15</v>
      </c>
      <c r="B1748" t="s">
        <v>25</v>
      </c>
      <c r="C1748" s="3" t="str">
        <f>IF($B1748="GW1",VLOOKUP($A1748,Matches!$A:$AC,2,FALSE),IF($B1748="GW2",VLOOKUP($A1748,Matches!$A:$AC,9,FALSE),IF($B1748="GW3",VLOOKUP($A1748,Matches!$A:$AC,16,FALSE))))</f>
        <v>Brighton</v>
      </c>
      <c r="D1748" s="6">
        <v>0.54543471146503764</v>
      </c>
      <c r="E1748" s="6">
        <v>0.22683966972144087</v>
      </c>
      <c r="F1748" s="6">
        <v>0.31859504174359676</v>
      </c>
      <c r="G1748" s="3" t="s">
        <v>0</v>
      </c>
      <c r="H1748" t="e">
        <v>#N/A</v>
      </c>
      <c r="I1748" t="e">
        <v>#N/A</v>
      </c>
      <c r="J1748" t="e">
        <v>#N/A</v>
      </c>
      <c r="K1748">
        <v>0.311926606</v>
      </c>
      <c r="L1748">
        <v>0.33734939800000002</v>
      </c>
      <c r="M1748">
        <v>4.6104928000000003E-2</v>
      </c>
      <c r="N1748" t="e">
        <v>#N/A</v>
      </c>
      <c r="O1748" t="e">
        <v>#N/A</v>
      </c>
    </row>
    <row r="1749" spans="1:15" x14ac:dyDescent="0.25">
      <c r="A1749" t="s">
        <v>15</v>
      </c>
      <c r="B1749" t="s">
        <v>25</v>
      </c>
      <c r="C1749" s="3" t="str">
        <f>IF($B1749="GW1",VLOOKUP($A1749,Matches!$A:$AC,2,FALSE),IF($B1749="GW2",VLOOKUP($A1749,Matches!$A:$AC,9,FALSE),IF($B1749="GW3",VLOOKUP($A1749,Matches!$A:$AC,16,FALSE))))</f>
        <v>Brighton</v>
      </c>
      <c r="D1749" s="6">
        <v>0.54543471146503764</v>
      </c>
      <c r="E1749" s="6">
        <v>0.22683966972144087</v>
      </c>
      <c r="F1749" s="6">
        <v>0.31859504174359676</v>
      </c>
      <c r="G1749" s="3" t="s">
        <v>0</v>
      </c>
      <c r="H1749">
        <v>0.27210884400000002</v>
      </c>
      <c r="I1749">
        <v>0.19047618999999999</v>
      </c>
      <c r="J1749">
        <v>7.3260072999999995E-2</v>
      </c>
      <c r="K1749">
        <v>0.311926606</v>
      </c>
      <c r="L1749">
        <v>0.33734939800000002</v>
      </c>
      <c r="M1749">
        <v>4.6104928000000003E-2</v>
      </c>
      <c r="N1749" t="e">
        <v>#N/A</v>
      </c>
      <c r="O1749" t="e">
        <v>#N/A</v>
      </c>
    </row>
    <row r="1750" spans="1:15" x14ac:dyDescent="0.25">
      <c r="A1750" t="s">
        <v>15</v>
      </c>
      <c r="B1750" t="s">
        <v>25</v>
      </c>
      <c r="C1750" s="3" t="str">
        <f>IF($B1750="GW1",VLOOKUP($A1750,Matches!$A:$AC,2,FALSE),IF($B1750="GW2",VLOOKUP($A1750,Matches!$A:$AC,9,FALSE),IF($B1750="GW3",VLOOKUP($A1750,Matches!$A:$AC,16,FALSE))))</f>
        <v>Brighton</v>
      </c>
      <c r="D1750" s="6">
        <v>0.54543471146503764</v>
      </c>
      <c r="E1750" s="6">
        <v>0.22683966972144087</v>
      </c>
      <c r="F1750" s="6">
        <v>0.31859504174359676</v>
      </c>
      <c r="G1750" s="3" t="s">
        <v>0</v>
      </c>
      <c r="H1750">
        <v>0.27210884400000002</v>
      </c>
      <c r="I1750">
        <v>0.21994941200000001</v>
      </c>
      <c r="J1750">
        <v>0.10025062699999999</v>
      </c>
      <c r="K1750">
        <v>0.311926606</v>
      </c>
      <c r="L1750">
        <v>0.33734939800000002</v>
      </c>
      <c r="M1750">
        <v>4.6104928000000003E-2</v>
      </c>
      <c r="N1750" t="e">
        <v>#N/A</v>
      </c>
      <c r="O1750" t="e">
        <v>#N/A</v>
      </c>
    </row>
    <row r="1751" spans="1:15" x14ac:dyDescent="0.25">
      <c r="A1751" t="s">
        <v>15</v>
      </c>
      <c r="B1751" t="s">
        <v>25</v>
      </c>
      <c r="C1751" s="3" t="str">
        <f>IF($B1751="GW1",VLOOKUP($A1751,Matches!$A:$AC,2,FALSE),IF($B1751="GW2",VLOOKUP($A1751,Matches!$A:$AC,9,FALSE),IF($B1751="GW3",VLOOKUP($A1751,Matches!$A:$AC,16,FALSE))))</f>
        <v>Brighton</v>
      </c>
      <c r="D1751" s="6">
        <v>0.54543471146503764</v>
      </c>
      <c r="E1751" s="6">
        <v>0.22683966972144087</v>
      </c>
      <c r="F1751" s="6">
        <v>0.31859504174359676</v>
      </c>
      <c r="G1751" s="3" t="s">
        <v>0</v>
      </c>
      <c r="H1751">
        <v>0.253968254</v>
      </c>
      <c r="I1751">
        <v>0.15873015900000001</v>
      </c>
      <c r="J1751">
        <v>0.11904761899999999</v>
      </c>
      <c r="K1751">
        <v>0.311926606</v>
      </c>
      <c r="L1751">
        <v>0.33734939800000002</v>
      </c>
      <c r="M1751">
        <v>4.6104928000000003E-2</v>
      </c>
      <c r="N1751" t="e">
        <v>#N/A</v>
      </c>
      <c r="O1751" t="e">
        <v>#N/A</v>
      </c>
    </row>
    <row r="1752" spans="1:15" x14ac:dyDescent="0.25">
      <c r="A1752" t="s">
        <v>15</v>
      </c>
      <c r="B1752" t="s">
        <v>25</v>
      </c>
      <c r="C1752" s="3" t="str">
        <f>IF($B1752="GW1",VLOOKUP($A1752,Matches!$A:$AC,2,FALSE),IF($B1752="GW2",VLOOKUP($A1752,Matches!$A:$AC,9,FALSE),IF($B1752="GW3",VLOOKUP($A1752,Matches!$A:$AC,16,FALSE))))</f>
        <v>Brighton</v>
      </c>
      <c r="D1752" s="6">
        <v>0.54543471146503764</v>
      </c>
      <c r="E1752" s="6">
        <v>0.22683966972144087</v>
      </c>
      <c r="F1752" s="6">
        <v>0.31859504174359676</v>
      </c>
      <c r="G1752" s="3" t="s">
        <v>0</v>
      </c>
      <c r="H1752">
        <v>0.21164021199999999</v>
      </c>
      <c r="I1752">
        <v>0.13605442200000001</v>
      </c>
      <c r="J1752">
        <v>0.15873015900000001</v>
      </c>
      <c r="K1752">
        <v>0.311926606</v>
      </c>
      <c r="L1752">
        <v>0.33734939800000002</v>
      </c>
      <c r="M1752">
        <v>4.6104928000000003E-2</v>
      </c>
      <c r="N1752" t="e">
        <v>#N/A</v>
      </c>
      <c r="O1752" t="e">
        <v>#N/A</v>
      </c>
    </row>
    <row r="1753" spans="1:15" x14ac:dyDescent="0.25">
      <c r="A1753" t="s">
        <v>15</v>
      </c>
      <c r="B1753" t="s">
        <v>25</v>
      </c>
      <c r="C1753" s="3" t="str">
        <f>IF($B1753="GW1",VLOOKUP($A1753,Matches!$A:$AC,2,FALSE),IF($B1753="GW2",VLOOKUP($A1753,Matches!$A:$AC,9,FALSE),IF($B1753="GW3",VLOOKUP($A1753,Matches!$A:$AC,16,FALSE))))</f>
        <v>Brighton</v>
      </c>
      <c r="D1753" s="6">
        <v>0.54543471146503764</v>
      </c>
      <c r="E1753" s="6">
        <v>0.22683966972144087</v>
      </c>
      <c r="F1753" s="6">
        <v>0.31859504174359676</v>
      </c>
      <c r="G1753" s="3" t="s">
        <v>0</v>
      </c>
      <c r="H1753" t="e">
        <v>#N/A</v>
      </c>
      <c r="I1753" t="e">
        <v>#N/A</v>
      </c>
      <c r="J1753" t="e">
        <v>#N/A</v>
      </c>
      <c r="K1753">
        <v>0.311926606</v>
      </c>
      <c r="L1753">
        <v>0.33734939800000002</v>
      </c>
      <c r="M1753">
        <v>4.6104928000000003E-2</v>
      </c>
      <c r="N1753" t="e">
        <v>#N/A</v>
      </c>
      <c r="O1753" t="e">
        <v>#N/A</v>
      </c>
    </row>
    <row r="1754" spans="1:15" x14ac:dyDescent="0.25">
      <c r="A1754" t="s">
        <v>15</v>
      </c>
      <c r="B1754" t="s">
        <v>25</v>
      </c>
      <c r="C1754" s="3" t="str">
        <f>IF($B1754="GW1",VLOOKUP($A1754,Matches!$A:$AC,2,FALSE),IF($B1754="GW2",VLOOKUP($A1754,Matches!$A:$AC,9,FALSE),IF($B1754="GW3",VLOOKUP($A1754,Matches!$A:$AC,16,FALSE))))</f>
        <v>Brighton</v>
      </c>
      <c r="D1754" s="6">
        <v>0.54543471146503764</v>
      </c>
      <c r="E1754" s="6">
        <v>0.22683966972144087</v>
      </c>
      <c r="F1754" s="6">
        <v>0.31859504174359676</v>
      </c>
      <c r="G1754" s="3" t="s">
        <v>0</v>
      </c>
      <c r="H1754" t="e">
        <v>#N/A</v>
      </c>
      <c r="I1754" t="e">
        <v>#N/A</v>
      </c>
      <c r="J1754" t="e">
        <v>#N/A</v>
      </c>
      <c r="K1754">
        <v>0.311926606</v>
      </c>
      <c r="L1754">
        <v>0.33734939800000002</v>
      </c>
      <c r="M1754">
        <v>4.6104928000000003E-2</v>
      </c>
      <c r="N1754" t="e">
        <v>#N/A</v>
      </c>
      <c r="O1754" t="e">
        <v>#N/A</v>
      </c>
    </row>
    <row r="1755" spans="1:15" x14ac:dyDescent="0.25">
      <c r="A1755" t="s">
        <v>15</v>
      </c>
      <c r="B1755" t="s">
        <v>25</v>
      </c>
      <c r="C1755" s="3" t="str">
        <f>IF($B1755="GW1",VLOOKUP($A1755,Matches!$A:$AC,2,FALSE),IF($B1755="GW2",VLOOKUP($A1755,Matches!$A:$AC,9,FALSE),IF($B1755="GW3",VLOOKUP($A1755,Matches!$A:$AC,16,FALSE))))</f>
        <v>Brighton</v>
      </c>
      <c r="D1755" s="6">
        <v>0.54543471146503764</v>
      </c>
      <c r="E1755" s="6">
        <v>0.22683966972144087</v>
      </c>
      <c r="F1755" s="6">
        <v>0.31859504174359676</v>
      </c>
      <c r="G1755" s="3" t="s">
        <v>0</v>
      </c>
      <c r="H1755">
        <v>0.553709856</v>
      </c>
      <c r="I1755">
        <v>0.11904761899999999</v>
      </c>
      <c r="J1755">
        <v>0.11904761899999999</v>
      </c>
      <c r="K1755">
        <v>0.311926606</v>
      </c>
      <c r="L1755">
        <v>0.33734939800000002</v>
      </c>
      <c r="M1755">
        <v>4.6104928000000003E-2</v>
      </c>
      <c r="N1755" t="e">
        <v>#N/A</v>
      </c>
      <c r="O1755" t="e">
        <v>#N/A</v>
      </c>
    </row>
    <row r="1756" spans="1:15" x14ac:dyDescent="0.25">
      <c r="A1756" t="s">
        <v>16</v>
      </c>
      <c r="B1756" t="s">
        <v>25</v>
      </c>
      <c r="C1756" s="3" t="str">
        <f>IF($B1756="GW1",VLOOKUP($A1756,Matches!$A:$AC,2,FALSE),IF($B1756="GW2",VLOOKUP($A1756,Matches!$A:$AC,9,FALSE),IF($B1756="GW3",VLOOKUP($A1756,Matches!$A:$AC,16,FALSE))))</f>
        <v>Burnley</v>
      </c>
      <c r="D1756" s="6">
        <v>0.71916576770945695</v>
      </c>
      <c r="E1756" s="6">
        <v>0.11121120119218407</v>
      </c>
      <c r="F1756" s="6">
        <v>0.60795456651727287</v>
      </c>
      <c r="G1756" s="3" t="s">
        <v>1</v>
      </c>
      <c r="H1756">
        <v>0.38095238100000001</v>
      </c>
      <c r="I1756">
        <v>0.23809523799999999</v>
      </c>
      <c r="J1756">
        <v>0.173160173</v>
      </c>
      <c r="K1756">
        <v>0.486486486</v>
      </c>
      <c r="L1756">
        <v>0.188311688</v>
      </c>
      <c r="M1756">
        <v>1.9268489999999999E-2</v>
      </c>
      <c r="N1756" t="e">
        <v>#N/A</v>
      </c>
      <c r="O1756" t="e">
        <v>#N/A</v>
      </c>
    </row>
    <row r="1757" spans="1:15" x14ac:dyDescent="0.25">
      <c r="A1757" t="s">
        <v>16</v>
      </c>
      <c r="B1757" t="s">
        <v>25</v>
      </c>
      <c r="C1757" s="3" t="str">
        <f>IF($B1757="GW1",VLOOKUP($A1757,Matches!$A:$AC,2,FALSE),IF($B1757="GW2",VLOOKUP($A1757,Matches!$A:$AC,9,FALSE),IF($B1757="GW3",VLOOKUP($A1757,Matches!$A:$AC,16,FALSE))))</f>
        <v>Burnley</v>
      </c>
      <c r="D1757" s="6">
        <v>0.71916576770945695</v>
      </c>
      <c r="E1757" s="6">
        <v>0.11121120119218407</v>
      </c>
      <c r="F1757" s="6">
        <v>0.60795456651727287</v>
      </c>
      <c r="G1757" s="3" t="s">
        <v>1</v>
      </c>
      <c r="H1757" t="e">
        <v>#N/A</v>
      </c>
      <c r="I1757" t="e">
        <v>#N/A</v>
      </c>
      <c r="J1757">
        <v>0.14652014699999999</v>
      </c>
      <c r="K1757">
        <v>0.486486486</v>
      </c>
      <c r="L1757">
        <v>0.188311688</v>
      </c>
      <c r="M1757">
        <v>1.9268489999999999E-2</v>
      </c>
      <c r="N1757" t="e">
        <v>#N/A</v>
      </c>
      <c r="O1757" t="e">
        <v>#N/A</v>
      </c>
    </row>
    <row r="1758" spans="1:15" x14ac:dyDescent="0.25">
      <c r="A1758" t="s">
        <v>16</v>
      </c>
      <c r="B1758" t="s">
        <v>25</v>
      </c>
      <c r="C1758" s="3" t="str">
        <f>IF($B1758="GW1",VLOOKUP($A1758,Matches!$A:$AC,2,FALSE),IF($B1758="GW2",VLOOKUP($A1758,Matches!$A:$AC,9,FALSE),IF($B1758="GW3",VLOOKUP($A1758,Matches!$A:$AC,16,FALSE))))</f>
        <v>Burnley</v>
      </c>
      <c r="D1758" s="6">
        <v>0.71916576770945695</v>
      </c>
      <c r="E1758" s="6">
        <v>0.11121120119218407</v>
      </c>
      <c r="F1758" s="6">
        <v>0.60795456651727287</v>
      </c>
      <c r="G1758" s="3" t="s">
        <v>1</v>
      </c>
      <c r="H1758" t="e">
        <v>#N/A</v>
      </c>
      <c r="I1758" t="e">
        <v>#N/A</v>
      </c>
      <c r="J1758">
        <v>0.14652014699999999</v>
      </c>
      <c r="K1758">
        <v>0.486486486</v>
      </c>
      <c r="L1758">
        <v>0.188311688</v>
      </c>
      <c r="M1758">
        <v>1.9268489999999999E-2</v>
      </c>
      <c r="N1758" t="e">
        <v>#N/A</v>
      </c>
      <c r="O1758" t="e">
        <v>#N/A</v>
      </c>
    </row>
    <row r="1759" spans="1:15" x14ac:dyDescent="0.25">
      <c r="A1759" t="s">
        <v>16</v>
      </c>
      <c r="B1759" t="s">
        <v>25</v>
      </c>
      <c r="C1759" s="3" t="str">
        <f>IF($B1759="GW1",VLOOKUP($A1759,Matches!$A:$AC,2,FALSE),IF($B1759="GW2",VLOOKUP($A1759,Matches!$A:$AC,9,FALSE),IF($B1759="GW3",VLOOKUP($A1759,Matches!$A:$AC,16,FALSE))))</f>
        <v>Burnley</v>
      </c>
      <c r="D1759" s="6">
        <v>0.71916576770945695</v>
      </c>
      <c r="E1759" s="6">
        <v>0.11121120119218407</v>
      </c>
      <c r="F1759" s="6">
        <v>0.60795456651727287</v>
      </c>
      <c r="G1759" s="3" t="s">
        <v>1</v>
      </c>
      <c r="H1759" t="e">
        <v>#N/A</v>
      </c>
      <c r="I1759" t="e">
        <v>#N/A</v>
      </c>
      <c r="J1759" t="e">
        <v>#N/A</v>
      </c>
      <c r="K1759">
        <v>0.486486486</v>
      </c>
      <c r="L1759">
        <v>0.188311688</v>
      </c>
      <c r="M1759">
        <v>1.9268489999999999E-2</v>
      </c>
      <c r="N1759" t="e">
        <v>#N/A</v>
      </c>
      <c r="O1759" t="e">
        <v>#N/A</v>
      </c>
    </row>
    <row r="1760" spans="1:15" x14ac:dyDescent="0.25">
      <c r="A1760" t="s">
        <v>16</v>
      </c>
      <c r="B1760" t="s">
        <v>25</v>
      </c>
      <c r="C1760" s="3" t="str">
        <f>IF($B1760="GW1",VLOOKUP($A1760,Matches!$A:$AC,2,FALSE),IF($B1760="GW2",VLOOKUP($A1760,Matches!$A:$AC,9,FALSE),IF($B1760="GW3",VLOOKUP($A1760,Matches!$A:$AC,16,FALSE))))</f>
        <v>Burnley</v>
      </c>
      <c r="D1760" s="6">
        <v>0.71916576770945695</v>
      </c>
      <c r="E1760" s="6">
        <v>0.11121120119218407</v>
      </c>
      <c r="F1760" s="6">
        <v>0.60795456651727287</v>
      </c>
      <c r="G1760" s="3" t="s">
        <v>1</v>
      </c>
      <c r="H1760" t="e">
        <v>#N/A</v>
      </c>
      <c r="I1760" t="e">
        <v>#N/A</v>
      </c>
      <c r="J1760">
        <v>0.14652014699999999</v>
      </c>
      <c r="K1760">
        <v>0.486486486</v>
      </c>
      <c r="L1760">
        <v>0.188311688</v>
      </c>
      <c r="M1760">
        <v>1.9268489999999999E-2</v>
      </c>
      <c r="N1760" t="e">
        <v>#N/A</v>
      </c>
      <c r="O1760" t="e">
        <v>#N/A</v>
      </c>
    </row>
    <row r="1761" spans="1:15" x14ac:dyDescent="0.25">
      <c r="A1761" t="s">
        <v>16</v>
      </c>
      <c r="B1761" t="s">
        <v>25</v>
      </c>
      <c r="C1761" s="3" t="str">
        <f>IF($B1761="GW1",VLOOKUP($A1761,Matches!$A:$AC,2,FALSE),IF($B1761="GW2",VLOOKUP($A1761,Matches!$A:$AC,9,FALSE),IF($B1761="GW3",VLOOKUP($A1761,Matches!$A:$AC,16,FALSE))))</f>
        <v>Burnley</v>
      </c>
      <c r="D1761" s="6">
        <v>0.71916576770945695</v>
      </c>
      <c r="E1761" s="6">
        <v>0.11121120119218407</v>
      </c>
      <c r="F1761" s="6">
        <v>0.60795456651727287</v>
      </c>
      <c r="G1761" s="3" t="s">
        <v>1</v>
      </c>
      <c r="H1761" t="e">
        <v>#N/A</v>
      </c>
      <c r="I1761" t="e">
        <v>#N/A</v>
      </c>
      <c r="J1761">
        <v>0.14652014699999999</v>
      </c>
      <c r="K1761">
        <v>0.486486486</v>
      </c>
      <c r="L1761">
        <v>0.188311688</v>
      </c>
      <c r="M1761">
        <v>1.9268489999999999E-2</v>
      </c>
      <c r="N1761" t="e">
        <v>#N/A</v>
      </c>
      <c r="O1761" t="e">
        <v>#N/A</v>
      </c>
    </row>
    <row r="1762" spans="1:15" x14ac:dyDescent="0.25">
      <c r="A1762" t="s">
        <v>16</v>
      </c>
      <c r="B1762" t="s">
        <v>25</v>
      </c>
      <c r="C1762" s="3" t="str">
        <f>IF($B1762="GW1",VLOOKUP($A1762,Matches!$A:$AC,2,FALSE),IF($B1762="GW2",VLOOKUP($A1762,Matches!$A:$AC,9,FALSE),IF($B1762="GW3",VLOOKUP($A1762,Matches!$A:$AC,16,FALSE))))</f>
        <v>Burnley</v>
      </c>
      <c r="D1762" s="6">
        <v>0.71916576770945695</v>
      </c>
      <c r="E1762" s="6">
        <v>0.11121120119218407</v>
      </c>
      <c r="F1762" s="6">
        <v>0.60795456651727287</v>
      </c>
      <c r="G1762" s="3" t="s">
        <v>1</v>
      </c>
      <c r="H1762">
        <v>0.112044818</v>
      </c>
      <c r="I1762">
        <v>3.6630036999999997E-2</v>
      </c>
      <c r="J1762">
        <v>0.173160173</v>
      </c>
      <c r="K1762">
        <v>0.486486486</v>
      </c>
      <c r="L1762">
        <v>0.188311688</v>
      </c>
      <c r="M1762">
        <v>1.9268489999999999E-2</v>
      </c>
      <c r="N1762" t="e">
        <v>#N/A</v>
      </c>
      <c r="O1762" t="e">
        <v>#N/A</v>
      </c>
    </row>
    <row r="1763" spans="1:15" x14ac:dyDescent="0.25">
      <c r="A1763" t="s">
        <v>16</v>
      </c>
      <c r="B1763" t="s">
        <v>25</v>
      </c>
      <c r="C1763" s="3" t="str">
        <f>IF($B1763="GW1",VLOOKUP($A1763,Matches!$A:$AC,2,FALSE),IF($B1763="GW2",VLOOKUP($A1763,Matches!$A:$AC,9,FALSE),IF($B1763="GW3",VLOOKUP($A1763,Matches!$A:$AC,16,FALSE))))</f>
        <v>Burnley</v>
      </c>
      <c r="D1763" s="6">
        <v>0.71916576770945695</v>
      </c>
      <c r="E1763" s="6">
        <v>0.11121120119218407</v>
      </c>
      <c r="F1763" s="6">
        <v>0.60795456651727287</v>
      </c>
      <c r="G1763" s="3" t="s">
        <v>1</v>
      </c>
      <c r="H1763" t="e">
        <v>#N/A</v>
      </c>
      <c r="I1763" t="e">
        <v>#N/A</v>
      </c>
      <c r="J1763" t="e">
        <v>#N/A</v>
      </c>
      <c r="K1763">
        <v>0.486486486</v>
      </c>
      <c r="L1763">
        <v>0.188311688</v>
      </c>
      <c r="M1763">
        <v>1.9268489999999999E-2</v>
      </c>
      <c r="N1763" t="e">
        <v>#N/A</v>
      </c>
      <c r="O1763" t="e">
        <v>#N/A</v>
      </c>
    </row>
    <row r="1764" spans="1:15" x14ac:dyDescent="0.25">
      <c r="A1764" t="s">
        <v>16</v>
      </c>
      <c r="B1764" t="s">
        <v>25</v>
      </c>
      <c r="C1764" s="3" t="str">
        <f>IF($B1764="GW1",VLOOKUP($A1764,Matches!$A:$AC,2,FALSE),IF($B1764="GW2",VLOOKUP($A1764,Matches!$A:$AC,9,FALSE),IF($B1764="GW3",VLOOKUP($A1764,Matches!$A:$AC,16,FALSE))))</f>
        <v>Burnley</v>
      </c>
      <c r="D1764" s="6">
        <v>0.71916576770945695</v>
      </c>
      <c r="E1764" s="6">
        <v>0.11121120119218407</v>
      </c>
      <c r="F1764" s="6">
        <v>0.60795456651727287</v>
      </c>
      <c r="G1764" s="3" t="s">
        <v>1</v>
      </c>
      <c r="H1764">
        <v>0.10025062699999999</v>
      </c>
      <c r="I1764">
        <v>8.6580087E-2</v>
      </c>
      <c r="J1764">
        <v>0.21994941200000001</v>
      </c>
      <c r="K1764">
        <v>0.486486486</v>
      </c>
      <c r="L1764">
        <v>0.188311688</v>
      </c>
      <c r="M1764">
        <v>1.9268489999999999E-2</v>
      </c>
      <c r="N1764" t="e">
        <v>#N/A</v>
      </c>
      <c r="O1764" t="e">
        <v>#N/A</v>
      </c>
    </row>
    <row r="1765" spans="1:15" x14ac:dyDescent="0.25">
      <c r="A1765" t="s">
        <v>16</v>
      </c>
      <c r="B1765" t="s">
        <v>25</v>
      </c>
      <c r="C1765" s="3" t="str">
        <f>IF($B1765="GW1",VLOOKUP($A1765,Matches!$A:$AC,2,FALSE),IF($B1765="GW2",VLOOKUP($A1765,Matches!$A:$AC,9,FALSE),IF($B1765="GW3",VLOOKUP($A1765,Matches!$A:$AC,16,FALSE))))</f>
        <v>Burnley</v>
      </c>
      <c r="D1765" s="6">
        <v>0.71916576770945695</v>
      </c>
      <c r="E1765" s="6">
        <v>0.11121120119218407</v>
      </c>
      <c r="F1765" s="6">
        <v>0.60795456651727287</v>
      </c>
      <c r="G1765" s="3" t="s">
        <v>1</v>
      </c>
      <c r="H1765" t="e">
        <v>#N/A</v>
      </c>
      <c r="I1765" t="e">
        <v>#N/A</v>
      </c>
      <c r="J1765" t="e">
        <v>#N/A</v>
      </c>
      <c r="K1765">
        <v>0.486486486</v>
      </c>
      <c r="L1765">
        <v>0.188311688</v>
      </c>
      <c r="M1765">
        <v>1.9268489999999999E-2</v>
      </c>
      <c r="N1765" t="e">
        <v>#N/A</v>
      </c>
      <c r="O1765" t="e">
        <v>#N/A</v>
      </c>
    </row>
    <row r="1766" spans="1:15" x14ac:dyDescent="0.25">
      <c r="A1766" t="s">
        <v>16</v>
      </c>
      <c r="B1766" t="s">
        <v>25</v>
      </c>
      <c r="C1766" s="3" t="str">
        <f>IF($B1766="GW1",VLOOKUP($A1766,Matches!$A:$AC,2,FALSE),IF($B1766="GW2",VLOOKUP($A1766,Matches!$A:$AC,9,FALSE),IF($B1766="GW3",VLOOKUP($A1766,Matches!$A:$AC,16,FALSE))))</f>
        <v>Burnley</v>
      </c>
      <c r="D1766" s="6">
        <v>0.71916576770945695</v>
      </c>
      <c r="E1766" s="6">
        <v>0.11121120119218407</v>
      </c>
      <c r="F1766" s="6">
        <v>0.60795456651727287</v>
      </c>
      <c r="G1766" s="3" t="s">
        <v>1</v>
      </c>
      <c r="H1766" t="e">
        <v>#N/A</v>
      </c>
      <c r="I1766" t="e">
        <v>#N/A</v>
      </c>
      <c r="J1766" t="e">
        <v>#N/A</v>
      </c>
      <c r="K1766">
        <v>0.486486486</v>
      </c>
      <c r="L1766">
        <v>0.188311688</v>
      </c>
      <c r="M1766">
        <v>1.9268489999999999E-2</v>
      </c>
      <c r="N1766" t="e">
        <v>#N/A</v>
      </c>
      <c r="O1766" t="e">
        <v>#N/A</v>
      </c>
    </row>
    <row r="1767" spans="1:15" x14ac:dyDescent="0.25">
      <c r="A1767" t="s">
        <v>16</v>
      </c>
      <c r="B1767" t="s">
        <v>25</v>
      </c>
      <c r="C1767" s="3" t="str">
        <f>IF($B1767="GW1",VLOOKUP($A1767,Matches!$A:$AC,2,FALSE),IF($B1767="GW2",VLOOKUP($A1767,Matches!$A:$AC,9,FALSE),IF($B1767="GW3",VLOOKUP($A1767,Matches!$A:$AC,16,FALSE))))</f>
        <v>Burnley</v>
      </c>
      <c r="D1767" s="6">
        <v>0.71916576770945695</v>
      </c>
      <c r="E1767" s="6">
        <v>0.11121120119218407</v>
      </c>
      <c r="F1767" s="6">
        <v>0.60795456651727287</v>
      </c>
      <c r="G1767" s="3" t="s">
        <v>1</v>
      </c>
      <c r="H1767">
        <v>0.13605442200000001</v>
      </c>
      <c r="I1767">
        <v>0.15873015900000001</v>
      </c>
      <c r="J1767">
        <v>0.20050125299999999</v>
      </c>
      <c r="K1767">
        <v>0.486486486</v>
      </c>
      <c r="L1767">
        <v>0.188311688</v>
      </c>
      <c r="M1767">
        <v>1.9268489999999999E-2</v>
      </c>
      <c r="N1767" t="e">
        <v>#N/A</v>
      </c>
      <c r="O1767" t="e">
        <v>#N/A</v>
      </c>
    </row>
    <row r="1768" spans="1:15" x14ac:dyDescent="0.25">
      <c r="A1768" t="s">
        <v>16</v>
      </c>
      <c r="B1768" t="s">
        <v>25</v>
      </c>
      <c r="C1768" s="3" t="str">
        <f>IF($B1768="GW1",VLOOKUP($A1768,Matches!$A:$AC,2,FALSE),IF($B1768="GW2",VLOOKUP($A1768,Matches!$A:$AC,9,FALSE),IF($B1768="GW3",VLOOKUP($A1768,Matches!$A:$AC,16,FALSE))))</f>
        <v>Burnley</v>
      </c>
      <c r="D1768" s="6">
        <v>0.71916576770945695</v>
      </c>
      <c r="E1768" s="6">
        <v>0.11121120119218407</v>
      </c>
      <c r="F1768" s="6">
        <v>0.60795456651727287</v>
      </c>
      <c r="G1768" s="3" t="s">
        <v>1</v>
      </c>
      <c r="H1768">
        <v>0.112044818</v>
      </c>
      <c r="I1768">
        <v>5.0125312999999998E-2</v>
      </c>
      <c r="J1768">
        <v>0.23809523799999999</v>
      </c>
      <c r="K1768">
        <v>0.486486486</v>
      </c>
      <c r="L1768">
        <v>0.188311688</v>
      </c>
      <c r="M1768">
        <v>1.9268489999999999E-2</v>
      </c>
      <c r="N1768" t="e">
        <v>#N/A</v>
      </c>
      <c r="O1768" t="e">
        <v>#N/A</v>
      </c>
    </row>
    <row r="1769" spans="1:15" x14ac:dyDescent="0.25">
      <c r="A1769" t="s">
        <v>16</v>
      </c>
      <c r="B1769" t="s">
        <v>25</v>
      </c>
      <c r="C1769" s="3" t="str">
        <f>IF($B1769="GW1",VLOOKUP($A1769,Matches!$A:$AC,2,FALSE),IF($B1769="GW2",VLOOKUP($A1769,Matches!$A:$AC,9,FALSE),IF($B1769="GW3",VLOOKUP($A1769,Matches!$A:$AC,16,FALSE))))</f>
        <v>Burnley</v>
      </c>
      <c r="D1769" s="6">
        <v>0.71916576770945695</v>
      </c>
      <c r="E1769" s="6">
        <v>0.11121120119218407</v>
      </c>
      <c r="F1769" s="6">
        <v>0.60795456651727287</v>
      </c>
      <c r="G1769" s="3" t="s">
        <v>1</v>
      </c>
      <c r="H1769">
        <v>0.10025062699999999</v>
      </c>
      <c r="I1769">
        <v>0.13605442200000001</v>
      </c>
      <c r="J1769">
        <v>0.346320346</v>
      </c>
      <c r="K1769">
        <v>0.486486486</v>
      </c>
      <c r="L1769">
        <v>0.188311688</v>
      </c>
      <c r="M1769">
        <v>1.9268489999999999E-2</v>
      </c>
      <c r="N1769" t="e">
        <v>#N/A</v>
      </c>
      <c r="O1769" t="e">
        <v>#N/A</v>
      </c>
    </row>
    <row r="1770" spans="1:15" x14ac:dyDescent="0.25">
      <c r="A1770" t="s">
        <v>16</v>
      </c>
      <c r="B1770" t="s">
        <v>25</v>
      </c>
      <c r="C1770" s="3" t="str">
        <f>IF($B1770="GW1",VLOOKUP($A1770,Matches!$A:$AC,2,FALSE),IF($B1770="GW2",VLOOKUP($A1770,Matches!$A:$AC,9,FALSE),IF($B1770="GW3",VLOOKUP($A1770,Matches!$A:$AC,16,FALSE))))</f>
        <v>Burnley</v>
      </c>
      <c r="D1770" s="6">
        <v>0.71916576770945695</v>
      </c>
      <c r="E1770" s="6">
        <v>0.11121120119218407</v>
      </c>
      <c r="F1770" s="6">
        <v>0.60795456651727287</v>
      </c>
      <c r="G1770" s="3" t="s">
        <v>1</v>
      </c>
      <c r="H1770">
        <v>0.112044818</v>
      </c>
      <c r="I1770">
        <v>5.0125312999999998E-2</v>
      </c>
      <c r="J1770">
        <v>0.173160173</v>
      </c>
      <c r="K1770">
        <v>0.486486486</v>
      </c>
      <c r="L1770">
        <v>0.188311688</v>
      </c>
      <c r="M1770">
        <v>1.9268489999999999E-2</v>
      </c>
      <c r="N1770" t="e">
        <v>#N/A</v>
      </c>
      <c r="O1770" t="e">
        <v>#N/A</v>
      </c>
    </row>
    <row r="1771" spans="1:15" x14ac:dyDescent="0.25">
      <c r="A1771" t="s">
        <v>16</v>
      </c>
      <c r="B1771" t="s">
        <v>25</v>
      </c>
      <c r="C1771" s="3" t="str">
        <f>IF($B1771="GW1",VLOOKUP($A1771,Matches!$A:$AC,2,FALSE),IF($B1771="GW2",VLOOKUP($A1771,Matches!$A:$AC,9,FALSE),IF($B1771="GW3",VLOOKUP($A1771,Matches!$A:$AC,16,FALSE))))</f>
        <v>Burnley</v>
      </c>
      <c r="D1771" s="6">
        <v>0.71916576770945695</v>
      </c>
      <c r="E1771" s="6">
        <v>0.11121120119218407</v>
      </c>
      <c r="F1771" s="6">
        <v>0.60795456651727287</v>
      </c>
      <c r="G1771" s="3" t="s">
        <v>1</v>
      </c>
      <c r="H1771" t="e">
        <v>#N/A</v>
      </c>
      <c r="I1771" t="e">
        <v>#N/A</v>
      </c>
      <c r="J1771" t="e">
        <v>#N/A</v>
      </c>
      <c r="K1771">
        <v>0.486486486</v>
      </c>
      <c r="L1771">
        <v>0.188311688</v>
      </c>
      <c r="M1771">
        <v>1.9268489999999999E-2</v>
      </c>
      <c r="N1771" t="e">
        <v>#N/A</v>
      </c>
      <c r="O1771" t="e">
        <v>#N/A</v>
      </c>
    </row>
    <row r="1772" spans="1:15" x14ac:dyDescent="0.25">
      <c r="A1772" t="s">
        <v>16</v>
      </c>
      <c r="B1772" t="s">
        <v>25</v>
      </c>
      <c r="C1772" s="3" t="str">
        <f>IF($B1772="GW1",VLOOKUP($A1772,Matches!$A:$AC,2,FALSE),IF($B1772="GW2",VLOOKUP($A1772,Matches!$A:$AC,9,FALSE),IF($B1772="GW3",VLOOKUP($A1772,Matches!$A:$AC,16,FALSE))))</f>
        <v>Burnley</v>
      </c>
      <c r="D1772" s="6">
        <v>0.71916576770945695</v>
      </c>
      <c r="E1772" s="6">
        <v>0.11121120119218407</v>
      </c>
      <c r="F1772" s="6">
        <v>0.60795456651727287</v>
      </c>
      <c r="G1772" s="3" t="s">
        <v>1</v>
      </c>
      <c r="H1772">
        <v>0.10025062699999999</v>
      </c>
      <c r="I1772">
        <v>4.1407867000000001E-2</v>
      </c>
      <c r="J1772">
        <v>0.27210884400000002</v>
      </c>
      <c r="K1772">
        <v>0.486486486</v>
      </c>
      <c r="L1772">
        <v>0.188311688</v>
      </c>
      <c r="M1772">
        <v>1.9268489999999999E-2</v>
      </c>
      <c r="N1772" t="e">
        <v>#N/A</v>
      </c>
      <c r="O1772" t="e">
        <v>#N/A</v>
      </c>
    </row>
    <row r="1773" spans="1:15" x14ac:dyDescent="0.25">
      <c r="A1773" t="s">
        <v>16</v>
      </c>
      <c r="B1773" t="s">
        <v>25</v>
      </c>
      <c r="C1773" s="3" t="str">
        <f>IF($B1773="GW1",VLOOKUP($A1773,Matches!$A:$AC,2,FALSE),IF($B1773="GW2",VLOOKUP($A1773,Matches!$A:$AC,9,FALSE),IF($B1773="GW3",VLOOKUP($A1773,Matches!$A:$AC,16,FALSE))))</f>
        <v>Burnley</v>
      </c>
      <c r="D1773" s="6">
        <v>0.71916576770945695</v>
      </c>
      <c r="E1773" s="6">
        <v>0.11121120119218407</v>
      </c>
      <c r="F1773" s="6">
        <v>0.60795456651727287</v>
      </c>
      <c r="G1773" s="3" t="s">
        <v>1</v>
      </c>
      <c r="H1773">
        <v>0.10025062699999999</v>
      </c>
      <c r="I1773">
        <v>8.6580087E-2</v>
      </c>
      <c r="J1773">
        <v>0.173160173</v>
      </c>
      <c r="K1773">
        <v>0.486486486</v>
      </c>
      <c r="L1773">
        <v>0.188311688</v>
      </c>
      <c r="M1773">
        <v>1.9268489999999999E-2</v>
      </c>
      <c r="N1773" t="e">
        <v>#N/A</v>
      </c>
      <c r="O1773" t="e">
        <v>#N/A</v>
      </c>
    </row>
    <row r="1774" spans="1:15" x14ac:dyDescent="0.25">
      <c r="A1774" t="s">
        <v>16</v>
      </c>
      <c r="B1774" t="s">
        <v>25</v>
      </c>
      <c r="C1774" s="3" t="str">
        <f>IF($B1774="GW1",VLOOKUP($A1774,Matches!$A:$AC,2,FALSE),IF($B1774="GW2",VLOOKUP($A1774,Matches!$A:$AC,9,FALSE),IF($B1774="GW3",VLOOKUP($A1774,Matches!$A:$AC,16,FALSE))))</f>
        <v>Burnley</v>
      </c>
      <c r="D1774" s="6">
        <v>0.71916576770945695</v>
      </c>
      <c r="E1774" s="6">
        <v>0.11121120119218407</v>
      </c>
      <c r="F1774" s="6">
        <v>0.60795456651727287</v>
      </c>
      <c r="G1774" s="3" t="s">
        <v>1</v>
      </c>
      <c r="H1774" t="e">
        <v>#N/A</v>
      </c>
      <c r="I1774" t="e">
        <v>#N/A</v>
      </c>
      <c r="J1774" t="e">
        <v>#N/A</v>
      </c>
      <c r="K1774">
        <v>0.486486486</v>
      </c>
      <c r="L1774">
        <v>0.188311688</v>
      </c>
      <c r="M1774">
        <v>1.9268489999999999E-2</v>
      </c>
      <c r="N1774" t="e">
        <v>#N/A</v>
      </c>
      <c r="O1774" t="e">
        <v>#N/A</v>
      </c>
    </row>
    <row r="1775" spans="1:15" x14ac:dyDescent="0.25">
      <c r="A1775" t="s">
        <v>16</v>
      </c>
      <c r="B1775" t="s">
        <v>25</v>
      </c>
      <c r="C1775" s="3" t="str">
        <f>IF($B1775="GW1",VLOOKUP($A1775,Matches!$A:$AC,2,FALSE),IF($B1775="GW2",VLOOKUP($A1775,Matches!$A:$AC,9,FALSE),IF($B1775="GW3",VLOOKUP($A1775,Matches!$A:$AC,16,FALSE))))</f>
        <v>Burnley</v>
      </c>
      <c r="D1775" s="6">
        <v>0.71916576770945695</v>
      </c>
      <c r="E1775" s="6">
        <v>0.11121120119218407</v>
      </c>
      <c r="F1775" s="6">
        <v>0.60795456651727287</v>
      </c>
      <c r="G1775" s="3" t="s">
        <v>1</v>
      </c>
      <c r="H1775">
        <v>0.38095238100000001</v>
      </c>
      <c r="I1775">
        <v>0.28011204499999998</v>
      </c>
      <c r="J1775">
        <v>0.27210884400000002</v>
      </c>
      <c r="K1775">
        <v>0.486486486</v>
      </c>
      <c r="L1775">
        <v>0.188311688</v>
      </c>
      <c r="M1775">
        <v>1.9268489999999999E-2</v>
      </c>
      <c r="N1775" t="e">
        <v>#N/A</v>
      </c>
      <c r="O1775" t="e">
        <v>#N/A</v>
      </c>
    </row>
    <row r="1776" spans="1:15" x14ac:dyDescent="0.25">
      <c r="A1776" t="s">
        <v>16</v>
      </c>
      <c r="B1776" t="s">
        <v>25</v>
      </c>
      <c r="C1776" s="3" t="str">
        <f>IF($B1776="GW1",VLOOKUP($A1776,Matches!$A:$AC,2,FALSE),IF($B1776="GW2",VLOOKUP($A1776,Matches!$A:$AC,9,FALSE),IF($B1776="GW3",VLOOKUP($A1776,Matches!$A:$AC,16,FALSE))))</f>
        <v>Burnley</v>
      </c>
      <c r="D1776" s="6">
        <v>0.71916576770945695</v>
      </c>
      <c r="E1776" s="6">
        <v>0.11121120119218407</v>
      </c>
      <c r="F1776" s="6">
        <v>0.60795456651727287</v>
      </c>
      <c r="G1776" s="3" t="s">
        <v>1</v>
      </c>
      <c r="H1776">
        <v>0.38095238100000001</v>
      </c>
      <c r="I1776">
        <v>0.29304029300000001</v>
      </c>
      <c r="J1776">
        <v>0.23809523799999999</v>
      </c>
      <c r="K1776">
        <v>0.486486486</v>
      </c>
      <c r="L1776">
        <v>0.188311688</v>
      </c>
      <c r="M1776">
        <v>1.9268489999999999E-2</v>
      </c>
      <c r="N1776" t="e">
        <v>#N/A</v>
      </c>
      <c r="O1776" t="e">
        <v>#N/A</v>
      </c>
    </row>
    <row r="1777" spans="1:15" x14ac:dyDescent="0.25">
      <c r="A1777" t="s">
        <v>16</v>
      </c>
      <c r="B1777" t="s">
        <v>25</v>
      </c>
      <c r="C1777" s="3" t="str">
        <f>IF($B1777="GW1",VLOOKUP($A1777,Matches!$A:$AC,2,FALSE),IF($B1777="GW2",VLOOKUP($A1777,Matches!$A:$AC,9,FALSE),IF($B1777="GW3",VLOOKUP($A1777,Matches!$A:$AC,16,FALSE))))</f>
        <v>Burnley</v>
      </c>
      <c r="D1777" s="6">
        <v>0.71916576770945695</v>
      </c>
      <c r="E1777" s="6">
        <v>0.11121120119218407</v>
      </c>
      <c r="F1777" s="6">
        <v>0.60795456651727287</v>
      </c>
      <c r="G1777" s="3" t="s">
        <v>1</v>
      </c>
      <c r="H1777" t="e">
        <v>#N/A</v>
      </c>
      <c r="I1777" t="e">
        <v>#N/A</v>
      </c>
      <c r="J1777" t="e">
        <v>#N/A</v>
      </c>
      <c r="K1777">
        <v>0.486486486</v>
      </c>
      <c r="L1777">
        <v>0.188311688</v>
      </c>
      <c r="M1777">
        <v>1.9268489999999999E-2</v>
      </c>
      <c r="N1777" t="e">
        <v>#N/A</v>
      </c>
      <c r="O1777" t="e">
        <v>#N/A</v>
      </c>
    </row>
    <row r="1778" spans="1:15" x14ac:dyDescent="0.25">
      <c r="A1778" t="s">
        <v>16</v>
      </c>
      <c r="B1778" t="s">
        <v>25</v>
      </c>
      <c r="C1778" s="3" t="str">
        <f>IF($B1778="GW1",VLOOKUP($A1778,Matches!$A:$AC,2,FALSE),IF($B1778="GW2",VLOOKUP($A1778,Matches!$A:$AC,9,FALSE),IF($B1778="GW3",VLOOKUP($A1778,Matches!$A:$AC,16,FALSE))))</f>
        <v>Burnley</v>
      </c>
      <c r="D1778" s="6">
        <v>0.71916576770945695</v>
      </c>
      <c r="E1778" s="6">
        <v>0.11121120119218407</v>
      </c>
      <c r="F1778" s="6">
        <v>0.60795456651727287</v>
      </c>
      <c r="G1778" s="3" t="s">
        <v>1</v>
      </c>
      <c r="H1778">
        <v>0.38095238100000001</v>
      </c>
      <c r="I1778">
        <v>0.23809523799999999</v>
      </c>
      <c r="J1778">
        <v>0.14652014699999999</v>
      </c>
      <c r="K1778">
        <v>0.486486486</v>
      </c>
      <c r="L1778">
        <v>0.188311688</v>
      </c>
      <c r="M1778">
        <v>1.9268489999999999E-2</v>
      </c>
      <c r="N1778" t="e">
        <v>#N/A</v>
      </c>
      <c r="O1778" t="e">
        <v>#N/A</v>
      </c>
    </row>
    <row r="1779" spans="1:15" x14ac:dyDescent="0.25">
      <c r="A1779" t="s">
        <v>16</v>
      </c>
      <c r="B1779" t="s">
        <v>25</v>
      </c>
      <c r="C1779" s="3" t="str">
        <f>IF($B1779="GW1",VLOOKUP($A1779,Matches!$A:$AC,2,FALSE),IF($B1779="GW2",VLOOKUP($A1779,Matches!$A:$AC,9,FALSE),IF($B1779="GW3",VLOOKUP($A1779,Matches!$A:$AC,16,FALSE))))</f>
        <v>Burnley</v>
      </c>
      <c r="D1779" s="6">
        <v>0.71916576770945695</v>
      </c>
      <c r="E1779" s="6">
        <v>0.11121120119218407</v>
      </c>
      <c r="F1779" s="6">
        <v>0.60795456651727287</v>
      </c>
      <c r="G1779" s="3" t="s">
        <v>1</v>
      </c>
      <c r="H1779" t="e">
        <v>#N/A</v>
      </c>
      <c r="I1779" t="e">
        <v>#N/A</v>
      </c>
      <c r="J1779" t="e">
        <v>#N/A</v>
      </c>
      <c r="K1779">
        <v>0.486486486</v>
      </c>
      <c r="L1779">
        <v>0.188311688</v>
      </c>
      <c r="M1779">
        <v>1.9268489999999999E-2</v>
      </c>
      <c r="N1779" t="e">
        <v>#N/A</v>
      </c>
      <c r="O1779" t="e">
        <v>#N/A</v>
      </c>
    </row>
    <row r="1780" spans="1:15" x14ac:dyDescent="0.25">
      <c r="A1780" t="s">
        <v>16</v>
      </c>
      <c r="B1780" t="s">
        <v>25</v>
      </c>
      <c r="C1780" s="3" t="str">
        <f>IF($B1780="GW1",VLOOKUP($A1780,Matches!$A:$AC,2,FALSE),IF($B1780="GW2",VLOOKUP($A1780,Matches!$A:$AC,9,FALSE),IF($B1780="GW3",VLOOKUP($A1780,Matches!$A:$AC,16,FALSE))))</f>
        <v>Burnley</v>
      </c>
      <c r="D1780" s="6">
        <v>0.71916576770945695</v>
      </c>
      <c r="E1780" s="6">
        <v>0.11121120119218407</v>
      </c>
      <c r="F1780" s="6">
        <v>0.60795456651727287</v>
      </c>
      <c r="G1780" s="3" t="s">
        <v>1</v>
      </c>
      <c r="H1780" t="e">
        <v>#N/A</v>
      </c>
      <c r="I1780" t="e">
        <v>#N/A</v>
      </c>
      <c r="J1780" t="e">
        <v>#N/A</v>
      </c>
      <c r="K1780">
        <v>0.486486486</v>
      </c>
      <c r="L1780">
        <v>0.188311688</v>
      </c>
      <c r="M1780">
        <v>1.9268489999999999E-2</v>
      </c>
      <c r="N1780" t="e">
        <v>#N/A</v>
      </c>
      <c r="O1780" t="e">
        <v>#N/A</v>
      </c>
    </row>
    <row r="1781" spans="1:15" x14ac:dyDescent="0.25">
      <c r="A1781" t="s">
        <v>16</v>
      </c>
      <c r="B1781" t="s">
        <v>25</v>
      </c>
      <c r="C1781" s="3" t="str">
        <f>IF($B1781="GW1",VLOOKUP($A1781,Matches!$A:$AC,2,FALSE),IF($B1781="GW2",VLOOKUP($A1781,Matches!$A:$AC,9,FALSE),IF($B1781="GW3",VLOOKUP($A1781,Matches!$A:$AC,16,FALSE))))</f>
        <v>Burnley</v>
      </c>
      <c r="D1781" s="6">
        <v>0.71916576770945695</v>
      </c>
      <c r="E1781" s="6">
        <v>0.11121120119218407</v>
      </c>
      <c r="F1781" s="6">
        <v>0.60795456651727287</v>
      </c>
      <c r="G1781" s="3" t="s">
        <v>1</v>
      </c>
      <c r="H1781">
        <v>0.21164021199999999</v>
      </c>
      <c r="I1781">
        <v>0.15873015900000001</v>
      </c>
      <c r="J1781">
        <v>0.21994941200000001</v>
      </c>
      <c r="K1781">
        <v>0.486486486</v>
      </c>
      <c r="L1781">
        <v>0.188311688</v>
      </c>
      <c r="M1781">
        <v>1.9268489999999999E-2</v>
      </c>
      <c r="N1781" t="e">
        <v>#N/A</v>
      </c>
      <c r="O1781" t="e">
        <v>#N/A</v>
      </c>
    </row>
    <row r="1782" spans="1:15" x14ac:dyDescent="0.25">
      <c r="A1782" t="s">
        <v>16</v>
      </c>
      <c r="B1782" t="s">
        <v>25</v>
      </c>
      <c r="C1782" s="3" t="str">
        <f>IF($B1782="GW1",VLOOKUP($A1782,Matches!$A:$AC,2,FALSE),IF($B1782="GW2",VLOOKUP($A1782,Matches!$A:$AC,9,FALSE),IF($B1782="GW3",VLOOKUP($A1782,Matches!$A:$AC,16,FALSE))))</f>
        <v>Burnley</v>
      </c>
      <c r="D1782" s="6">
        <v>0.71916576770945695</v>
      </c>
      <c r="E1782" s="6">
        <v>0.11121120119218407</v>
      </c>
      <c r="F1782" s="6">
        <v>0.60795456651727287</v>
      </c>
      <c r="G1782" s="3" t="s">
        <v>1</v>
      </c>
      <c r="H1782" t="e">
        <v>#N/A</v>
      </c>
      <c r="I1782" t="e">
        <v>#N/A</v>
      </c>
      <c r="J1782" t="e">
        <v>#N/A</v>
      </c>
      <c r="K1782">
        <v>0.486486486</v>
      </c>
      <c r="L1782">
        <v>0.188311688</v>
      </c>
      <c r="M1782">
        <v>1.9268489999999999E-2</v>
      </c>
      <c r="N1782" t="e">
        <v>#N/A</v>
      </c>
      <c r="O1782" t="e">
        <v>#N/A</v>
      </c>
    </row>
    <row r="1783" spans="1:15" x14ac:dyDescent="0.25">
      <c r="A1783" t="s">
        <v>16</v>
      </c>
      <c r="B1783" t="s">
        <v>25</v>
      </c>
      <c r="C1783" s="3" t="str">
        <f>IF($B1783="GW1",VLOOKUP($A1783,Matches!$A:$AC,2,FALSE),IF($B1783="GW2",VLOOKUP($A1783,Matches!$A:$AC,9,FALSE),IF($B1783="GW3",VLOOKUP($A1783,Matches!$A:$AC,16,FALSE))))</f>
        <v>Burnley</v>
      </c>
      <c r="D1783" s="6">
        <v>0.71916576770945695</v>
      </c>
      <c r="E1783" s="6">
        <v>0.11121120119218407</v>
      </c>
      <c r="F1783" s="6">
        <v>0.60795456651727287</v>
      </c>
      <c r="G1783" s="3" t="s">
        <v>1</v>
      </c>
      <c r="H1783">
        <v>0.126984127</v>
      </c>
      <c r="I1783">
        <v>0.173160173</v>
      </c>
      <c r="J1783">
        <v>0.346320346</v>
      </c>
      <c r="K1783">
        <v>0.486486486</v>
      </c>
      <c r="L1783">
        <v>0.188311688</v>
      </c>
      <c r="M1783">
        <v>1.9268489999999999E-2</v>
      </c>
      <c r="N1783" t="e">
        <v>#N/A</v>
      </c>
      <c r="O1783" t="e">
        <v>#N/A</v>
      </c>
    </row>
    <row r="1784" spans="1:15" x14ac:dyDescent="0.25">
      <c r="A1784" t="s">
        <v>16</v>
      </c>
      <c r="B1784" t="s">
        <v>25</v>
      </c>
      <c r="C1784" s="3" t="str">
        <f>IF($B1784="GW1",VLOOKUP($A1784,Matches!$A:$AC,2,FALSE),IF($B1784="GW2",VLOOKUP($A1784,Matches!$A:$AC,9,FALSE),IF($B1784="GW3",VLOOKUP($A1784,Matches!$A:$AC,16,FALSE))))</f>
        <v>Burnley</v>
      </c>
      <c r="D1784" s="6">
        <v>0.71916576770945695</v>
      </c>
      <c r="E1784" s="6">
        <v>0.11121120119218407</v>
      </c>
      <c r="F1784" s="6">
        <v>0.60795456651727287</v>
      </c>
      <c r="G1784" s="3" t="s">
        <v>1</v>
      </c>
      <c r="H1784">
        <v>0.21164021199999999</v>
      </c>
      <c r="I1784">
        <v>0.105820106</v>
      </c>
      <c r="J1784">
        <v>0.23809523799999999</v>
      </c>
      <c r="K1784">
        <v>0.486486486</v>
      </c>
      <c r="L1784">
        <v>0.188311688</v>
      </c>
      <c r="M1784">
        <v>1.9268489999999999E-2</v>
      </c>
      <c r="N1784" t="e">
        <v>#N/A</v>
      </c>
      <c r="O1784" t="e">
        <v>#N/A</v>
      </c>
    </row>
    <row r="1785" spans="1:15" x14ac:dyDescent="0.25">
      <c r="A1785" t="s">
        <v>16</v>
      </c>
      <c r="B1785" t="s">
        <v>25</v>
      </c>
      <c r="C1785" s="3" t="str">
        <f>IF($B1785="GW1",VLOOKUP($A1785,Matches!$A:$AC,2,FALSE),IF($B1785="GW2",VLOOKUP($A1785,Matches!$A:$AC,9,FALSE),IF($B1785="GW3",VLOOKUP($A1785,Matches!$A:$AC,16,FALSE))))</f>
        <v>Burnley</v>
      </c>
      <c r="D1785" s="6">
        <v>0.71916576770945695</v>
      </c>
      <c r="E1785" s="6">
        <v>0.11121120119218407</v>
      </c>
      <c r="F1785" s="6">
        <v>0.60795456651727287</v>
      </c>
      <c r="G1785" s="3" t="s">
        <v>1</v>
      </c>
      <c r="H1785">
        <v>0.126984127</v>
      </c>
      <c r="I1785">
        <v>0.105820106</v>
      </c>
      <c r="J1785">
        <v>0.27210884400000002</v>
      </c>
      <c r="K1785">
        <v>0.486486486</v>
      </c>
      <c r="L1785">
        <v>0.188311688</v>
      </c>
      <c r="M1785">
        <v>1.9268489999999999E-2</v>
      </c>
      <c r="N1785" t="e">
        <v>#N/A</v>
      </c>
      <c r="O1785" t="e">
        <v>#N/A</v>
      </c>
    </row>
    <row r="1786" spans="1:15" x14ac:dyDescent="0.25">
      <c r="A1786" t="s">
        <v>16</v>
      </c>
      <c r="B1786" t="s">
        <v>25</v>
      </c>
      <c r="C1786" s="3" t="str">
        <f>IF($B1786="GW1",VLOOKUP($A1786,Matches!$A:$AC,2,FALSE),IF($B1786="GW2",VLOOKUP($A1786,Matches!$A:$AC,9,FALSE),IF($B1786="GW3",VLOOKUP($A1786,Matches!$A:$AC,16,FALSE))))</f>
        <v>Burnley</v>
      </c>
      <c r="D1786" s="6">
        <v>0.71916576770945695</v>
      </c>
      <c r="E1786" s="6">
        <v>0.11121120119218407</v>
      </c>
      <c r="F1786" s="6">
        <v>0.60795456651727287</v>
      </c>
      <c r="G1786" s="3" t="s">
        <v>1</v>
      </c>
      <c r="H1786" t="e">
        <v>#N/A</v>
      </c>
      <c r="I1786" t="e">
        <v>#N/A</v>
      </c>
      <c r="J1786" t="e">
        <v>#N/A</v>
      </c>
      <c r="K1786">
        <v>0.486486486</v>
      </c>
      <c r="L1786">
        <v>0.188311688</v>
      </c>
      <c r="M1786">
        <v>1.9268489999999999E-2</v>
      </c>
      <c r="N1786" t="e">
        <v>#N/A</v>
      </c>
      <c r="O1786" t="e">
        <v>#N/A</v>
      </c>
    </row>
    <row r="1787" spans="1:15" x14ac:dyDescent="0.25">
      <c r="A1787" t="s">
        <v>16</v>
      </c>
      <c r="B1787" t="s">
        <v>25</v>
      </c>
      <c r="C1787" s="3" t="str">
        <f>IF($B1787="GW1",VLOOKUP($A1787,Matches!$A:$AC,2,FALSE),IF($B1787="GW2",VLOOKUP($A1787,Matches!$A:$AC,9,FALSE),IF($B1787="GW3",VLOOKUP($A1787,Matches!$A:$AC,16,FALSE))))</f>
        <v>Burnley</v>
      </c>
      <c r="D1787" s="6">
        <v>0.71916576770945695</v>
      </c>
      <c r="E1787" s="6">
        <v>0.11121120119218407</v>
      </c>
      <c r="F1787" s="6">
        <v>0.60795456651727287</v>
      </c>
      <c r="G1787" s="3" t="s">
        <v>1</v>
      </c>
      <c r="H1787" t="e">
        <v>#N/A</v>
      </c>
      <c r="I1787" t="e">
        <v>#N/A</v>
      </c>
      <c r="J1787" t="e">
        <v>#N/A</v>
      </c>
      <c r="K1787">
        <v>0.486486486</v>
      </c>
      <c r="L1787">
        <v>0.188311688</v>
      </c>
      <c r="M1787">
        <v>1.9268489999999999E-2</v>
      </c>
      <c r="N1787" t="e">
        <v>#N/A</v>
      </c>
      <c r="O1787" t="e">
        <v>#N/A</v>
      </c>
    </row>
    <row r="1788" spans="1:15" x14ac:dyDescent="0.25">
      <c r="A1788" t="s">
        <v>16</v>
      </c>
      <c r="B1788" t="s">
        <v>25</v>
      </c>
      <c r="C1788" s="3" t="str">
        <f>IF($B1788="GW1",VLOOKUP($A1788,Matches!$A:$AC,2,FALSE),IF($B1788="GW2",VLOOKUP($A1788,Matches!$A:$AC,9,FALSE),IF($B1788="GW3",VLOOKUP($A1788,Matches!$A:$AC,16,FALSE))))</f>
        <v>Burnley</v>
      </c>
      <c r="D1788" s="6">
        <v>0.71916576770945695</v>
      </c>
      <c r="E1788" s="6">
        <v>0.11121120119218407</v>
      </c>
      <c r="F1788" s="6">
        <v>0.60795456651727287</v>
      </c>
      <c r="G1788" s="3" t="s">
        <v>1</v>
      </c>
      <c r="H1788">
        <v>0.173160173</v>
      </c>
      <c r="I1788">
        <v>8.6580087E-2</v>
      </c>
      <c r="J1788">
        <v>0.11904761899999999</v>
      </c>
      <c r="K1788">
        <v>0.486486486</v>
      </c>
      <c r="L1788">
        <v>0.188311688</v>
      </c>
      <c r="M1788">
        <v>1.9268489999999999E-2</v>
      </c>
      <c r="N1788" t="e">
        <v>#N/A</v>
      </c>
      <c r="O1788" t="e">
        <v>#N/A</v>
      </c>
    </row>
    <row r="1789" spans="1:15" x14ac:dyDescent="0.25">
      <c r="A1789" t="s">
        <v>16</v>
      </c>
      <c r="B1789" t="s">
        <v>25</v>
      </c>
      <c r="C1789" s="3" t="str">
        <f>IF($B1789="GW1",VLOOKUP($A1789,Matches!$A:$AC,2,FALSE),IF($B1789="GW2",VLOOKUP($A1789,Matches!$A:$AC,9,FALSE),IF($B1789="GW3",VLOOKUP($A1789,Matches!$A:$AC,16,FALSE))))</f>
        <v>Burnley</v>
      </c>
      <c r="D1789" s="6">
        <v>0.71916576770945695</v>
      </c>
      <c r="E1789" s="6">
        <v>0.11121120119218407</v>
      </c>
      <c r="F1789" s="6">
        <v>0.60795456651727287</v>
      </c>
      <c r="G1789" s="3" t="s">
        <v>1</v>
      </c>
      <c r="H1789" t="e">
        <v>#N/A</v>
      </c>
      <c r="I1789" t="e">
        <v>#N/A</v>
      </c>
      <c r="J1789" t="e">
        <v>#N/A</v>
      </c>
      <c r="K1789">
        <v>0.486486486</v>
      </c>
      <c r="L1789">
        <v>0.188311688</v>
      </c>
      <c r="M1789">
        <v>1.9268489999999999E-2</v>
      </c>
      <c r="N1789" t="e">
        <v>#N/A</v>
      </c>
      <c r="O1789" t="e">
        <v>#N/A</v>
      </c>
    </row>
    <row r="1790" spans="1:15" x14ac:dyDescent="0.25">
      <c r="A1790" t="s">
        <v>16</v>
      </c>
      <c r="B1790" t="s">
        <v>25</v>
      </c>
      <c r="C1790" s="3" t="str">
        <f>IF($B1790="GW1",VLOOKUP($A1790,Matches!$A:$AC,2,FALSE),IF($B1790="GW2",VLOOKUP($A1790,Matches!$A:$AC,9,FALSE),IF($B1790="GW3",VLOOKUP($A1790,Matches!$A:$AC,16,FALSE))))</f>
        <v>Burnley</v>
      </c>
      <c r="D1790" s="6">
        <v>0.71916576770945695</v>
      </c>
      <c r="E1790" s="6">
        <v>0.11121120119218407</v>
      </c>
      <c r="F1790" s="6">
        <v>0.60795456651727287</v>
      </c>
      <c r="G1790" s="3" t="s">
        <v>1</v>
      </c>
      <c r="H1790" t="e">
        <v>#N/A</v>
      </c>
      <c r="I1790" t="e">
        <v>#N/A</v>
      </c>
      <c r="J1790" t="e">
        <v>#N/A</v>
      </c>
      <c r="K1790">
        <v>0.486486486</v>
      </c>
      <c r="L1790">
        <v>0.188311688</v>
      </c>
      <c r="M1790">
        <v>1.9268489999999999E-2</v>
      </c>
      <c r="N1790" t="e">
        <v>#N/A</v>
      </c>
      <c r="O1790" t="e">
        <v>#N/A</v>
      </c>
    </row>
    <row r="1791" spans="1:15" x14ac:dyDescent="0.25">
      <c r="A1791" t="s">
        <v>16</v>
      </c>
      <c r="B1791" t="s">
        <v>25</v>
      </c>
      <c r="C1791" s="3" t="str">
        <f>IF($B1791="GW1",VLOOKUP($A1791,Matches!$A:$AC,2,FALSE),IF($B1791="GW2",VLOOKUP($A1791,Matches!$A:$AC,9,FALSE),IF($B1791="GW3",VLOOKUP($A1791,Matches!$A:$AC,16,FALSE))))</f>
        <v>Burnley</v>
      </c>
      <c r="D1791" s="6">
        <v>0.71916576770945695</v>
      </c>
      <c r="E1791" s="6">
        <v>0.11121120119218407</v>
      </c>
      <c r="F1791" s="6">
        <v>0.60795456651727287</v>
      </c>
      <c r="G1791" s="3" t="s">
        <v>1</v>
      </c>
      <c r="H1791" t="e">
        <v>#N/A</v>
      </c>
      <c r="I1791" t="e">
        <v>#N/A</v>
      </c>
      <c r="J1791" t="e">
        <v>#N/A</v>
      </c>
      <c r="K1791">
        <v>0.486486486</v>
      </c>
      <c r="L1791">
        <v>0.188311688</v>
      </c>
      <c r="M1791">
        <v>1.9268489999999999E-2</v>
      </c>
      <c r="N1791" t="e">
        <v>#N/A</v>
      </c>
      <c r="O1791" t="e">
        <v>#N/A</v>
      </c>
    </row>
    <row r="1792" spans="1:15" x14ac:dyDescent="0.25">
      <c r="A1792" t="s">
        <v>16</v>
      </c>
      <c r="B1792" t="s">
        <v>25</v>
      </c>
      <c r="C1792" s="3" t="str">
        <f>IF($B1792="GW1",VLOOKUP($A1792,Matches!$A:$AC,2,FALSE),IF($B1792="GW2",VLOOKUP($A1792,Matches!$A:$AC,9,FALSE),IF($B1792="GW3",VLOOKUP($A1792,Matches!$A:$AC,16,FALSE))))</f>
        <v>Burnley</v>
      </c>
      <c r="D1792" s="6">
        <v>0.71916576770945695</v>
      </c>
      <c r="E1792" s="6">
        <v>0.11121120119218407</v>
      </c>
      <c r="F1792" s="6">
        <v>0.60795456651727287</v>
      </c>
      <c r="G1792" s="3" t="s">
        <v>1</v>
      </c>
      <c r="H1792">
        <v>0.38095238100000001</v>
      </c>
      <c r="I1792">
        <v>0.13605442200000001</v>
      </c>
      <c r="J1792">
        <v>0.173160173</v>
      </c>
      <c r="K1792">
        <v>0.486486486</v>
      </c>
      <c r="L1792">
        <v>0.188311688</v>
      </c>
      <c r="M1792">
        <v>1.9268489999999999E-2</v>
      </c>
      <c r="N1792" t="e">
        <v>#N/A</v>
      </c>
      <c r="O1792" t="e">
        <v>#N/A</v>
      </c>
    </row>
    <row r="1793" spans="1:15" x14ac:dyDescent="0.25">
      <c r="A1793" t="s">
        <v>16</v>
      </c>
      <c r="B1793" t="s">
        <v>25</v>
      </c>
      <c r="C1793" s="3" t="str">
        <f>IF($B1793="GW1",VLOOKUP($A1793,Matches!$A:$AC,2,FALSE),IF($B1793="GW2",VLOOKUP($A1793,Matches!$A:$AC,9,FALSE),IF($B1793="GW3",VLOOKUP($A1793,Matches!$A:$AC,16,FALSE))))</f>
        <v>Burnley</v>
      </c>
      <c r="D1793" s="6">
        <v>0.71916576770945695</v>
      </c>
      <c r="E1793" s="6">
        <v>0.11121120119218407</v>
      </c>
      <c r="F1793" s="6">
        <v>0.60795456651727287</v>
      </c>
      <c r="G1793" s="3" t="s">
        <v>1</v>
      </c>
      <c r="H1793" t="e">
        <v>#N/A</v>
      </c>
      <c r="I1793" t="e">
        <v>#N/A</v>
      </c>
      <c r="J1793" t="e">
        <v>#N/A</v>
      </c>
      <c r="K1793">
        <v>0.486486486</v>
      </c>
      <c r="L1793">
        <v>0.188311688</v>
      </c>
      <c r="M1793">
        <v>1.9268489999999999E-2</v>
      </c>
      <c r="N1793" t="e">
        <v>#N/A</v>
      </c>
      <c r="O1793" t="e">
        <v>#N/A</v>
      </c>
    </row>
    <row r="1794" spans="1:15" x14ac:dyDescent="0.25">
      <c r="A1794" t="s">
        <v>16</v>
      </c>
      <c r="B1794" t="s">
        <v>25</v>
      </c>
      <c r="C1794" s="3" t="str">
        <f>IF($B1794="GW1",VLOOKUP($A1794,Matches!$A:$AC,2,FALSE),IF($B1794="GW2",VLOOKUP($A1794,Matches!$A:$AC,9,FALSE),IF($B1794="GW3",VLOOKUP($A1794,Matches!$A:$AC,16,FALSE))))</f>
        <v>Burnley</v>
      </c>
      <c r="D1794" s="6">
        <v>0.71916576770945695</v>
      </c>
      <c r="E1794" s="6">
        <v>0.11121120119218407</v>
      </c>
      <c r="F1794" s="6">
        <v>0.60795456651727287</v>
      </c>
      <c r="G1794" s="3" t="s">
        <v>1</v>
      </c>
      <c r="H1794" t="e">
        <v>#N/A</v>
      </c>
      <c r="I1794" t="e">
        <v>#N/A</v>
      </c>
      <c r="J1794" t="e">
        <v>#N/A</v>
      </c>
      <c r="K1794">
        <v>0.486486486</v>
      </c>
      <c r="L1794">
        <v>0.188311688</v>
      </c>
      <c r="M1794">
        <v>1.9268489999999999E-2</v>
      </c>
      <c r="N1794" t="e">
        <v>#N/A</v>
      </c>
      <c r="O1794" t="e">
        <v>#N/A</v>
      </c>
    </row>
    <row r="1795" spans="1:15" x14ac:dyDescent="0.25">
      <c r="A1795" t="s">
        <v>16</v>
      </c>
      <c r="B1795" t="s">
        <v>25</v>
      </c>
      <c r="C1795" s="3" t="str">
        <f>IF($B1795="GW1",VLOOKUP($A1795,Matches!$A:$AC,2,FALSE),IF($B1795="GW2",VLOOKUP($A1795,Matches!$A:$AC,9,FALSE),IF($B1795="GW3",VLOOKUP($A1795,Matches!$A:$AC,16,FALSE))))</f>
        <v>Burnley</v>
      </c>
      <c r="D1795" s="6">
        <v>0.71916576770945695</v>
      </c>
      <c r="E1795" s="6">
        <v>0.11121120119218407</v>
      </c>
      <c r="F1795" s="6">
        <v>0.60795456651727287</v>
      </c>
      <c r="G1795" s="3" t="s">
        <v>1</v>
      </c>
      <c r="H1795" t="e">
        <v>#N/A</v>
      </c>
      <c r="I1795" t="e">
        <v>#N/A</v>
      </c>
      <c r="J1795">
        <v>0.21994941200000001</v>
      </c>
      <c r="K1795">
        <v>0.29039301299999998</v>
      </c>
      <c r="L1795">
        <v>0.35467980300000002</v>
      </c>
      <c r="M1795">
        <v>5.0949051000000002E-2</v>
      </c>
      <c r="N1795" t="e">
        <v>#N/A</v>
      </c>
      <c r="O1795" t="e">
        <v>#N/A</v>
      </c>
    </row>
    <row r="1796" spans="1:15" x14ac:dyDescent="0.25">
      <c r="A1796" t="s">
        <v>18</v>
      </c>
      <c r="B1796" t="s">
        <v>25</v>
      </c>
      <c r="C1796" s="3" t="str">
        <f>IF($B1796="GW1",VLOOKUP($A1796,Matches!$A:$AC,2,FALSE),IF($B1796="GW2",VLOOKUP($A1796,Matches!$A:$AC,9,FALSE),IF($B1796="GW3",VLOOKUP($A1796,Matches!$A:$AC,16,FALSE))))</f>
        <v>West Ham</v>
      </c>
      <c r="D1796" s="6">
        <v>0.56776244819167654</v>
      </c>
      <c r="E1796" s="6">
        <v>0.19340115267086994</v>
      </c>
      <c r="F1796" s="6">
        <v>0.3743612955208066</v>
      </c>
      <c r="G1796" s="3" t="s">
        <v>1</v>
      </c>
      <c r="H1796" t="e">
        <v>#N/A</v>
      </c>
      <c r="I1796" t="e">
        <v>#N/A</v>
      </c>
      <c r="J1796">
        <v>0.14652014699999999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</row>
    <row r="1797" spans="1:15" x14ac:dyDescent="0.25">
      <c r="A1797" t="s">
        <v>18</v>
      </c>
      <c r="B1797" t="s">
        <v>25</v>
      </c>
      <c r="C1797" s="3" t="str">
        <f>IF($B1797="GW1",VLOOKUP($A1797,Matches!$A:$AC,2,FALSE),IF($B1797="GW2",VLOOKUP($A1797,Matches!$A:$AC,9,FALSE),IF($B1797="GW3",VLOOKUP($A1797,Matches!$A:$AC,16,FALSE))))</f>
        <v>West Ham</v>
      </c>
      <c r="D1797" s="6">
        <v>0.56776244819167654</v>
      </c>
      <c r="E1797" s="6">
        <v>0.19340115267086994</v>
      </c>
      <c r="F1797" s="6">
        <v>0.3743612955208066</v>
      </c>
      <c r="G1797" s="3" t="s">
        <v>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</row>
    <row r="1798" spans="1:15" x14ac:dyDescent="0.25">
      <c r="A1798" t="s">
        <v>18</v>
      </c>
      <c r="B1798" t="s">
        <v>25</v>
      </c>
      <c r="C1798" s="3" t="str">
        <f>IF($B1798="GW1",VLOOKUP($A1798,Matches!$A:$AC,2,FALSE),IF($B1798="GW2",VLOOKUP($A1798,Matches!$A:$AC,9,FALSE),IF($B1798="GW3",VLOOKUP($A1798,Matches!$A:$AC,16,FALSE))))</f>
        <v>West Ham</v>
      </c>
      <c r="D1798" s="6">
        <v>0.56776244819167654</v>
      </c>
      <c r="E1798" s="6">
        <v>0.19340115267086994</v>
      </c>
      <c r="F1798" s="6">
        <v>0.3743612955208066</v>
      </c>
      <c r="G1798" s="3" t="s">
        <v>1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</row>
    <row r="1799" spans="1:15" x14ac:dyDescent="0.25">
      <c r="A1799" t="s">
        <v>18</v>
      </c>
      <c r="B1799" t="s">
        <v>25</v>
      </c>
      <c r="C1799" s="3" t="str">
        <f>IF($B1799="GW1",VLOOKUP($A1799,Matches!$A:$AC,2,FALSE),IF($B1799="GW2",VLOOKUP($A1799,Matches!$A:$AC,9,FALSE),IF($B1799="GW3",VLOOKUP($A1799,Matches!$A:$AC,16,FALSE))))</f>
        <v>West Ham</v>
      </c>
      <c r="D1799" s="6">
        <v>0.56776244819167654</v>
      </c>
      <c r="E1799" s="6">
        <v>0.19340115267086994</v>
      </c>
      <c r="F1799" s="6">
        <v>0.3743612955208066</v>
      </c>
      <c r="G1799" s="3" t="s">
        <v>1</v>
      </c>
      <c r="H1799">
        <v>0.105820106</v>
      </c>
      <c r="I1799">
        <v>4.1407867000000001E-2</v>
      </c>
      <c r="J1799">
        <v>0.28011204499999998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</row>
    <row r="1800" spans="1:15" x14ac:dyDescent="0.25">
      <c r="A1800" t="s">
        <v>18</v>
      </c>
      <c r="B1800" t="s">
        <v>25</v>
      </c>
      <c r="C1800" s="3" t="str">
        <f>IF($B1800="GW1",VLOOKUP($A1800,Matches!$A:$AC,2,FALSE),IF($B1800="GW2",VLOOKUP($A1800,Matches!$A:$AC,9,FALSE),IF($B1800="GW3",VLOOKUP($A1800,Matches!$A:$AC,16,FALSE))))</f>
        <v>West Ham</v>
      </c>
      <c r="D1800" s="6">
        <v>0.56776244819167654</v>
      </c>
      <c r="E1800" s="6">
        <v>0.19340115267086994</v>
      </c>
      <c r="F1800" s="6">
        <v>0.3743612955208066</v>
      </c>
      <c r="G1800" s="3" t="s">
        <v>1</v>
      </c>
      <c r="H1800">
        <v>9.5238094999999995E-2</v>
      </c>
      <c r="I1800">
        <v>9.5238094999999995E-2</v>
      </c>
      <c r="J1800">
        <v>0.19047618999999999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</row>
    <row r="1801" spans="1:15" x14ac:dyDescent="0.25">
      <c r="A1801" t="s">
        <v>18</v>
      </c>
      <c r="B1801" t="s">
        <v>25</v>
      </c>
      <c r="C1801" s="3" t="str">
        <f>IF($B1801="GW1",VLOOKUP($A1801,Matches!$A:$AC,2,FALSE),IF($B1801="GW2",VLOOKUP($A1801,Matches!$A:$AC,9,FALSE),IF($B1801="GW3",VLOOKUP($A1801,Matches!$A:$AC,16,FALSE))))</f>
        <v>West Ham</v>
      </c>
      <c r="D1801" s="6">
        <v>0.56776244819167654</v>
      </c>
      <c r="E1801" s="6">
        <v>0.19340115267086994</v>
      </c>
      <c r="F1801" s="6">
        <v>0.3743612955208066</v>
      </c>
      <c r="G1801" s="3" t="s">
        <v>1</v>
      </c>
      <c r="H1801">
        <v>9.5238094999999995E-2</v>
      </c>
      <c r="I1801">
        <v>6.3492063000000001E-2</v>
      </c>
      <c r="J1801">
        <v>0.28011204499999998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</row>
    <row r="1802" spans="1:15" x14ac:dyDescent="0.25">
      <c r="A1802" t="s">
        <v>18</v>
      </c>
      <c r="B1802" t="s">
        <v>25</v>
      </c>
      <c r="C1802" s="3" t="str">
        <f>IF($B1802="GW1",VLOOKUP($A1802,Matches!$A:$AC,2,FALSE),IF($B1802="GW2",VLOOKUP($A1802,Matches!$A:$AC,9,FALSE),IF($B1802="GW3",VLOOKUP($A1802,Matches!$A:$AC,16,FALSE))))</f>
        <v>West Ham</v>
      </c>
      <c r="D1802" s="6">
        <v>0.56776244819167654</v>
      </c>
      <c r="E1802" s="6">
        <v>0.19340115267086994</v>
      </c>
      <c r="F1802" s="6">
        <v>0.3743612955208066</v>
      </c>
      <c r="G1802" s="3" t="s">
        <v>1</v>
      </c>
      <c r="H1802">
        <v>0.11904761899999999</v>
      </c>
      <c r="I1802">
        <v>9.5238094999999995E-2</v>
      </c>
      <c r="J1802">
        <v>0.28011204499999998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</row>
    <row r="1803" spans="1:15" x14ac:dyDescent="0.25">
      <c r="A1803" t="s">
        <v>18</v>
      </c>
      <c r="B1803" t="s">
        <v>25</v>
      </c>
      <c r="C1803" s="3" t="str">
        <f>IF($B1803="GW1",VLOOKUP($A1803,Matches!$A:$AC,2,FALSE),IF($B1803="GW2",VLOOKUP($A1803,Matches!$A:$AC,9,FALSE),IF($B1803="GW3",VLOOKUP($A1803,Matches!$A:$AC,16,FALSE))))</f>
        <v>West Ham</v>
      </c>
      <c r="D1803" s="6">
        <v>0.56776244819167654</v>
      </c>
      <c r="E1803" s="6">
        <v>0.19340115267086994</v>
      </c>
      <c r="F1803" s="6">
        <v>0.3743612955208066</v>
      </c>
      <c r="G1803" s="3" t="s">
        <v>1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</row>
    <row r="1804" spans="1:15" x14ac:dyDescent="0.25">
      <c r="A1804" t="s">
        <v>18</v>
      </c>
      <c r="B1804" t="s">
        <v>25</v>
      </c>
      <c r="C1804" s="3" t="str">
        <f>IF($B1804="GW1",VLOOKUP($A1804,Matches!$A:$AC,2,FALSE),IF($B1804="GW2",VLOOKUP($A1804,Matches!$A:$AC,9,FALSE),IF($B1804="GW3",VLOOKUP($A1804,Matches!$A:$AC,16,FALSE))))</f>
        <v>West Ham</v>
      </c>
      <c r="D1804" s="6">
        <v>0.56776244819167654</v>
      </c>
      <c r="E1804" s="6">
        <v>0.19340115267086994</v>
      </c>
      <c r="F1804" s="6">
        <v>0.3743612955208066</v>
      </c>
      <c r="G1804" s="3" t="s">
        <v>1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</row>
    <row r="1805" spans="1:15" x14ac:dyDescent="0.25">
      <c r="A1805" t="s">
        <v>18</v>
      </c>
      <c r="B1805" t="s">
        <v>25</v>
      </c>
      <c r="C1805" s="3" t="str">
        <f>IF($B1805="GW1",VLOOKUP($A1805,Matches!$A:$AC,2,FALSE),IF($B1805="GW2",VLOOKUP($A1805,Matches!$A:$AC,9,FALSE),IF($B1805="GW3",VLOOKUP($A1805,Matches!$A:$AC,16,FALSE))))</f>
        <v>West Ham</v>
      </c>
      <c r="D1805" s="6">
        <v>0.56776244819167654</v>
      </c>
      <c r="E1805" s="6">
        <v>0.19340115267086994</v>
      </c>
      <c r="F1805" s="6">
        <v>0.3743612955208066</v>
      </c>
      <c r="G1805" s="3" t="s">
        <v>1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</row>
    <row r="1806" spans="1:15" x14ac:dyDescent="0.25">
      <c r="A1806" t="s">
        <v>18</v>
      </c>
      <c r="B1806" t="s">
        <v>25</v>
      </c>
      <c r="C1806" s="3" t="str">
        <f>IF($B1806="GW1",VLOOKUP($A1806,Matches!$A:$AC,2,FALSE),IF($B1806="GW2",VLOOKUP($A1806,Matches!$A:$AC,9,FALSE),IF($B1806="GW3",VLOOKUP($A1806,Matches!$A:$AC,16,FALSE))))</f>
        <v>West Ham</v>
      </c>
      <c r="D1806" s="6">
        <v>0.56776244819167654</v>
      </c>
      <c r="E1806" s="6">
        <v>0.19340115267086994</v>
      </c>
      <c r="F1806" s="6">
        <v>0.3743612955208066</v>
      </c>
      <c r="G1806" s="3" t="s">
        <v>1</v>
      </c>
      <c r="H1806">
        <v>9.5238094999999995E-2</v>
      </c>
      <c r="I1806">
        <v>4.5351474000000003E-2</v>
      </c>
      <c r="J1806">
        <v>0.19047618999999999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</row>
    <row r="1807" spans="1:15" x14ac:dyDescent="0.25">
      <c r="A1807" t="s">
        <v>18</v>
      </c>
      <c r="B1807" t="s">
        <v>25</v>
      </c>
      <c r="C1807" s="3" t="str">
        <f>IF($B1807="GW1",VLOOKUP($A1807,Matches!$A:$AC,2,FALSE),IF($B1807="GW2",VLOOKUP($A1807,Matches!$A:$AC,9,FALSE),IF($B1807="GW3",VLOOKUP($A1807,Matches!$A:$AC,16,FALSE))))</f>
        <v>West Ham</v>
      </c>
      <c r="D1807" s="6">
        <v>0.56776244819167654</v>
      </c>
      <c r="E1807" s="6">
        <v>0.19340115267086994</v>
      </c>
      <c r="F1807" s="6">
        <v>0.3743612955208066</v>
      </c>
      <c r="G1807" s="3" t="s">
        <v>1</v>
      </c>
      <c r="H1807">
        <v>7.3260072999999995E-2</v>
      </c>
      <c r="I1807">
        <v>6.3492063000000001E-2</v>
      </c>
      <c r="J1807">
        <v>0.21994941200000001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</row>
    <row r="1808" spans="1:15" x14ac:dyDescent="0.25">
      <c r="A1808" t="s">
        <v>18</v>
      </c>
      <c r="B1808" t="s">
        <v>25</v>
      </c>
      <c r="C1808" s="3" t="str">
        <f>IF($B1808="GW1",VLOOKUP($A1808,Matches!$A:$AC,2,FALSE),IF($B1808="GW2",VLOOKUP($A1808,Matches!$A:$AC,9,FALSE),IF($B1808="GW3",VLOOKUP($A1808,Matches!$A:$AC,16,FALSE))))</f>
        <v>West Ham</v>
      </c>
      <c r="D1808" s="6">
        <v>0.56776244819167654</v>
      </c>
      <c r="E1808" s="6">
        <v>0.19340115267086994</v>
      </c>
      <c r="F1808" s="6">
        <v>0.3743612955208066</v>
      </c>
      <c r="G1808" s="3" t="s">
        <v>1</v>
      </c>
      <c r="H1808">
        <v>9.5238094999999995E-2</v>
      </c>
      <c r="I1808">
        <v>5.6022409000000002E-2</v>
      </c>
      <c r="J1808">
        <v>0.19047618999999999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</row>
    <row r="1809" spans="1:15" x14ac:dyDescent="0.25">
      <c r="A1809" t="s">
        <v>18</v>
      </c>
      <c r="B1809" t="s">
        <v>25</v>
      </c>
      <c r="C1809" s="3" t="str">
        <f>IF($B1809="GW1",VLOOKUP($A1809,Matches!$A:$AC,2,FALSE),IF($B1809="GW2",VLOOKUP($A1809,Matches!$A:$AC,9,FALSE),IF($B1809="GW3",VLOOKUP($A1809,Matches!$A:$AC,16,FALSE))))</f>
        <v>West Ham</v>
      </c>
      <c r="D1809" s="6">
        <v>0.56776244819167654</v>
      </c>
      <c r="E1809" s="6">
        <v>0.19340115267086994</v>
      </c>
      <c r="F1809" s="6">
        <v>0.3743612955208066</v>
      </c>
      <c r="G1809" s="3" t="s">
        <v>1</v>
      </c>
      <c r="H1809">
        <v>0.28011204499999998</v>
      </c>
      <c r="I1809">
        <v>0.21164021199999999</v>
      </c>
      <c r="J1809">
        <v>0.28011204499999998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</row>
    <row r="1810" spans="1:15" x14ac:dyDescent="0.25">
      <c r="A1810" t="s">
        <v>18</v>
      </c>
      <c r="B1810" t="s">
        <v>25</v>
      </c>
      <c r="C1810" s="3" t="str">
        <f>IF($B1810="GW1",VLOOKUP($A1810,Matches!$A:$AC,2,FALSE),IF($B1810="GW2",VLOOKUP($A1810,Matches!$A:$AC,9,FALSE),IF($B1810="GW3",VLOOKUP($A1810,Matches!$A:$AC,16,FALSE))))</f>
        <v>West Ham</v>
      </c>
      <c r="D1810" s="6">
        <v>0.56776244819167654</v>
      </c>
      <c r="E1810" s="6">
        <v>0.19340115267086994</v>
      </c>
      <c r="F1810" s="6">
        <v>0.3743612955208066</v>
      </c>
      <c r="G1810" s="3" t="s">
        <v>1</v>
      </c>
      <c r="H1810">
        <v>0.253968254</v>
      </c>
      <c r="I1810">
        <v>0.13605442200000001</v>
      </c>
      <c r="J1810">
        <v>0.13605442200000001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</row>
    <row r="1811" spans="1:15" x14ac:dyDescent="0.25">
      <c r="A1811" t="s">
        <v>18</v>
      </c>
      <c r="B1811" t="s">
        <v>25</v>
      </c>
      <c r="C1811" s="3" t="str">
        <f>IF($B1811="GW1",VLOOKUP($A1811,Matches!$A:$AC,2,FALSE),IF($B1811="GW2",VLOOKUP($A1811,Matches!$A:$AC,9,FALSE),IF($B1811="GW3",VLOOKUP($A1811,Matches!$A:$AC,16,FALSE))))</f>
        <v>West Ham</v>
      </c>
      <c r="D1811" s="6">
        <v>0.56776244819167654</v>
      </c>
      <c r="E1811" s="6">
        <v>0.19340115267086994</v>
      </c>
      <c r="F1811" s="6">
        <v>0.3743612955208066</v>
      </c>
      <c r="G1811" s="3" t="s">
        <v>1</v>
      </c>
      <c r="H1811">
        <v>0.14652014699999999</v>
      </c>
      <c r="I1811">
        <v>0.21164021199999999</v>
      </c>
      <c r="J1811">
        <v>0.21994941200000001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</row>
    <row r="1812" spans="1:15" x14ac:dyDescent="0.25">
      <c r="A1812" t="s">
        <v>18</v>
      </c>
      <c r="B1812" t="s">
        <v>25</v>
      </c>
      <c r="C1812" s="3" t="str">
        <f>IF($B1812="GW1",VLOOKUP($A1812,Matches!$A:$AC,2,FALSE),IF($B1812="GW2",VLOOKUP($A1812,Matches!$A:$AC,9,FALSE),IF($B1812="GW3",VLOOKUP($A1812,Matches!$A:$AC,16,FALSE))))</f>
        <v>West Ham</v>
      </c>
      <c r="D1812" s="6">
        <v>0.56776244819167654</v>
      </c>
      <c r="E1812" s="6">
        <v>0.19340115267086994</v>
      </c>
      <c r="F1812" s="6">
        <v>0.3743612955208066</v>
      </c>
      <c r="G1812" s="3" t="s">
        <v>1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</row>
    <row r="1813" spans="1:15" x14ac:dyDescent="0.25">
      <c r="A1813" t="s">
        <v>18</v>
      </c>
      <c r="B1813" t="s">
        <v>25</v>
      </c>
      <c r="C1813" s="3" t="str">
        <f>IF($B1813="GW1",VLOOKUP($A1813,Matches!$A:$AC,2,FALSE),IF($B1813="GW2",VLOOKUP($A1813,Matches!$A:$AC,9,FALSE),IF($B1813="GW3",VLOOKUP($A1813,Matches!$A:$AC,16,FALSE))))</f>
        <v>West Ham</v>
      </c>
      <c r="D1813" s="6">
        <v>0.56776244819167654</v>
      </c>
      <c r="E1813" s="6">
        <v>0.19340115267086994</v>
      </c>
      <c r="F1813" s="6">
        <v>0.3743612955208066</v>
      </c>
      <c r="G1813" s="3" t="s">
        <v>1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</row>
    <row r="1814" spans="1:15" x14ac:dyDescent="0.25">
      <c r="A1814" t="s">
        <v>18</v>
      </c>
      <c r="B1814" t="s">
        <v>25</v>
      </c>
      <c r="C1814" s="3" t="str">
        <f>IF($B1814="GW1",VLOOKUP($A1814,Matches!$A:$AC,2,FALSE),IF($B1814="GW2",VLOOKUP($A1814,Matches!$A:$AC,9,FALSE),IF($B1814="GW3",VLOOKUP($A1814,Matches!$A:$AC,16,FALSE))))</f>
        <v>West Ham</v>
      </c>
      <c r="D1814" s="6">
        <v>0.56776244819167654</v>
      </c>
      <c r="E1814" s="6">
        <v>0.19340115267086994</v>
      </c>
      <c r="F1814" s="6">
        <v>0.3743612955208066</v>
      </c>
      <c r="G1814" s="3" t="s">
        <v>1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</row>
    <row r="1815" spans="1:15" x14ac:dyDescent="0.25">
      <c r="A1815" t="s">
        <v>18</v>
      </c>
      <c r="B1815" t="s">
        <v>25</v>
      </c>
      <c r="C1815" s="3" t="str">
        <f>IF($B1815="GW1",VLOOKUP($A1815,Matches!$A:$AC,2,FALSE),IF($B1815="GW2",VLOOKUP($A1815,Matches!$A:$AC,9,FALSE),IF($B1815="GW3",VLOOKUP($A1815,Matches!$A:$AC,16,FALSE))))</f>
        <v>West Ham</v>
      </c>
      <c r="D1815" s="6">
        <v>0.56776244819167654</v>
      </c>
      <c r="E1815" s="6">
        <v>0.19340115267086994</v>
      </c>
      <c r="F1815" s="6">
        <v>0.3743612955208066</v>
      </c>
      <c r="G1815" s="3" t="s">
        <v>1</v>
      </c>
      <c r="H1815">
        <v>0.11904761899999999</v>
      </c>
      <c r="I1815">
        <v>9.5238094999999995E-2</v>
      </c>
      <c r="J1815">
        <v>0.28011204499999998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</row>
    <row r="1816" spans="1:15" x14ac:dyDescent="0.25">
      <c r="A1816" t="s">
        <v>18</v>
      </c>
      <c r="B1816" t="s">
        <v>25</v>
      </c>
      <c r="C1816" s="3" t="str">
        <f>IF($B1816="GW1",VLOOKUP($A1816,Matches!$A:$AC,2,FALSE),IF($B1816="GW2",VLOOKUP($A1816,Matches!$A:$AC,9,FALSE),IF($B1816="GW3",VLOOKUP($A1816,Matches!$A:$AC,16,FALSE))))</f>
        <v>West Ham</v>
      </c>
      <c r="D1816" s="6">
        <v>0.56776244819167654</v>
      </c>
      <c r="E1816" s="6">
        <v>0.19340115267086994</v>
      </c>
      <c r="F1816" s="6">
        <v>0.3743612955208066</v>
      </c>
      <c r="G1816" s="3" t="s">
        <v>1</v>
      </c>
      <c r="H1816">
        <v>0.126984127</v>
      </c>
      <c r="I1816">
        <v>9.5238094999999995E-2</v>
      </c>
      <c r="J1816">
        <v>0.31746031699999999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</row>
    <row r="1817" spans="1:15" x14ac:dyDescent="0.25">
      <c r="A1817" t="s">
        <v>18</v>
      </c>
      <c r="B1817" t="s">
        <v>25</v>
      </c>
      <c r="C1817" s="3" t="str">
        <f>IF($B1817="GW1",VLOOKUP($A1817,Matches!$A:$AC,2,FALSE),IF($B1817="GW2",VLOOKUP($A1817,Matches!$A:$AC,9,FALSE),IF($B1817="GW3",VLOOKUP($A1817,Matches!$A:$AC,16,FALSE))))</f>
        <v>West Ham</v>
      </c>
      <c r="D1817" s="6">
        <v>0.56776244819167654</v>
      </c>
      <c r="E1817" s="6">
        <v>0.19340115267086994</v>
      </c>
      <c r="F1817" s="6">
        <v>0.3743612955208066</v>
      </c>
      <c r="G1817" s="3" t="s">
        <v>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</row>
    <row r="1818" spans="1:15" x14ac:dyDescent="0.25">
      <c r="A1818" t="s">
        <v>18</v>
      </c>
      <c r="B1818" t="s">
        <v>25</v>
      </c>
      <c r="C1818" s="3" t="str">
        <f>IF($B1818="GW1",VLOOKUP($A1818,Matches!$A:$AC,2,FALSE),IF($B1818="GW2",VLOOKUP($A1818,Matches!$A:$AC,9,FALSE),IF($B1818="GW3",VLOOKUP($A1818,Matches!$A:$AC,16,FALSE))))</f>
        <v>West Ham</v>
      </c>
      <c r="D1818" s="6">
        <v>0.56776244819167654</v>
      </c>
      <c r="E1818" s="6">
        <v>0.19340115267086994</v>
      </c>
      <c r="F1818" s="6">
        <v>0.3743612955208066</v>
      </c>
      <c r="G1818" s="3" t="s">
        <v>1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</row>
    <row r="1819" spans="1:15" x14ac:dyDescent="0.25">
      <c r="A1819" t="s">
        <v>18</v>
      </c>
      <c r="B1819" t="s">
        <v>25</v>
      </c>
      <c r="C1819" s="3" t="str">
        <f>IF($B1819="GW1",VLOOKUP($A1819,Matches!$A:$AC,2,FALSE),IF($B1819="GW2",VLOOKUP($A1819,Matches!$A:$AC,9,FALSE),IF($B1819="GW3",VLOOKUP($A1819,Matches!$A:$AC,16,FALSE))))</f>
        <v>West Ham</v>
      </c>
      <c r="D1819" s="6">
        <v>0.56776244819167654</v>
      </c>
      <c r="E1819" s="6">
        <v>0.19340115267086994</v>
      </c>
      <c r="F1819" s="6">
        <v>0.3743612955208066</v>
      </c>
      <c r="G1819" s="3" t="s">
        <v>1</v>
      </c>
      <c r="H1819">
        <v>0.36630036599999999</v>
      </c>
      <c r="I1819">
        <v>0.11904761899999999</v>
      </c>
      <c r="J1819">
        <v>0.11904761899999999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</row>
    <row r="1820" spans="1:15" x14ac:dyDescent="0.25">
      <c r="A1820" t="s">
        <v>18</v>
      </c>
      <c r="B1820" t="s">
        <v>25</v>
      </c>
      <c r="C1820" s="3" t="str">
        <f>IF($B1820="GW1",VLOOKUP($A1820,Matches!$A:$AC,2,FALSE),IF($B1820="GW2",VLOOKUP($A1820,Matches!$A:$AC,9,FALSE),IF($B1820="GW3",VLOOKUP($A1820,Matches!$A:$AC,16,FALSE))))</f>
        <v>West Ham</v>
      </c>
      <c r="D1820" s="6">
        <v>0.56776244819167654</v>
      </c>
      <c r="E1820" s="6">
        <v>0.19340115267086994</v>
      </c>
      <c r="F1820" s="6">
        <v>0.3743612955208066</v>
      </c>
      <c r="G1820" s="3" t="s">
        <v>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</row>
    <row r="1821" spans="1:15" x14ac:dyDescent="0.25">
      <c r="A1821" t="s">
        <v>18</v>
      </c>
      <c r="B1821" t="s">
        <v>25</v>
      </c>
      <c r="C1821" s="3" t="str">
        <f>IF($B1821="GW1",VLOOKUP($A1821,Matches!$A:$AC,2,FALSE),IF($B1821="GW2",VLOOKUP($A1821,Matches!$A:$AC,9,FALSE),IF($B1821="GW3",VLOOKUP($A1821,Matches!$A:$AC,16,FALSE))))</f>
        <v>West Ham</v>
      </c>
      <c r="D1821" s="6">
        <v>0.56776244819167654</v>
      </c>
      <c r="E1821" s="6">
        <v>0.19340115267086994</v>
      </c>
      <c r="F1821" s="6">
        <v>0.3743612955208066</v>
      </c>
      <c r="G1821" s="3" t="s">
        <v>1</v>
      </c>
      <c r="H1821">
        <v>0.39682539700000002</v>
      </c>
      <c r="I1821">
        <v>0.14652014699999999</v>
      </c>
      <c r="J1821">
        <v>0.14652014699999999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</row>
    <row r="1822" spans="1:15" x14ac:dyDescent="0.25">
      <c r="A1822" t="s">
        <v>19</v>
      </c>
      <c r="B1822" t="s">
        <v>25</v>
      </c>
      <c r="C1822" s="3" t="str">
        <f>IF($B1822="GW1",VLOOKUP($A1822,Matches!$A:$AC,2,FALSE),IF($B1822="GW2",VLOOKUP($A1822,Matches!$A:$AC,9,FALSE),IF($B1822="GW3",VLOOKUP($A1822,Matches!$A:$AC,16,FALSE))))</f>
        <v>Brentford</v>
      </c>
      <c r="D1822" s="6">
        <v>0.36362314097669179</v>
      </c>
      <c r="E1822" s="6">
        <v>0.3691535309535236</v>
      </c>
      <c r="F1822" s="6">
        <v>-5.5303899768318066E-3</v>
      </c>
      <c r="G1822" s="3" t="s">
        <v>1</v>
      </c>
      <c r="H1822" t="e">
        <v>#N/A</v>
      </c>
      <c r="I1822" t="e">
        <v>#N/A</v>
      </c>
      <c r="J1822">
        <v>0.13605442200000001</v>
      </c>
      <c r="K1822">
        <v>0.276595745</v>
      </c>
      <c r="L1822">
        <v>0.375</v>
      </c>
      <c r="M1822">
        <v>5.6865464999999997E-2</v>
      </c>
      <c r="N1822" t="e">
        <v>#N/A</v>
      </c>
      <c r="O1822" t="e">
        <v>#N/A</v>
      </c>
    </row>
    <row r="1823" spans="1:15" x14ac:dyDescent="0.25">
      <c r="A1823" t="s">
        <v>19</v>
      </c>
      <c r="B1823" t="s">
        <v>25</v>
      </c>
      <c r="C1823" s="3" t="str">
        <f>IF($B1823="GW1",VLOOKUP($A1823,Matches!$A:$AC,2,FALSE),IF($B1823="GW2",VLOOKUP($A1823,Matches!$A:$AC,9,FALSE),IF($B1823="GW3",VLOOKUP($A1823,Matches!$A:$AC,16,FALSE))))</f>
        <v>Brentford</v>
      </c>
      <c r="D1823" s="6">
        <v>0.36362314097669179</v>
      </c>
      <c r="E1823" s="6">
        <v>0.3691535309535236</v>
      </c>
      <c r="F1823" s="6">
        <v>-5.5303899768318066E-3</v>
      </c>
      <c r="G1823" s="3" t="s">
        <v>1</v>
      </c>
      <c r="H1823" t="e">
        <v>#N/A</v>
      </c>
      <c r="I1823" t="e">
        <v>#N/A</v>
      </c>
      <c r="J1823">
        <v>0.13605442200000001</v>
      </c>
      <c r="K1823">
        <v>0.276595745</v>
      </c>
      <c r="L1823">
        <v>0.375</v>
      </c>
      <c r="M1823">
        <v>5.6865464999999997E-2</v>
      </c>
      <c r="N1823" t="e">
        <v>#N/A</v>
      </c>
      <c r="O1823" t="e">
        <v>#N/A</v>
      </c>
    </row>
    <row r="1824" spans="1:15" x14ac:dyDescent="0.25">
      <c r="A1824" t="s">
        <v>19</v>
      </c>
      <c r="B1824" t="s">
        <v>25</v>
      </c>
      <c r="C1824" s="3" t="str">
        <f>IF($B1824="GW1",VLOOKUP($A1824,Matches!$A:$AC,2,FALSE),IF($B1824="GW2",VLOOKUP($A1824,Matches!$A:$AC,9,FALSE),IF($B1824="GW3",VLOOKUP($A1824,Matches!$A:$AC,16,FALSE))))</f>
        <v>Brentford</v>
      </c>
      <c r="D1824" s="6">
        <v>0.36362314097669179</v>
      </c>
      <c r="E1824" s="6">
        <v>0.3691535309535236</v>
      </c>
      <c r="F1824" s="6">
        <v>-5.5303899768318066E-3</v>
      </c>
      <c r="G1824" s="3" t="s">
        <v>1</v>
      </c>
      <c r="H1824" t="e">
        <v>#N/A</v>
      </c>
      <c r="I1824" t="e">
        <v>#N/A</v>
      </c>
      <c r="J1824">
        <v>0.13605442200000001</v>
      </c>
      <c r="K1824">
        <v>0.276595745</v>
      </c>
      <c r="L1824">
        <v>0.375</v>
      </c>
      <c r="M1824">
        <v>5.6865464999999997E-2</v>
      </c>
      <c r="N1824" t="e">
        <v>#N/A</v>
      </c>
      <c r="O1824" t="e">
        <v>#N/A</v>
      </c>
    </row>
    <row r="1825" spans="1:15" x14ac:dyDescent="0.25">
      <c r="A1825" t="s">
        <v>19</v>
      </c>
      <c r="B1825" t="s">
        <v>25</v>
      </c>
      <c r="C1825" s="3" t="str">
        <f>IF($B1825="GW1",VLOOKUP($A1825,Matches!$A:$AC,2,FALSE),IF($B1825="GW2",VLOOKUP($A1825,Matches!$A:$AC,9,FALSE),IF($B1825="GW3",VLOOKUP($A1825,Matches!$A:$AC,16,FALSE))))</f>
        <v>Brentford</v>
      </c>
      <c r="D1825" s="6">
        <v>0.36362314097669179</v>
      </c>
      <c r="E1825" s="6">
        <v>0.3691535309535236</v>
      </c>
      <c r="F1825" s="6">
        <v>-5.5303899768318066E-3</v>
      </c>
      <c r="G1825" s="3" t="s">
        <v>1</v>
      </c>
      <c r="H1825">
        <v>8.6580087E-2</v>
      </c>
      <c r="I1825">
        <v>4.1407867000000001E-2</v>
      </c>
      <c r="J1825">
        <v>0.21994941200000001</v>
      </c>
      <c r="K1825">
        <v>0.276595745</v>
      </c>
      <c r="L1825">
        <v>0.375</v>
      </c>
      <c r="M1825">
        <v>5.6865464999999997E-2</v>
      </c>
      <c r="N1825" t="e">
        <v>#N/A</v>
      </c>
      <c r="O1825" t="e">
        <v>#N/A</v>
      </c>
    </row>
    <row r="1826" spans="1:15" x14ac:dyDescent="0.25">
      <c r="A1826" t="s">
        <v>19</v>
      </c>
      <c r="B1826" t="s">
        <v>25</v>
      </c>
      <c r="C1826" s="3" t="str">
        <f>IF($B1826="GW1",VLOOKUP($A1826,Matches!$A:$AC,2,FALSE),IF($B1826="GW2",VLOOKUP($A1826,Matches!$A:$AC,9,FALSE),IF($B1826="GW3",VLOOKUP($A1826,Matches!$A:$AC,16,FALSE))))</f>
        <v>Brentford</v>
      </c>
      <c r="D1826" s="6">
        <v>0.36362314097669179</v>
      </c>
      <c r="E1826" s="6">
        <v>0.3691535309535236</v>
      </c>
      <c r="F1826" s="6">
        <v>-5.5303899768318066E-3</v>
      </c>
      <c r="G1826" s="3" t="s">
        <v>1</v>
      </c>
      <c r="H1826">
        <v>8.6580087E-2</v>
      </c>
      <c r="I1826">
        <v>0.105820106</v>
      </c>
      <c r="J1826">
        <v>0.29304029300000001</v>
      </c>
      <c r="K1826">
        <v>0.276595745</v>
      </c>
      <c r="L1826">
        <v>0.375</v>
      </c>
      <c r="M1826">
        <v>5.6865464999999997E-2</v>
      </c>
      <c r="N1826" t="e">
        <v>#N/A</v>
      </c>
      <c r="O1826" t="e">
        <v>#N/A</v>
      </c>
    </row>
    <row r="1827" spans="1:15" x14ac:dyDescent="0.25">
      <c r="A1827" t="s">
        <v>19</v>
      </c>
      <c r="B1827" t="s">
        <v>25</v>
      </c>
      <c r="C1827" s="3" t="str">
        <f>IF($B1827="GW1",VLOOKUP($A1827,Matches!$A:$AC,2,FALSE),IF($B1827="GW2",VLOOKUP($A1827,Matches!$A:$AC,9,FALSE),IF($B1827="GW3",VLOOKUP($A1827,Matches!$A:$AC,16,FALSE))))</f>
        <v>Brentford</v>
      </c>
      <c r="D1827" s="6">
        <v>0.36362314097669179</v>
      </c>
      <c r="E1827" s="6">
        <v>0.3691535309535236</v>
      </c>
      <c r="F1827" s="6">
        <v>-5.5303899768318066E-3</v>
      </c>
      <c r="G1827" s="3" t="s">
        <v>1</v>
      </c>
      <c r="H1827" t="e">
        <v>#N/A</v>
      </c>
      <c r="I1827" t="e">
        <v>#N/A</v>
      </c>
      <c r="J1827" t="e">
        <v>#N/A</v>
      </c>
      <c r="K1827">
        <v>0.276595745</v>
      </c>
      <c r="L1827">
        <v>0.375</v>
      </c>
      <c r="M1827">
        <v>5.6865464999999997E-2</v>
      </c>
      <c r="N1827" t="e">
        <v>#N/A</v>
      </c>
      <c r="O1827" t="e">
        <v>#N/A</v>
      </c>
    </row>
    <row r="1828" spans="1:15" x14ac:dyDescent="0.25">
      <c r="A1828" t="s">
        <v>19</v>
      </c>
      <c r="B1828" t="s">
        <v>25</v>
      </c>
      <c r="C1828" s="3" t="str">
        <f>IF($B1828="GW1",VLOOKUP($A1828,Matches!$A:$AC,2,FALSE),IF($B1828="GW2",VLOOKUP($A1828,Matches!$A:$AC,9,FALSE),IF($B1828="GW3",VLOOKUP($A1828,Matches!$A:$AC,16,FALSE))))</f>
        <v>Brentford</v>
      </c>
      <c r="D1828" s="6">
        <v>0.36362314097669179</v>
      </c>
      <c r="E1828" s="6">
        <v>0.3691535309535236</v>
      </c>
      <c r="F1828" s="6">
        <v>-5.5303899768318066E-3</v>
      </c>
      <c r="G1828" s="3" t="s">
        <v>1</v>
      </c>
      <c r="H1828" t="e">
        <v>#N/A</v>
      </c>
      <c r="I1828" t="e">
        <v>#N/A</v>
      </c>
      <c r="J1828" t="e">
        <v>#N/A</v>
      </c>
      <c r="K1828">
        <v>0.276595745</v>
      </c>
      <c r="L1828">
        <v>0.375</v>
      </c>
      <c r="M1828">
        <v>5.6865464999999997E-2</v>
      </c>
      <c r="N1828" t="e">
        <v>#N/A</v>
      </c>
      <c r="O1828" t="e">
        <v>#N/A</v>
      </c>
    </row>
    <row r="1829" spans="1:15" x14ac:dyDescent="0.25">
      <c r="A1829" t="s">
        <v>19</v>
      </c>
      <c r="B1829" t="s">
        <v>25</v>
      </c>
      <c r="C1829" s="3" t="str">
        <f>IF($B1829="GW1",VLOOKUP($A1829,Matches!$A:$AC,2,FALSE),IF($B1829="GW2",VLOOKUP($A1829,Matches!$A:$AC,9,FALSE),IF($B1829="GW3",VLOOKUP($A1829,Matches!$A:$AC,16,FALSE))))</f>
        <v>Brentford</v>
      </c>
      <c r="D1829" s="6">
        <v>0.36362314097669179</v>
      </c>
      <c r="E1829" s="6">
        <v>0.3691535309535236</v>
      </c>
      <c r="F1829" s="6">
        <v>-5.5303899768318066E-3</v>
      </c>
      <c r="G1829" s="3" t="s">
        <v>1</v>
      </c>
      <c r="H1829">
        <v>8.6580087E-2</v>
      </c>
      <c r="I1829">
        <v>0.11904761899999999</v>
      </c>
      <c r="J1829">
        <v>0.27210884400000002</v>
      </c>
      <c r="K1829">
        <v>0.276595745</v>
      </c>
      <c r="L1829">
        <v>0.375</v>
      </c>
      <c r="M1829">
        <v>5.6865464999999997E-2</v>
      </c>
      <c r="N1829" t="e">
        <v>#N/A</v>
      </c>
      <c r="O1829" t="e">
        <v>#N/A</v>
      </c>
    </row>
    <row r="1830" spans="1:15" x14ac:dyDescent="0.25">
      <c r="A1830" t="s">
        <v>19</v>
      </c>
      <c r="B1830" t="s">
        <v>25</v>
      </c>
      <c r="C1830" s="3" t="str">
        <f>IF($B1830="GW1",VLOOKUP($A1830,Matches!$A:$AC,2,FALSE),IF($B1830="GW2",VLOOKUP($A1830,Matches!$A:$AC,9,FALSE),IF($B1830="GW3",VLOOKUP($A1830,Matches!$A:$AC,16,FALSE))))</f>
        <v>Brentford</v>
      </c>
      <c r="D1830" s="6">
        <v>0.36362314097669179</v>
      </c>
      <c r="E1830" s="6">
        <v>0.3691535309535236</v>
      </c>
      <c r="F1830" s="6">
        <v>-5.5303899768318066E-3</v>
      </c>
      <c r="G1830" s="3" t="s">
        <v>1</v>
      </c>
      <c r="H1830" t="e">
        <v>#N/A</v>
      </c>
      <c r="I1830" t="e">
        <v>#N/A</v>
      </c>
      <c r="J1830" t="e">
        <v>#N/A</v>
      </c>
      <c r="K1830">
        <v>0.276595745</v>
      </c>
      <c r="L1830">
        <v>0.375</v>
      </c>
      <c r="M1830">
        <v>5.6865464999999997E-2</v>
      </c>
      <c r="N1830" t="e">
        <v>#N/A</v>
      </c>
      <c r="O1830" t="e">
        <v>#N/A</v>
      </c>
    </row>
    <row r="1831" spans="1:15" x14ac:dyDescent="0.25">
      <c r="A1831" t="s">
        <v>19</v>
      </c>
      <c r="B1831" t="s">
        <v>25</v>
      </c>
      <c r="C1831" s="3" t="str">
        <f>IF($B1831="GW1",VLOOKUP($A1831,Matches!$A:$AC,2,FALSE),IF($B1831="GW2",VLOOKUP($A1831,Matches!$A:$AC,9,FALSE),IF($B1831="GW3",VLOOKUP($A1831,Matches!$A:$AC,16,FALSE))))</f>
        <v>Brentford</v>
      </c>
      <c r="D1831" s="6">
        <v>0.36362314097669179</v>
      </c>
      <c r="E1831" s="6">
        <v>0.3691535309535236</v>
      </c>
      <c r="F1831" s="6">
        <v>-5.5303899768318066E-3</v>
      </c>
      <c r="G1831" s="3" t="s">
        <v>1</v>
      </c>
      <c r="H1831">
        <v>6.3492063000000001E-2</v>
      </c>
      <c r="I1831">
        <v>5.0125312999999998E-2</v>
      </c>
      <c r="J1831">
        <v>0.13605442200000001</v>
      </c>
      <c r="K1831">
        <v>0.276595745</v>
      </c>
      <c r="L1831">
        <v>0.375</v>
      </c>
      <c r="M1831">
        <v>5.6865464999999997E-2</v>
      </c>
      <c r="N1831" t="e">
        <v>#N/A</v>
      </c>
      <c r="O1831" t="e">
        <v>#N/A</v>
      </c>
    </row>
    <row r="1832" spans="1:15" x14ac:dyDescent="0.25">
      <c r="A1832" t="s">
        <v>19</v>
      </c>
      <c r="B1832" t="s">
        <v>25</v>
      </c>
      <c r="C1832" s="3" t="str">
        <f>IF($B1832="GW1",VLOOKUP($A1832,Matches!$A:$AC,2,FALSE),IF($B1832="GW2",VLOOKUP($A1832,Matches!$A:$AC,9,FALSE),IF($B1832="GW3",VLOOKUP($A1832,Matches!$A:$AC,16,FALSE))))</f>
        <v>Brentford</v>
      </c>
      <c r="D1832" s="6">
        <v>0.36362314097669179</v>
      </c>
      <c r="E1832" s="6">
        <v>0.3691535309535236</v>
      </c>
      <c r="F1832" s="6">
        <v>-5.5303899768318066E-3</v>
      </c>
      <c r="G1832" s="3" t="s">
        <v>1</v>
      </c>
      <c r="H1832" t="e">
        <v>#N/A</v>
      </c>
      <c r="I1832" t="e">
        <v>#N/A</v>
      </c>
      <c r="J1832" t="e">
        <v>#N/A</v>
      </c>
      <c r="K1832">
        <v>0.276595745</v>
      </c>
      <c r="L1832">
        <v>0.375</v>
      </c>
      <c r="M1832">
        <v>5.6865464999999997E-2</v>
      </c>
      <c r="N1832" t="e">
        <v>#N/A</v>
      </c>
      <c r="O1832" t="e">
        <v>#N/A</v>
      </c>
    </row>
    <row r="1833" spans="1:15" x14ac:dyDescent="0.25">
      <c r="A1833" t="s">
        <v>19</v>
      </c>
      <c r="B1833" t="s">
        <v>25</v>
      </c>
      <c r="C1833" s="3" t="str">
        <f>IF($B1833="GW1",VLOOKUP($A1833,Matches!$A:$AC,2,FALSE),IF($B1833="GW2",VLOOKUP($A1833,Matches!$A:$AC,9,FALSE),IF($B1833="GW3",VLOOKUP($A1833,Matches!$A:$AC,16,FALSE))))</f>
        <v>Brentford</v>
      </c>
      <c r="D1833" s="6">
        <v>0.36362314097669179</v>
      </c>
      <c r="E1833" s="6">
        <v>0.3691535309535236</v>
      </c>
      <c r="F1833" s="6">
        <v>-5.5303899768318066E-3</v>
      </c>
      <c r="G1833" s="3" t="s">
        <v>1</v>
      </c>
      <c r="H1833">
        <v>8.6580087E-2</v>
      </c>
      <c r="I1833">
        <v>5.0125312999999998E-2</v>
      </c>
      <c r="J1833">
        <v>0.29304029300000001</v>
      </c>
      <c r="K1833">
        <v>0.276595745</v>
      </c>
      <c r="L1833">
        <v>0.375</v>
      </c>
      <c r="M1833">
        <v>5.6865464999999997E-2</v>
      </c>
      <c r="N1833" t="e">
        <v>#N/A</v>
      </c>
      <c r="O1833" t="e">
        <v>#N/A</v>
      </c>
    </row>
    <row r="1834" spans="1:15" x14ac:dyDescent="0.25">
      <c r="A1834" t="s">
        <v>19</v>
      </c>
      <c r="B1834" t="s">
        <v>25</v>
      </c>
      <c r="C1834" s="3" t="str">
        <f>IF($B1834="GW1",VLOOKUP($A1834,Matches!$A:$AC,2,FALSE),IF($B1834="GW2",VLOOKUP($A1834,Matches!$A:$AC,9,FALSE),IF($B1834="GW3",VLOOKUP($A1834,Matches!$A:$AC,16,FALSE))))</f>
        <v>Brentford</v>
      </c>
      <c r="D1834" s="6">
        <v>0.36362314097669179</v>
      </c>
      <c r="E1834" s="6">
        <v>0.3691535309535236</v>
      </c>
      <c r="F1834" s="6">
        <v>-5.5303899768318066E-3</v>
      </c>
      <c r="G1834" s="3" t="s">
        <v>1</v>
      </c>
      <c r="H1834" t="e">
        <v>#N/A</v>
      </c>
      <c r="I1834" t="e">
        <v>#N/A</v>
      </c>
      <c r="J1834" t="e">
        <v>#N/A</v>
      </c>
      <c r="K1834">
        <v>0.276595745</v>
      </c>
      <c r="L1834">
        <v>0.375</v>
      </c>
      <c r="M1834">
        <v>5.6865464999999997E-2</v>
      </c>
      <c r="N1834" t="e">
        <v>#N/A</v>
      </c>
      <c r="O1834" t="e">
        <v>#N/A</v>
      </c>
    </row>
    <row r="1835" spans="1:15" x14ac:dyDescent="0.25">
      <c r="A1835" t="s">
        <v>19</v>
      </c>
      <c r="B1835" t="s">
        <v>25</v>
      </c>
      <c r="C1835" s="3" t="str">
        <f>IF($B1835="GW1",VLOOKUP($A1835,Matches!$A:$AC,2,FALSE),IF($B1835="GW2",VLOOKUP($A1835,Matches!$A:$AC,9,FALSE),IF($B1835="GW3",VLOOKUP($A1835,Matches!$A:$AC,16,FALSE))))</f>
        <v>Brentford</v>
      </c>
      <c r="D1835" s="6">
        <v>0.36362314097669179</v>
      </c>
      <c r="E1835" s="6">
        <v>0.3691535309535236</v>
      </c>
      <c r="F1835" s="6">
        <v>-5.5303899768318066E-3</v>
      </c>
      <c r="G1835" s="3" t="s">
        <v>1</v>
      </c>
      <c r="H1835">
        <v>7.3260072999999995E-2</v>
      </c>
      <c r="I1835">
        <v>4.1407867000000001E-2</v>
      </c>
      <c r="J1835">
        <v>0.253968254</v>
      </c>
      <c r="K1835">
        <v>0.276595745</v>
      </c>
      <c r="L1835">
        <v>0.375</v>
      </c>
      <c r="M1835">
        <v>5.6865464999999997E-2</v>
      </c>
      <c r="N1835" t="e">
        <v>#N/A</v>
      </c>
      <c r="O1835" t="e">
        <v>#N/A</v>
      </c>
    </row>
    <row r="1836" spans="1:15" x14ac:dyDescent="0.25">
      <c r="A1836" t="s">
        <v>19</v>
      </c>
      <c r="B1836" t="s">
        <v>25</v>
      </c>
      <c r="C1836" s="3" t="str">
        <f>IF($B1836="GW1",VLOOKUP($A1836,Matches!$A:$AC,2,FALSE),IF($B1836="GW2",VLOOKUP($A1836,Matches!$A:$AC,9,FALSE),IF($B1836="GW3",VLOOKUP($A1836,Matches!$A:$AC,16,FALSE))))</f>
        <v>Brentford</v>
      </c>
      <c r="D1836" s="6">
        <v>0.36362314097669179</v>
      </c>
      <c r="E1836" s="6">
        <v>0.3691535309535236</v>
      </c>
      <c r="F1836" s="6">
        <v>-5.5303899768318066E-3</v>
      </c>
      <c r="G1836" s="3" t="s">
        <v>1</v>
      </c>
      <c r="H1836">
        <v>8.6580087E-2</v>
      </c>
      <c r="I1836">
        <v>4.1407867000000001E-2</v>
      </c>
      <c r="J1836">
        <v>0.21994941200000001</v>
      </c>
      <c r="K1836">
        <v>0.276595745</v>
      </c>
      <c r="L1836">
        <v>0.375</v>
      </c>
      <c r="M1836">
        <v>5.6865464999999997E-2</v>
      </c>
      <c r="N1836" t="e">
        <v>#N/A</v>
      </c>
      <c r="O1836" t="e">
        <v>#N/A</v>
      </c>
    </row>
    <row r="1837" spans="1:15" x14ac:dyDescent="0.25">
      <c r="A1837" t="s">
        <v>19</v>
      </c>
      <c r="B1837" t="s">
        <v>25</v>
      </c>
      <c r="C1837" s="3" t="str">
        <f>IF($B1837="GW1",VLOOKUP($A1837,Matches!$A:$AC,2,FALSE),IF($B1837="GW2",VLOOKUP($A1837,Matches!$A:$AC,9,FALSE),IF($B1837="GW3",VLOOKUP($A1837,Matches!$A:$AC,16,FALSE))))</f>
        <v>Brentford</v>
      </c>
      <c r="D1837" s="6">
        <v>0.36362314097669179</v>
      </c>
      <c r="E1837" s="6">
        <v>0.3691535309535236</v>
      </c>
      <c r="F1837" s="6">
        <v>-5.5303899768318066E-3</v>
      </c>
      <c r="G1837" s="3" t="s">
        <v>1</v>
      </c>
      <c r="H1837">
        <v>0.23809523799999999</v>
      </c>
      <c r="I1837">
        <v>0.14652014699999999</v>
      </c>
      <c r="J1837">
        <v>0.15873015900000001</v>
      </c>
      <c r="K1837">
        <v>0.276595745</v>
      </c>
      <c r="L1837">
        <v>0.375</v>
      </c>
      <c r="M1837">
        <v>5.6865464999999997E-2</v>
      </c>
      <c r="N1837" t="e">
        <v>#N/A</v>
      </c>
      <c r="O1837" t="e">
        <v>#N/A</v>
      </c>
    </row>
    <row r="1838" spans="1:15" x14ac:dyDescent="0.25">
      <c r="A1838" t="s">
        <v>19</v>
      </c>
      <c r="B1838" t="s">
        <v>25</v>
      </c>
      <c r="C1838" s="3" t="str">
        <f>IF($B1838="GW1",VLOOKUP($A1838,Matches!$A:$AC,2,FALSE),IF($B1838="GW2",VLOOKUP($A1838,Matches!$A:$AC,9,FALSE),IF($B1838="GW3",VLOOKUP($A1838,Matches!$A:$AC,16,FALSE))))</f>
        <v>Brentford</v>
      </c>
      <c r="D1838" s="6">
        <v>0.36362314097669179</v>
      </c>
      <c r="E1838" s="6">
        <v>0.3691535309535236</v>
      </c>
      <c r="F1838" s="6">
        <v>-5.5303899768318066E-3</v>
      </c>
      <c r="G1838" s="3" t="s">
        <v>1</v>
      </c>
      <c r="H1838">
        <v>0.15873015900000001</v>
      </c>
      <c r="I1838">
        <v>8.6580087E-2</v>
      </c>
      <c r="J1838">
        <v>0.20050125299999999</v>
      </c>
      <c r="K1838">
        <v>0.276595745</v>
      </c>
      <c r="L1838">
        <v>0.375</v>
      </c>
      <c r="M1838">
        <v>5.6865464999999997E-2</v>
      </c>
      <c r="N1838" t="e">
        <v>#N/A</v>
      </c>
      <c r="O1838" t="e">
        <v>#N/A</v>
      </c>
    </row>
    <row r="1839" spans="1:15" x14ac:dyDescent="0.25">
      <c r="A1839" t="s">
        <v>19</v>
      </c>
      <c r="B1839" t="s">
        <v>25</v>
      </c>
      <c r="C1839" s="3" t="str">
        <f>IF($B1839="GW1",VLOOKUP($A1839,Matches!$A:$AC,2,FALSE),IF($B1839="GW2",VLOOKUP($A1839,Matches!$A:$AC,9,FALSE),IF($B1839="GW3",VLOOKUP($A1839,Matches!$A:$AC,16,FALSE))))</f>
        <v>Brentford</v>
      </c>
      <c r="D1839" s="6">
        <v>0.36362314097669179</v>
      </c>
      <c r="E1839" s="6">
        <v>0.3691535309535236</v>
      </c>
      <c r="F1839" s="6">
        <v>-5.5303899768318066E-3</v>
      </c>
      <c r="G1839" s="3" t="s">
        <v>1</v>
      </c>
      <c r="H1839">
        <v>0.19047618999999999</v>
      </c>
      <c r="I1839">
        <v>0.173160173</v>
      </c>
      <c r="J1839">
        <v>0.20050125299999999</v>
      </c>
      <c r="K1839">
        <v>0.276595745</v>
      </c>
      <c r="L1839">
        <v>0.375</v>
      </c>
      <c r="M1839">
        <v>5.6865464999999997E-2</v>
      </c>
      <c r="N1839" t="e">
        <v>#N/A</v>
      </c>
      <c r="O1839" t="e">
        <v>#N/A</v>
      </c>
    </row>
    <row r="1840" spans="1:15" x14ac:dyDescent="0.25">
      <c r="A1840" t="s">
        <v>19</v>
      </c>
      <c r="B1840" t="s">
        <v>25</v>
      </c>
      <c r="C1840" s="3" t="str">
        <f>IF($B1840="GW1",VLOOKUP($A1840,Matches!$A:$AC,2,FALSE),IF($B1840="GW2",VLOOKUP($A1840,Matches!$A:$AC,9,FALSE),IF($B1840="GW3",VLOOKUP($A1840,Matches!$A:$AC,16,FALSE))))</f>
        <v>Brentford</v>
      </c>
      <c r="D1840" s="6">
        <v>0.36362314097669179</v>
      </c>
      <c r="E1840" s="6">
        <v>0.3691535309535236</v>
      </c>
      <c r="F1840" s="6">
        <v>-5.5303899768318066E-3</v>
      </c>
      <c r="G1840" s="3" t="s">
        <v>1</v>
      </c>
      <c r="H1840" t="e">
        <v>#N/A</v>
      </c>
      <c r="I1840" t="e">
        <v>#N/A</v>
      </c>
      <c r="J1840" t="e">
        <v>#N/A</v>
      </c>
      <c r="K1840">
        <v>0.276595745</v>
      </c>
      <c r="L1840">
        <v>0.375</v>
      </c>
      <c r="M1840">
        <v>5.6865464999999997E-2</v>
      </c>
      <c r="N1840" t="e">
        <v>#N/A</v>
      </c>
      <c r="O1840" t="e">
        <v>#N/A</v>
      </c>
    </row>
    <row r="1841" spans="1:15" x14ac:dyDescent="0.25">
      <c r="A1841" t="s">
        <v>19</v>
      </c>
      <c r="B1841" t="s">
        <v>25</v>
      </c>
      <c r="C1841" s="3" t="str">
        <f>IF($B1841="GW1",VLOOKUP($A1841,Matches!$A:$AC,2,FALSE),IF($B1841="GW2",VLOOKUP($A1841,Matches!$A:$AC,9,FALSE),IF($B1841="GW3",VLOOKUP($A1841,Matches!$A:$AC,16,FALSE))))</f>
        <v>Brentford</v>
      </c>
      <c r="D1841" s="6">
        <v>0.36362314097669179</v>
      </c>
      <c r="E1841" s="6">
        <v>0.3691535309535236</v>
      </c>
      <c r="F1841" s="6">
        <v>-5.5303899768318066E-3</v>
      </c>
      <c r="G1841" s="3" t="s">
        <v>1</v>
      </c>
      <c r="H1841" t="e">
        <v>#N/A</v>
      </c>
      <c r="I1841" t="e">
        <v>#N/A</v>
      </c>
      <c r="J1841" t="e">
        <v>#N/A</v>
      </c>
      <c r="K1841">
        <v>0.276595745</v>
      </c>
      <c r="L1841">
        <v>0.375</v>
      </c>
      <c r="M1841">
        <v>5.6865464999999997E-2</v>
      </c>
      <c r="N1841" t="e">
        <v>#N/A</v>
      </c>
      <c r="O1841" t="e">
        <v>#N/A</v>
      </c>
    </row>
    <row r="1842" spans="1:15" x14ac:dyDescent="0.25">
      <c r="A1842" t="s">
        <v>19</v>
      </c>
      <c r="B1842" t="s">
        <v>25</v>
      </c>
      <c r="C1842" s="3" t="str">
        <f>IF($B1842="GW1",VLOOKUP($A1842,Matches!$A:$AC,2,FALSE),IF($B1842="GW2",VLOOKUP($A1842,Matches!$A:$AC,9,FALSE),IF($B1842="GW3",VLOOKUP($A1842,Matches!$A:$AC,16,FALSE))))</f>
        <v>Brentford</v>
      </c>
      <c r="D1842" s="6">
        <v>0.36362314097669179</v>
      </c>
      <c r="E1842" s="6">
        <v>0.3691535309535236</v>
      </c>
      <c r="F1842" s="6">
        <v>-5.5303899768318066E-3</v>
      </c>
      <c r="G1842" s="3" t="s">
        <v>1</v>
      </c>
      <c r="H1842" t="e">
        <v>#N/A</v>
      </c>
      <c r="I1842" t="e">
        <v>#N/A</v>
      </c>
      <c r="J1842" t="e">
        <v>#N/A</v>
      </c>
      <c r="K1842">
        <v>0.276595745</v>
      </c>
      <c r="L1842">
        <v>0.375</v>
      </c>
      <c r="M1842">
        <v>5.6865464999999997E-2</v>
      </c>
      <c r="N1842" t="e">
        <v>#N/A</v>
      </c>
      <c r="O1842" t="e">
        <v>#N/A</v>
      </c>
    </row>
    <row r="1843" spans="1:15" x14ac:dyDescent="0.25">
      <c r="A1843" t="s">
        <v>19</v>
      </c>
      <c r="B1843" t="s">
        <v>25</v>
      </c>
      <c r="C1843" s="3" t="str">
        <f>IF($B1843="GW1",VLOOKUP($A1843,Matches!$A:$AC,2,FALSE),IF($B1843="GW2",VLOOKUP($A1843,Matches!$A:$AC,9,FALSE),IF($B1843="GW3",VLOOKUP($A1843,Matches!$A:$AC,16,FALSE))))</f>
        <v>Brentford</v>
      </c>
      <c r="D1843" s="6">
        <v>0.36362314097669179</v>
      </c>
      <c r="E1843" s="6">
        <v>0.3691535309535236</v>
      </c>
      <c r="F1843" s="6">
        <v>-5.5303899768318066E-3</v>
      </c>
      <c r="G1843" s="3" t="s">
        <v>1</v>
      </c>
      <c r="H1843">
        <v>8.6580087E-2</v>
      </c>
      <c r="I1843">
        <v>6.3492063000000001E-2</v>
      </c>
      <c r="J1843">
        <v>0.15873015900000001</v>
      </c>
      <c r="K1843">
        <v>0.276595745</v>
      </c>
      <c r="L1843">
        <v>0.375</v>
      </c>
      <c r="M1843">
        <v>5.6865464999999997E-2</v>
      </c>
      <c r="N1843" t="e">
        <v>#N/A</v>
      </c>
      <c r="O1843" t="e">
        <v>#N/A</v>
      </c>
    </row>
    <row r="1844" spans="1:15" x14ac:dyDescent="0.25">
      <c r="A1844" t="s">
        <v>19</v>
      </c>
      <c r="B1844" t="s">
        <v>25</v>
      </c>
      <c r="C1844" s="3" t="str">
        <f>IF($B1844="GW1",VLOOKUP($A1844,Matches!$A:$AC,2,FALSE),IF($B1844="GW2",VLOOKUP($A1844,Matches!$A:$AC,9,FALSE),IF($B1844="GW3",VLOOKUP($A1844,Matches!$A:$AC,16,FALSE))))</f>
        <v>Brentford</v>
      </c>
      <c r="D1844" s="6">
        <v>0.36362314097669179</v>
      </c>
      <c r="E1844" s="6">
        <v>0.3691535309535236</v>
      </c>
      <c r="F1844" s="6">
        <v>-5.5303899768318066E-3</v>
      </c>
      <c r="G1844" s="3" t="s">
        <v>1</v>
      </c>
      <c r="H1844">
        <v>0.15873015900000001</v>
      </c>
      <c r="I1844">
        <v>0.11904761899999999</v>
      </c>
      <c r="J1844">
        <v>0.13605442200000001</v>
      </c>
      <c r="K1844">
        <v>0.276595745</v>
      </c>
      <c r="L1844">
        <v>0.375</v>
      </c>
      <c r="M1844">
        <v>5.6865464999999997E-2</v>
      </c>
      <c r="N1844" t="e">
        <v>#N/A</v>
      </c>
      <c r="O1844" t="e">
        <v>#N/A</v>
      </c>
    </row>
    <row r="1845" spans="1:15" x14ac:dyDescent="0.25">
      <c r="A1845" t="s">
        <v>19</v>
      </c>
      <c r="B1845" t="s">
        <v>25</v>
      </c>
      <c r="C1845" s="3" t="str">
        <f>IF($B1845="GW1",VLOOKUP($A1845,Matches!$A:$AC,2,FALSE),IF($B1845="GW2",VLOOKUP($A1845,Matches!$A:$AC,9,FALSE),IF($B1845="GW3",VLOOKUP($A1845,Matches!$A:$AC,16,FALSE))))</f>
        <v>Brentford</v>
      </c>
      <c r="D1845" s="6">
        <v>0.36362314097669179</v>
      </c>
      <c r="E1845" s="6">
        <v>0.3691535309535236</v>
      </c>
      <c r="F1845" s="6">
        <v>-5.5303899768318066E-3</v>
      </c>
      <c r="G1845" s="3" t="s">
        <v>1</v>
      </c>
      <c r="H1845">
        <v>0.19047618999999999</v>
      </c>
      <c r="I1845">
        <v>0.13605442200000001</v>
      </c>
      <c r="J1845">
        <v>0.21994941200000001</v>
      </c>
      <c r="K1845">
        <v>0.276595745</v>
      </c>
      <c r="L1845">
        <v>0.375</v>
      </c>
      <c r="M1845">
        <v>5.6865464999999997E-2</v>
      </c>
      <c r="N1845" t="e">
        <v>#N/A</v>
      </c>
      <c r="O1845" t="e">
        <v>#N/A</v>
      </c>
    </row>
    <row r="1846" spans="1:15" x14ac:dyDescent="0.25">
      <c r="A1846" t="s">
        <v>19</v>
      </c>
      <c r="B1846" t="s">
        <v>25</v>
      </c>
      <c r="C1846" s="3" t="str">
        <f>IF($B1846="GW1",VLOOKUP($A1846,Matches!$A:$AC,2,FALSE),IF($B1846="GW2",VLOOKUP($A1846,Matches!$A:$AC,9,FALSE),IF($B1846="GW3",VLOOKUP($A1846,Matches!$A:$AC,16,FALSE))))</f>
        <v>Brentford</v>
      </c>
      <c r="D1846" s="6">
        <v>0.36362314097669179</v>
      </c>
      <c r="E1846" s="6">
        <v>0.3691535309535236</v>
      </c>
      <c r="F1846" s="6">
        <v>-5.5303899768318066E-3</v>
      </c>
      <c r="G1846" s="3" t="s">
        <v>1</v>
      </c>
      <c r="H1846">
        <v>0.14652014699999999</v>
      </c>
      <c r="I1846">
        <v>0.11904761899999999</v>
      </c>
      <c r="J1846">
        <v>0.21994941200000001</v>
      </c>
      <c r="K1846">
        <v>0.276595745</v>
      </c>
      <c r="L1846">
        <v>0.375</v>
      </c>
      <c r="M1846">
        <v>5.6865464999999997E-2</v>
      </c>
      <c r="N1846" t="e">
        <v>#N/A</v>
      </c>
      <c r="O1846" t="e">
        <v>#N/A</v>
      </c>
    </row>
    <row r="1847" spans="1:15" x14ac:dyDescent="0.25">
      <c r="A1847" t="s">
        <v>19</v>
      </c>
      <c r="B1847" t="s">
        <v>25</v>
      </c>
      <c r="C1847" s="3" t="str">
        <f>IF($B1847="GW1",VLOOKUP($A1847,Matches!$A:$AC,2,FALSE),IF($B1847="GW2",VLOOKUP($A1847,Matches!$A:$AC,9,FALSE),IF($B1847="GW3",VLOOKUP($A1847,Matches!$A:$AC,16,FALSE))))</f>
        <v>Brentford</v>
      </c>
      <c r="D1847" s="6">
        <v>0.36362314097669179</v>
      </c>
      <c r="E1847" s="6">
        <v>0.3691535309535236</v>
      </c>
      <c r="F1847" s="6">
        <v>-5.5303899768318066E-3</v>
      </c>
      <c r="G1847" s="3" t="s">
        <v>1</v>
      </c>
      <c r="H1847">
        <v>0.19047618999999999</v>
      </c>
      <c r="I1847">
        <v>0.173160173</v>
      </c>
      <c r="J1847">
        <v>0.13605442200000001</v>
      </c>
      <c r="K1847">
        <v>0.276595745</v>
      </c>
      <c r="L1847">
        <v>0.375</v>
      </c>
      <c r="M1847">
        <v>5.6865464999999997E-2</v>
      </c>
      <c r="N1847" t="e">
        <v>#N/A</v>
      </c>
      <c r="O1847" t="e">
        <v>#N/A</v>
      </c>
    </row>
    <row r="1848" spans="1:15" x14ac:dyDescent="0.25">
      <c r="A1848" t="s">
        <v>19</v>
      </c>
      <c r="B1848" t="s">
        <v>25</v>
      </c>
      <c r="C1848" s="3" t="str">
        <f>IF($B1848="GW1",VLOOKUP($A1848,Matches!$A:$AC,2,FALSE),IF($B1848="GW2",VLOOKUP($A1848,Matches!$A:$AC,9,FALSE),IF($B1848="GW3",VLOOKUP($A1848,Matches!$A:$AC,16,FALSE))))</f>
        <v>Brentford</v>
      </c>
      <c r="D1848" s="6">
        <v>0.36362314097669179</v>
      </c>
      <c r="E1848" s="6">
        <v>0.3691535309535236</v>
      </c>
      <c r="F1848" s="6">
        <v>-5.5303899768318066E-3</v>
      </c>
      <c r="G1848" s="3" t="s">
        <v>1</v>
      </c>
      <c r="H1848" t="e">
        <v>#N/A</v>
      </c>
      <c r="I1848" t="e">
        <v>#N/A</v>
      </c>
      <c r="J1848" t="e">
        <v>#N/A</v>
      </c>
      <c r="K1848">
        <v>0.276595745</v>
      </c>
      <c r="L1848">
        <v>0.375</v>
      </c>
      <c r="M1848">
        <v>5.6865464999999997E-2</v>
      </c>
      <c r="N1848" t="e">
        <v>#N/A</v>
      </c>
      <c r="O1848" t="e">
        <v>#N/A</v>
      </c>
    </row>
    <row r="1849" spans="1:15" x14ac:dyDescent="0.25">
      <c r="A1849" t="s">
        <v>19</v>
      </c>
      <c r="B1849" t="s">
        <v>25</v>
      </c>
      <c r="C1849" s="3" t="str">
        <f>IF($B1849="GW1",VLOOKUP($A1849,Matches!$A:$AC,2,FALSE),IF($B1849="GW2",VLOOKUP($A1849,Matches!$A:$AC,9,FALSE),IF($B1849="GW3",VLOOKUP($A1849,Matches!$A:$AC,16,FALSE))))</f>
        <v>Brentford</v>
      </c>
      <c r="D1849" s="6">
        <v>0.36362314097669179</v>
      </c>
      <c r="E1849" s="6">
        <v>0.3691535309535236</v>
      </c>
      <c r="F1849" s="6">
        <v>-5.5303899768318066E-3</v>
      </c>
      <c r="G1849" s="3" t="s">
        <v>1</v>
      </c>
      <c r="H1849">
        <v>0.11904761899999999</v>
      </c>
      <c r="I1849">
        <v>7.3260072999999995E-2</v>
      </c>
      <c r="J1849">
        <v>0.15873015900000001</v>
      </c>
      <c r="K1849">
        <v>0.276595745</v>
      </c>
      <c r="L1849">
        <v>0.375</v>
      </c>
      <c r="M1849">
        <v>5.6865464999999997E-2</v>
      </c>
      <c r="N1849" t="e">
        <v>#N/A</v>
      </c>
      <c r="O1849" t="e">
        <v>#N/A</v>
      </c>
    </row>
    <row r="1850" spans="1:15" x14ac:dyDescent="0.25">
      <c r="A1850" t="s">
        <v>19</v>
      </c>
      <c r="B1850" t="s">
        <v>25</v>
      </c>
      <c r="C1850" s="3" t="str">
        <f>IF($B1850="GW1",VLOOKUP($A1850,Matches!$A:$AC,2,FALSE),IF($B1850="GW2",VLOOKUP($A1850,Matches!$A:$AC,9,FALSE),IF($B1850="GW3",VLOOKUP($A1850,Matches!$A:$AC,16,FALSE))))</f>
        <v>Brentford</v>
      </c>
      <c r="D1850" s="6">
        <v>0.36362314097669179</v>
      </c>
      <c r="E1850" s="6">
        <v>0.3691535309535236</v>
      </c>
      <c r="F1850" s="6">
        <v>-5.5303899768318066E-3</v>
      </c>
      <c r="G1850" s="3" t="s">
        <v>1</v>
      </c>
      <c r="H1850" t="e">
        <v>#N/A</v>
      </c>
      <c r="I1850" t="e">
        <v>#N/A</v>
      </c>
      <c r="J1850" t="e">
        <v>#N/A</v>
      </c>
      <c r="K1850">
        <v>0.276595745</v>
      </c>
      <c r="L1850">
        <v>0.375</v>
      </c>
      <c r="M1850">
        <v>5.6865464999999997E-2</v>
      </c>
      <c r="N1850" t="e">
        <v>#N/A</v>
      </c>
      <c r="O1850" t="e">
        <v>#N/A</v>
      </c>
    </row>
    <row r="1851" spans="1:15" x14ac:dyDescent="0.25">
      <c r="A1851" t="s">
        <v>19</v>
      </c>
      <c r="B1851" t="s">
        <v>25</v>
      </c>
      <c r="C1851" s="3" t="str">
        <f>IF($B1851="GW1",VLOOKUP($A1851,Matches!$A:$AC,2,FALSE),IF($B1851="GW2",VLOOKUP($A1851,Matches!$A:$AC,9,FALSE),IF($B1851="GW3",VLOOKUP($A1851,Matches!$A:$AC,16,FALSE))))</f>
        <v>Brentford</v>
      </c>
      <c r="D1851" s="6">
        <v>0.36362314097669179</v>
      </c>
      <c r="E1851" s="6">
        <v>0.3691535309535236</v>
      </c>
      <c r="F1851" s="6">
        <v>-5.5303899768318066E-3</v>
      </c>
      <c r="G1851" s="3" t="s">
        <v>1</v>
      </c>
      <c r="H1851">
        <v>0.19047618999999999</v>
      </c>
      <c r="I1851">
        <v>0.14652014699999999</v>
      </c>
      <c r="J1851">
        <v>0.253968254</v>
      </c>
      <c r="K1851">
        <v>0.276595745</v>
      </c>
      <c r="L1851">
        <v>0.375</v>
      </c>
      <c r="M1851">
        <v>5.6865464999999997E-2</v>
      </c>
      <c r="N1851" t="e">
        <v>#N/A</v>
      </c>
      <c r="O1851" t="e">
        <v>#N/A</v>
      </c>
    </row>
    <row r="1852" spans="1:15" x14ac:dyDescent="0.25">
      <c r="A1852" t="s">
        <v>19</v>
      </c>
      <c r="B1852" t="s">
        <v>25</v>
      </c>
      <c r="C1852" s="3" t="str">
        <f>IF($B1852="GW1",VLOOKUP($A1852,Matches!$A:$AC,2,FALSE),IF($B1852="GW2",VLOOKUP($A1852,Matches!$A:$AC,9,FALSE),IF($B1852="GW3",VLOOKUP($A1852,Matches!$A:$AC,16,FALSE))))</f>
        <v>Brentford</v>
      </c>
      <c r="D1852" s="6">
        <v>0.36362314097669179</v>
      </c>
      <c r="E1852" s="6">
        <v>0.3691535309535236</v>
      </c>
      <c r="F1852" s="6">
        <v>-5.5303899768318066E-3</v>
      </c>
      <c r="G1852" s="3" t="s">
        <v>1</v>
      </c>
      <c r="H1852" t="e">
        <v>#N/A</v>
      </c>
      <c r="I1852" t="e">
        <v>#N/A</v>
      </c>
      <c r="J1852" t="e">
        <v>#N/A</v>
      </c>
      <c r="K1852">
        <v>0.276595745</v>
      </c>
      <c r="L1852">
        <v>0.375</v>
      </c>
      <c r="M1852">
        <v>5.6865464999999997E-2</v>
      </c>
      <c r="N1852" t="e">
        <v>#N/A</v>
      </c>
      <c r="O1852" t="e">
        <v>#N/A</v>
      </c>
    </row>
    <row r="1853" spans="1:15" x14ac:dyDescent="0.25">
      <c r="A1853" t="s">
        <v>19</v>
      </c>
      <c r="B1853" t="s">
        <v>25</v>
      </c>
      <c r="C1853" s="3" t="str">
        <f>IF($B1853="GW1",VLOOKUP($A1853,Matches!$A:$AC,2,FALSE),IF($B1853="GW2",VLOOKUP($A1853,Matches!$A:$AC,9,FALSE),IF($B1853="GW3",VLOOKUP($A1853,Matches!$A:$AC,16,FALSE))))</f>
        <v>Brentford</v>
      </c>
      <c r="D1853" s="6">
        <v>0.36362314097669179</v>
      </c>
      <c r="E1853" s="6">
        <v>0.3691535309535236</v>
      </c>
      <c r="F1853" s="6">
        <v>-5.5303899768318066E-3</v>
      </c>
      <c r="G1853" s="3" t="s">
        <v>1</v>
      </c>
      <c r="H1853" t="e">
        <v>#N/A</v>
      </c>
      <c r="I1853" t="e">
        <v>#N/A</v>
      </c>
      <c r="J1853" t="e">
        <v>#N/A</v>
      </c>
      <c r="K1853">
        <v>0.276595745</v>
      </c>
      <c r="L1853">
        <v>0.375</v>
      </c>
      <c r="M1853">
        <v>5.6865464999999997E-2</v>
      </c>
      <c r="N1853" t="e">
        <v>#N/A</v>
      </c>
      <c r="O1853" t="e">
        <v>#N/A</v>
      </c>
    </row>
    <row r="1854" spans="1:15" x14ac:dyDescent="0.25">
      <c r="A1854" t="s">
        <v>19</v>
      </c>
      <c r="B1854" t="s">
        <v>25</v>
      </c>
      <c r="C1854" s="3" t="str">
        <f>IF($B1854="GW1",VLOOKUP($A1854,Matches!$A:$AC,2,FALSE),IF($B1854="GW2",VLOOKUP($A1854,Matches!$A:$AC,9,FALSE),IF($B1854="GW3",VLOOKUP($A1854,Matches!$A:$AC,16,FALSE))))</f>
        <v>Brentford</v>
      </c>
      <c r="D1854" s="6">
        <v>0.36362314097669179</v>
      </c>
      <c r="E1854" s="6">
        <v>0.3691535309535236</v>
      </c>
      <c r="F1854" s="6">
        <v>-5.5303899768318066E-3</v>
      </c>
      <c r="G1854" s="3" t="s">
        <v>1</v>
      </c>
      <c r="H1854">
        <v>0.29304029300000001</v>
      </c>
      <c r="I1854">
        <v>8.6580087E-2</v>
      </c>
      <c r="J1854">
        <v>0.20050125299999999</v>
      </c>
      <c r="K1854">
        <v>0.276595745</v>
      </c>
      <c r="L1854">
        <v>0.375</v>
      </c>
      <c r="M1854">
        <v>5.6865464999999997E-2</v>
      </c>
      <c r="N1854" t="e">
        <v>#N/A</v>
      </c>
      <c r="O1854" t="e">
        <v>#N/A</v>
      </c>
    </row>
    <row r="1855" spans="1:15" x14ac:dyDescent="0.25">
      <c r="A1855" t="s">
        <v>19</v>
      </c>
      <c r="B1855" t="s">
        <v>25</v>
      </c>
      <c r="C1855" s="3" t="str">
        <f>IF($B1855="GW1",VLOOKUP($A1855,Matches!$A:$AC,2,FALSE),IF($B1855="GW2",VLOOKUP($A1855,Matches!$A:$AC,9,FALSE),IF($B1855="GW3",VLOOKUP($A1855,Matches!$A:$AC,16,FALSE))))</f>
        <v>Brentford</v>
      </c>
      <c r="D1855" s="6">
        <v>0.36362314097669179</v>
      </c>
      <c r="E1855" s="6">
        <v>0.3691535309535236</v>
      </c>
      <c r="F1855" s="6">
        <v>-5.5303899768318066E-3</v>
      </c>
      <c r="G1855" s="3" t="s">
        <v>1</v>
      </c>
      <c r="H1855" t="e">
        <v>#N/A</v>
      </c>
      <c r="I1855" t="e">
        <v>#N/A</v>
      </c>
      <c r="J1855" t="e">
        <v>#N/A</v>
      </c>
      <c r="K1855">
        <v>0.276595745</v>
      </c>
      <c r="L1855">
        <v>0.375</v>
      </c>
      <c r="M1855">
        <v>5.6865464999999997E-2</v>
      </c>
      <c r="N1855" t="e">
        <v>#N/A</v>
      </c>
      <c r="O1855" t="e">
        <v>#N/A</v>
      </c>
    </row>
    <row r="1856" spans="1:15" x14ac:dyDescent="0.25">
      <c r="A1856" t="s">
        <v>19</v>
      </c>
      <c r="B1856" t="s">
        <v>25</v>
      </c>
      <c r="C1856" s="3" t="str">
        <f>IF($B1856="GW1",VLOOKUP($A1856,Matches!$A:$AC,2,FALSE),IF($B1856="GW2",VLOOKUP($A1856,Matches!$A:$AC,9,FALSE),IF($B1856="GW3",VLOOKUP($A1856,Matches!$A:$AC,16,FALSE))))</f>
        <v>Brentford</v>
      </c>
      <c r="D1856" s="6">
        <v>0.36362314097669179</v>
      </c>
      <c r="E1856" s="6">
        <v>0.3691535309535236</v>
      </c>
      <c r="F1856" s="6">
        <v>-5.5303899768318066E-3</v>
      </c>
      <c r="G1856" s="3" t="s">
        <v>1</v>
      </c>
      <c r="H1856" t="e">
        <v>#N/A</v>
      </c>
      <c r="I1856" t="e">
        <v>#N/A</v>
      </c>
      <c r="J1856" t="e">
        <v>#N/A</v>
      </c>
      <c r="K1856">
        <v>0.276595745</v>
      </c>
      <c r="L1856">
        <v>0.375</v>
      </c>
      <c r="M1856">
        <v>5.6865464999999997E-2</v>
      </c>
      <c r="N1856" t="e">
        <v>#N/A</v>
      </c>
      <c r="O1856" t="e">
        <v>#N/A</v>
      </c>
    </row>
    <row r="1857" spans="1:15" x14ac:dyDescent="0.25">
      <c r="A1857" t="s">
        <v>19</v>
      </c>
      <c r="B1857" t="s">
        <v>25</v>
      </c>
      <c r="C1857" s="3" t="str">
        <f>IF($B1857="GW1",VLOOKUP($A1857,Matches!$A:$AC,2,FALSE),IF($B1857="GW2",VLOOKUP($A1857,Matches!$A:$AC,9,FALSE),IF($B1857="GW3",VLOOKUP($A1857,Matches!$A:$AC,16,FALSE))))</f>
        <v>Brentford</v>
      </c>
      <c r="D1857" s="6">
        <v>0.36362314097669179</v>
      </c>
      <c r="E1857" s="6">
        <v>0.3691535309535236</v>
      </c>
      <c r="F1857" s="6">
        <v>-5.5303899768318066E-3</v>
      </c>
      <c r="G1857" s="3" t="s">
        <v>1</v>
      </c>
      <c r="H1857" t="e">
        <v>#N/A</v>
      </c>
      <c r="I1857" t="e">
        <v>#N/A</v>
      </c>
      <c r="J1857" t="e">
        <v>#N/A</v>
      </c>
      <c r="K1857">
        <v>0.276595745</v>
      </c>
      <c r="L1857">
        <v>0.375</v>
      </c>
      <c r="M1857">
        <v>5.6865464999999997E-2</v>
      </c>
      <c r="N1857" t="e">
        <v>#N/A</v>
      </c>
      <c r="O1857" t="e">
        <v>#N/A</v>
      </c>
    </row>
    <row r="1858" spans="1:15" x14ac:dyDescent="0.25">
      <c r="A1858" t="s">
        <v>19</v>
      </c>
      <c r="B1858" t="s">
        <v>25</v>
      </c>
      <c r="C1858" s="3" t="str">
        <f>IF($B1858="GW1",VLOOKUP($A1858,Matches!$A:$AC,2,FALSE),IF($B1858="GW2",VLOOKUP($A1858,Matches!$A:$AC,9,FALSE),IF($B1858="GW3",VLOOKUP($A1858,Matches!$A:$AC,16,FALSE))))</f>
        <v>Brentford</v>
      </c>
      <c r="D1858" s="6">
        <v>0.36362314097669179</v>
      </c>
      <c r="E1858" s="6">
        <v>0.3691535309535236</v>
      </c>
      <c r="F1858" s="6">
        <v>-5.5303899768318066E-3</v>
      </c>
      <c r="G1858" s="3" t="s">
        <v>1</v>
      </c>
      <c r="H1858" t="e">
        <v>#N/A</v>
      </c>
      <c r="I1858" t="e">
        <v>#N/A</v>
      </c>
      <c r="J1858" t="e">
        <v>#N/A</v>
      </c>
      <c r="K1858">
        <v>0.276595745</v>
      </c>
      <c r="L1858">
        <v>0.375</v>
      </c>
      <c r="M1858">
        <v>5.6865464999999997E-2</v>
      </c>
      <c r="N1858" t="e">
        <v>#N/A</v>
      </c>
      <c r="O1858" t="e">
        <v>#N/A</v>
      </c>
    </row>
    <row r="1859" spans="1:15" x14ac:dyDescent="0.25">
      <c r="A1859" t="s">
        <v>19</v>
      </c>
      <c r="B1859" t="s">
        <v>25</v>
      </c>
      <c r="C1859" s="3" t="str">
        <f>IF($B1859="GW1",VLOOKUP($A1859,Matches!$A:$AC,2,FALSE),IF($B1859="GW2",VLOOKUP($A1859,Matches!$A:$AC,9,FALSE),IF($B1859="GW3",VLOOKUP($A1859,Matches!$A:$AC,16,FALSE))))</f>
        <v>Brentford</v>
      </c>
      <c r="D1859" s="6">
        <v>0.36362314097669179</v>
      </c>
      <c r="E1859" s="6">
        <v>0.3691535309535236</v>
      </c>
      <c r="F1859" s="6">
        <v>-5.5303899768318066E-3</v>
      </c>
      <c r="G1859" s="3" t="s">
        <v>1</v>
      </c>
      <c r="H1859">
        <v>0.11904761899999999</v>
      </c>
      <c r="I1859">
        <v>0.11904761899999999</v>
      </c>
      <c r="J1859">
        <v>0.20050125299999999</v>
      </c>
      <c r="K1859">
        <v>0.276595745</v>
      </c>
      <c r="L1859">
        <v>0.375</v>
      </c>
      <c r="M1859">
        <v>5.6865464999999997E-2</v>
      </c>
      <c r="N1859" t="e">
        <v>#N/A</v>
      </c>
      <c r="O1859" t="e">
        <v>#N/A</v>
      </c>
    </row>
    <row r="1860" spans="1:15" x14ac:dyDescent="0.25">
      <c r="A1860" t="s">
        <v>20</v>
      </c>
      <c r="B1860" t="s">
        <v>25</v>
      </c>
      <c r="C1860" s="3" t="str">
        <f>IF($B1860="GW1",VLOOKUP($A1860,Matches!$A:$AC,2,FALSE),IF($B1860="GW2",VLOOKUP($A1860,Matches!$A:$AC,9,FALSE),IF($B1860="GW3",VLOOKUP($A1860,Matches!$A:$AC,16,FALSE))))</f>
        <v>Bournemouth</v>
      </c>
      <c r="D1860" s="6">
        <v>0.57110222729868643</v>
      </c>
      <c r="E1860" s="6">
        <v>0.21060168902554596</v>
      </c>
      <c r="F1860" s="6">
        <v>0.36050053827314044</v>
      </c>
      <c r="G1860" s="3" t="s">
        <v>1</v>
      </c>
      <c r="H1860" t="e">
        <v>#N/A</v>
      </c>
      <c r="I1860" t="e">
        <v>#N/A</v>
      </c>
      <c r="J1860">
        <v>0.253968254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</row>
    <row r="1861" spans="1:15" x14ac:dyDescent="0.25">
      <c r="A1861" t="s">
        <v>20</v>
      </c>
      <c r="B1861" t="s">
        <v>25</v>
      </c>
      <c r="C1861" s="3" t="str">
        <f>IF($B1861="GW1",VLOOKUP($A1861,Matches!$A:$AC,2,FALSE),IF($B1861="GW2",VLOOKUP($A1861,Matches!$A:$AC,9,FALSE),IF($B1861="GW3",VLOOKUP($A1861,Matches!$A:$AC,16,FALSE))))</f>
        <v>Bournemouth</v>
      </c>
      <c r="D1861" s="6">
        <v>0.57110222729868643</v>
      </c>
      <c r="E1861" s="6">
        <v>0.21060168902554596</v>
      </c>
      <c r="F1861" s="6">
        <v>0.36050053827314044</v>
      </c>
      <c r="G1861" s="3" t="s">
        <v>1</v>
      </c>
      <c r="H1861" t="e">
        <v>#N/A</v>
      </c>
      <c r="I1861" t="e">
        <v>#N/A</v>
      </c>
      <c r="J1861">
        <v>0.173160173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</row>
    <row r="1862" spans="1:15" x14ac:dyDescent="0.25">
      <c r="A1862" t="s">
        <v>20</v>
      </c>
      <c r="B1862" t="s">
        <v>25</v>
      </c>
      <c r="C1862" s="3" t="str">
        <f>IF($B1862="GW1",VLOOKUP($A1862,Matches!$A:$AC,2,FALSE),IF($B1862="GW2",VLOOKUP($A1862,Matches!$A:$AC,9,FALSE),IF($B1862="GW3",VLOOKUP($A1862,Matches!$A:$AC,16,FALSE))))</f>
        <v>Bournemouth</v>
      </c>
      <c r="D1862" s="6">
        <v>0.57110222729868643</v>
      </c>
      <c r="E1862" s="6">
        <v>0.21060168902554596</v>
      </c>
      <c r="F1862" s="6">
        <v>0.36050053827314044</v>
      </c>
      <c r="G1862" s="3" t="s">
        <v>1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</row>
    <row r="1863" spans="1:15" x14ac:dyDescent="0.25">
      <c r="A1863" t="s">
        <v>20</v>
      </c>
      <c r="B1863" t="s">
        <v>25</v>
      </c>
      <c r="C1863" s="3" t="str">
        <f>IF($B1863="GW1",VLOOKUP($A1863,Matches!$A:$AC,2,FALSE),IF($B1863="GW2",VLOOKUP($A1863,Matches!$A:$AC,9,FALSE),IF($B1863="GW3",VLOOKUP($A1863,Matches!$A:$AC,16,FALSE))))</f>
        <v>Bournemouth</v>
      </c>
      <c r="D1863" s="6">
        <v>0.57110222729868643</v>
      </c>
      <c r="E1863" s="6">
        <v>0.21060168902554596</v>
      </c>
      <c r="F1863" s="6">
        <v>0.36050053827314044</v>
      </c>
      <c r="G1863" s="3" t="s">
        <v>1</v>
      </c>
      <c r="H1863">
        <v>0.13605442200000001</v>
      </c>
      <c r="I1863">
        <v>0.19047618999999999</v>
      </c>
      <c r="J1863">
        <v>0.253968254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</row>
    <row r="1864" spans="1:15" x14ac:dyDescent="0.25">
      <c r="A1864" t="s">
        <v>20</v>
      </c>
      <c r="B1864" t="s">
        <v>25</v>
      </c>
      <c r="C1864" s="3" t="str">
        <f>IF($B1864="GW1",VLOOKUP($A1864,Matches!$A:$AC,2,FALSE),IF($B1864="GW2",VLOOKUP($A1864,Matches!$A:$AC,9,FALSE),IF($B1864="GW3",VLOOKUP($A1864,Matches!$A:$AC,16,FALSE))))</f>
        <v>Bournemouth</v>
      </c>
      <c r="D1864" s="6">
        <v>0.57110222729868643</v>
      </c>
      <c r="E1864" s="6">
        <v>0.21060168902554596</v>
      </c>
      <c r="F1864" s="6">
        <v>0.36050053827314044</v>
      </c>
      <c r="G1864" s="3" t="s">
        <v>1</v>
      </c>
      <c r="H1864">
        <v>0.112044818</v>
      </c>
      <c r="I1864">
        <v>3.2840722000000003E-2</v>
      </c>
      <c r="J1864">
        <v>0.33184005300000002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</row>
    <row r="1865" spans="1:15" x14ac:dyDescent="0.25">
      <c r="A1865" t="s">
        <v>20</v>
      </c>
      <c r="B1865" t="s">
        <v>25</v>
      </c>
      <c r="C1865" s="3" t="str">
        <f>IF($B1865="GW1",VLOOKUP($A1865,Matches!$A:$AC,2,FALSE),IF($B1865="GW2",VLOOKUP($A1865,Matches!$A:$AC,9,FALSE),IF($B1865="GW3",VLOOKUP($A1865,Matches!$A:$AC,16,FALSE))))</f>
        <v>Bournemouth</v>
      </c>
      <c r="D1865" s="6">
        <v>0.57110222729868643</v>
      </c>
      <c r="E1865" s="6">
        <v>0.21060168902554596</v>
      </c>
      <c r="F1865" s="6">
        <v>0.36050053827314044</v>
      </c>
      <c r="G1865" s="3" t="s">
        <v>1</v>
      </c>
      <c r="H1865">
        <v>0.112044818</v>
      </c>
      <c r="I1865">
        <v>6.3492063000000001E-2</v>
      </c>
      <c r="J1865">
        <v>0.27210884400000002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</row>
    <row r="1866" spans="1:15" x14ac:dyDescent="0.25">
      <c r="A1866" t="s">
        <v>20</v>
      </c>
      <c r="B1866" t="s">
        <v>25</v>
      </c>
      <c r="C1866" s="3" t="str">
        <f>IF($B1866="GW1",VLOOKUP($A1866,Matches!$A:$AC,2,FALSE),IF($B1866="GW2",VLOOKUP($A1866,Matches!$A:$AC,9,FALSE),IF($B1866="GW3",VLOOKUP($A1866,Matches!$A:$AC,16,FALSE))))</f>
        <v>Bournemouth</v>
      </c>
      <c r="D1866" s="6">
        <v>0.57110222729868643</v>
      </c>
      <c r="E1866" s="6">
        <v>0.21060168902554596</v>
      </c>
      <c r="F1866" s="6">
        <v>0.36050053827314044</v>
      </c>
      <c r="G1866" s="3" t="s">
        <v>1</v>
      </c>
      <c r="H1866">
        <v>7.3260072999999995E-2</v>
      </c>
      <c r="I1866">
        <v>4.5351474000000003E-2</v>
      </c>
      <c r="J1866">
        <v>0.253968254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</row>
    <row r="1867" spans="1:15" x14ac:dyDescent="0.25">
      <c r="A1867" t="s">
        <v>20</v>
      </c>
      <c r="B1867" t="s">
        <v>25</v>
      </c>
      <c r="C1867" s="3" t="str">
        <f>IF($B1867="GW1",VLOOKUP($A1867,Matches!$A:$AC,2,FALSE),IF($B1867="GW2",VLOOKUP($A1867,Matches!$A:$AC,9,FALSE),IF($B1867="GW3",VLOOKUP($A1867,Matches!$A:$AC,16,FALSE))))</f>
        <v>Bournemouth</v>
      </c>
      <c r="D1867" s="6">
        <v>0.57110222729868643</v>
      </c>
      <c r="E1867" s="6">
        <v>0.21060168902554596</v>
      </c>
      <c r="F1867" s="6">
        <v>0.36050053827314044</v>
      </c>
      <c r="G1867" s="3" t="s">
        <v>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</row>
    <row r="1868" spans="1:15" x14ac:dyDescent="0.25">
      <c r="A1868" t="s">
        <v>20</v>
      </c>
      <c r="B1868" t="s">
        <v>25</v>
      </c>
      <c r="C1868" s="3" t="str">
        <f>IF($B1868="GW1",VLOOKUP($A1868,Matches!$A:$AC,2,FALSE),IF($B1868="GW2",VLOOKUP($A1868,Matches!$A:$AC,9,FALSE),IF($B1868="GW3",VLOOKUP($A1868,Matches!$A:$AC,16,FALSE))))</f>
        <v>Bournemouth</v>
      </c>
      <c r="D1868" s="6">
        <v>0.57110222729868643</v>
      </c>
      <c r="E1868" s="6">
        <v>0.21060168902554596</v>
      </c>
      <c r="F1868" s="6">
        <v>0.36050053827314044</v>
      </c>
      <c r="G1868" s="3" t="s">
        <v>1</v>
      </c>
      <c r="H1868">
        <v>0.10025062699999999</v>
      </c>
      <c r="I1868">
        <v>0.11904761899999999</v>
      </c>
      <c r="J1868">
        <v>0.21994941200000001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</row>
    <row r="1869" spans="1:15" x14ac:dyDescent="0.25">
      <c r="A1869" t="s">
        <v>20</v>
      </c>
      <c r="B1869" t="s">
        <v>25</v>
      </c>
      <c r="C1869" s="3" t="str">
        <f>IF($B1869="GW1",VLOOKUP($A1869,Matches!$A:$AC,2,FALSE),IF($B1869="GW2",VLOOKUP($A1869,Matches!$A:$AC,9,FALSE),IF($B1869="GW3",VLOOKUP($A1869,Matches!$A:$AC,16,FALSE))))</f>
        <v>Bournemouth</v>
      </c>
      <c r="D1869" s="6">
        <v>0.57110222729868643</v>
      </c>
      <c r="E1869" s="6">
        <v>0.21060168902554596</v>
      </c>
      <c r="F1869" s="6">
        <v>0.36050053827314044</v>
      </c>
      <c r="G1869" s="3" t="s">
        <v>1</v>
      </c>
      <c r="H1869">
        <v>0.112044818</v>
      </c>
      <c r="I1869">
        <v>0.11904761899999999</v>
      </c>
      <c r="J1869">
        <v>0.307219662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</row>
    <row r="1870" spans="1:15" x14ac:dyDescent="0.25">
      <c r="A1870" t="s">
        <v>20</v>
      </c>
      <c r="B1870" t="s">
        <v>25</v>
      </c>
      <c r="C1870" s="3" t="str">
        <f>IF($B1870="GW1",VLOOKUP($A1870,Matches!$A:$AC,2,FALSE),IF($B1870="GW2",VLOOKUP($A1870,Matches!$A:$AC,9,FALSE),IF($B1870="GW3",VLOOKUP($A1870,Matches!$A:$AC,16,FALSE))))</f>
        <v>Bournemouth</v>
      </c>
      <c r="D1870" s="6">
        <v>0.57110222729868643</v>
      </c>
      <c r="E1870" s="6">
        <v>0.21060168902554596</v>
      </c>
      <c r="F1870" s="6">
        <v>0.36050053827314044</v>
      </c>
      <c r="G1870" s="3" t="s">
        <v>1</v>
      </c>
      <c r="H1870">
        <v>7.3260072999999995E-2</v>
      </c>
      <c r="I1870">
        <v>3.2840722000000003E-2</v>
      </c>
      <c r="J1870">
        <v>0.253968254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</row>
    <row r="1871" spans="1:15" x14ac:dyDescent="0.25">
      <c r="A1871" t="s">
        <v>20</v>
      </c>
      <c r="B1871" t="s">
        <v>25</v>
      </c>
      <c r="C1871" s="3" t="str">
        <f>IF($B1871="GW1",VLOOKUP($A1871,Matches!$A:$AC,2,FALSE),IF($B1871="GW2",VLOOKUP($A1871,Matches!$A:$AC,9,FALSE),IF($B1871="GW3",VLOOKUP($A1871,Matches!$A:$AC,16,FALSE))))</f>
        <v>Bournemouth</v>
      </c>
      <c r="D1871" s="6">
        <v>0.57110222729868643</v>
      </c>
      <c r="E1871" s="6">
        <v>0.21060168902554596</v>
      </c>
      <c r="F1871" s="6">
        <v>0.36050053827314044</v>
      </c>
      <c r="G1871" s="3" t="s">
        <v>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</row>
    <row r="1872" spans="1:15" x14ac:dyDescent="0.25">
      <c r="A1872" t="s">
        <v>20</v>
      </c>
      <c r="B1872" t="s">
        <v>25</v>
      </c>
      <c r="C1872" s="3" t="str">
        <f>IF($B1872="GW1",VLOOKUP($A1872,Matches!$A:$AC,2,FALSE),IF($B1872="GW2",VLOOKUP($A1872,Matches!$A:$AC,9,FALSE),IF($B1872="GW3",VLOOKUP($A1872,Matches!$A:$AC,16,FALSE))))</f>
        <v>Bournemouth</v>
      </c>
      <c r="D1872" s="6">
        <v>0.57110222729868643</v>
      </c>
      <c r="E1872" s="6">
        <v>0.21060168902554596</v>
      </c>
      <c r="F1872" s="6">
        <v>0.36050053827314044</v>
      </c>
      <c r="G1872" s="3" t="s">
        <v>1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</row>
    <row r="1873" spans="1:15" x14ac:dyDescent="0.25">
      <c r="A1873" t="s">
        <v>20</v>
      </c>
      <c r="B1873" t="s">
        <v>25</v>
      </c>
      <c r="C1873" s="3" t="str">
        <f>IF($B1873="GW1",VLOOKUP($A1873,Matches!$A:$AC,2,FALSE),IF($B1873="GW2",VLOOKUP($A1873,Matches!$A:$AC,9,FALSE),IF($B1873="GW3",VLOOKUP($A1873,Matches!$A:$AC,16,FALSE))))</f>
        <v>Bournemouth</v>
      </c>
      <c r="D1873" s="6">
        <v>0.57110222729868643</v>
      </c>
      <c r="E1873" s="6">
        <v>0.21060168902554596</v>
      </c>
      <c r="F1873" s="6">
        <v>0.36050053827314044</v>
      </c>
      <c r="G1873" s="3" t="s">
        <v>1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</row>
    <row r="1874" spans="1:15" x14ac:dyDescent="0.25">
      <c r="A1874" t="s">
        <v>20</v>
      </c>
      <c r="B1874" t="s">
        <v>25</v>
      </c>
      <c r="C1874" s="3" t="str">
        <f>IF($B1874="GW1",VLOOKUP($A1874,Matches!$A:$AC,2,FALSE),IF($B1874="GW2",VLOOKUP($A1874,Matches!$A:$AC,9,FALSE),IF($B1874="GW3",VLOOKUP($A1874,Matches!$A:$AC,16,FALSE))))</f>
        <v>Bournemouth</v>
      </c>
      <c r="D1874" s="6">
        <v>0.57110222729868643</v>
      </c>
      <c r="E1874" s="6">
        <v>0.21060168902554596</v>
      </c>
      <c r="F1874" s="6">
        <v>0.36050053827314044</v>
      </c>
      <c r="G1874" s="3" t="s">
        <v>1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</row>
    <row r="1875" spans="1:15" x14ac:dyDescent="0.25">
      <c r="A1875" t="s">
        <v>20</v>
      </c>
      <c r="B1875" t="s">
        <v>25</v>
      </c>
      <c r="C1875" s="3" t="str">
        <f>IF($B1875="GW1",VLOOKUP($A1875,Matches!$A:$AC,2,FALSE),IF($B1875="GW2",VLOOKUP($A1875,Matches!$A:$AC,9,FALSE),IF($B1875="GW3",VLOOKUP($A1875,Matches!$A:$AC,16,FALSE))))</f>
        <v>Bournemouth</v>
      </c>
      <c r="D1875" s="6">
        <v>0.57110222729868643</v>
      </c>
      <c r="E1875" s="6">
        <v>0.21060168902554596</v>
      </c>
      <c r="F1875" s="6">
        <v>0.36050053827314044</v>
      </c>
      <c r="G1875" s="3" t="s">
        <v>1</v>
      </c>
      <c r="H1875">
        <v>0.31746031699999999</v>
      </c>
      <c r="I1875">
        <v>0.19047618999999999</v>
      </c>
      <c r="J1875">
        <v>0.13605442200000001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</row>
    <row r="1876" spans="1:15" x14ac:dyDescent="0.25">
      <c r="A1876" t="s">
        <v>20</v>
      </c>
      <c r="B1876" t="s">
        <v>25</v>
      </c>
      <c r="C1876" s="3" t="str">
        <f>IF($B1876="GW1",VLOOKUP($A1876,Matches!$A:$AC,2,FALSE),IF($B1876="GW2",VLOOKUP($A1876,Matches!$A:$AC,9,FALSE),IF($B1876="GW3",VLOOKUP($A1876,Matches!$A:$AC,16,FALSE))))</f>
        <v>Bournemouth</v>
      </c>
      <c r="D1876" s="6">
        <v>0.57110222729868643</v>
      </c>
      <c r="E1876" s="6">
        <v>0.21060168902554596</v>
      </c>
      <c r="F1876" s="6">
        <v>0.36050053827314044</v>
      </c>
      <c r="G1876" s="3" t="s">
        <v>1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</row>
    <row r="1877" spans="1:15" x14ac:dyDescent="0.25">
      <c r="A1877" t="s">
        <v>20</v>
      </c>
      <c r="B1877" t="s">
        <v>25</v>
      </c>
      <c r="C1877" s="3" t="str">
        <f>IF($B1877="GW1",VLOOKUP($A1877,Matches!$A:$AC,2,FALSE),IF($B1877="GW2",VLOOKUP($A1877,Matches!$A:$AC,9,FALSE),IF($B1877="GW3",VLOOKUP($A1877,Matches!$A:$AC,16,FALSE))))</f>
        <v>Bournemouth</v>
      </c>
      <c r="D1877" s="6">
        <v>0.57110222729868643</v>
      </c>
      <c r="E1877" s="6">
        <v>0.21060168902554596</v>
      </c>
      <c r="F1877" s="6">
        <v>0.36050053827314044</v>
      </c>
      <c r="G1877" s="3" t="s">
        <v>1</v>
      </c>
      <c r="H1877">
        <v>0.307219662</v>
      </c>
      <c r="I1877">
        <v>0.19047618999999999</v>
      </c>
      <c r="J1877">
        <v>0.20050125299999999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</row>
    <row r="1878" spans="1:15" x14ac:dyDescent="0.25">
      <c r="A1878" t="s">
        <v>20</v>
      </c>
      <c r="B1878" t="s">
        <v>25</v>
      </c>
      <c r="C1878" s="3" t="str">
        <f>IF($B1878="GW1",VLOOKUP($A1878,Matches!$A:$AC,2,FALSE),IF($B1878="GW2",VLOOKUP($A1878,Matches!$A:$AC,9,FALSE),IF($B1878="GW3",VLOOKUP($A1878,Matches!$A:$AC,16,FALSE))))</f>
        <v>Bournemouth</v>
      </c>
      <c r="D1878" s="6">
        <v>0.57110222729868643</v>
      </c>
      <c r="E1878" s="6">
        <v>0.21060168902554596</v>
      </c>
      <c r="F1878" s="6">
        <v>0.36050053827314044</v>
      </c>
      <c r="G1878" s="3" t="s">
        <v>1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</row>
    <row r="1879" spans="1:15" x14ac:dyDescent="0.25">
      <c r="A1879" t="s">
        <v>20</v>
      </c>
      <c r="B1879" t="s">
        <v>25</v>
      </c>
      <c r="C1879" s="3" t="str">
        <f>IF($B1879="GW1",VLOOKUP($A1879,Matches!$A:$AC,2,FALSE),IF($B1879="GW2",VLOOKUP($A1879,Matches!$A:$AC,9,FALSE),IF($B1879="GW3",VLOOKUP($A1879,Matches!$A:$AC,16,FALSE))))</f>
        <v>Bournemouth</v>
      </c>
      <c r="D1879" s="6">
        <v>0.57110222729868643</v>
      </c>
      <c r="E1879" s="6">
        <v>0.21060168902554596</v>
      </c>
      <c r="F1879" s="6">
        <v>0.36050053827314044</v>
      </c>
      <c r="G1879" s="3" t="s">
        <v>1</v>
      </c>
      <c r="H1879">
        <v>0.346320346</v>
      </c>
      <c r="I1879">
        <v>0.173160173</v>
      </c>
      <c r="J1879">
        <v>0.21994941200000001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</row>
    <row r="1880" spans="1:15" x14ac:dyDescent="0.25">
      <c r="A1880" t="s">
        <v>20</v>
      </c>
      <c r="B1880" t="s">
        <v>25</v>
      </c>
      <c r="C1880" s="3" t="str">
        <f>IF($B1880="GW1",VLOOKUP($A1880,Matches!$A:$AC,2,FALSE),IF($B1880="GW2",VLOOKUP($A1880,Matches!$A:$AC,9,FALSE),IF($B1880="GW3",VLOOKUP($A1880,Matches!$A:$AC,16,FALSE))))</f>
        <v>Bournemouth</v>
      </c>
      <c r="D1880" s="6">
        <v>0.57110222729868643</v>
      </c>
      <c r="E1880" s="6">
        <v>0.21060168902554596</v>
      </c>
      <c r="F1880" s="6">
        <v>0.36050053827314044</v>
      </c>
      <c r="G1880" s="3" t="s">
        <v>1</v>
      </c>
      <c r="H1880">
        <v>0.13605442200000001</v>
      </c>
      <c r="I1880">
        <v>8.6580087E-2</v>
      </c>
      <c r="J1880">
        <v>0.38095238100000001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</row>
    <row r="1881" spans="1:15" x14ac:dyDescent="0.25">
      <c r="A1881" t="s">
        <v>20</v>
      </c>
      <c r="B1881" t="s">
        <v>25</v>
      </c>
      <c r="C1881" s="3" t="str">
        <f>IF($B1881="GW1",VLOOKUP($A1881,Matches!$A:$AC,2,FALSE),IF($B1881="GW2",VLOOKUP($A1881,Matches!$A:$AC,9,FALSE),IF($B1881="GW3",VLOOKUP($A1881,Matches!$A:$AC,16,FALSE))))</f>
        <v>Bournemouth</v>
      </c>
      <c r="D1881" s="6">
        <v>0.57110222729868643</v>
      </c>
      <c r="E1881" s="6">
        <v>0.21060168902554596</v>
      </c>
      <c r="F1881" s="6">
        <v>0.36050053827314044</v>
      </c>
      <c r="G1881" s="3" t="s">
        <v>1</v>
      </c>
      <c r="H1881">
        <v>0.15873015900000001</v>
      </c>
      <c r="I1881">
        <v>9.5238094999999995E-2</v>
      </c>
      <c r="J1881">
        <v>0.307219662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</row>
    <row r="1882" spans="1:15" x14ac:dyDescent="0.25">
      <c r="A1882" t="s">
        <v>20</v>
      </c>
      <c r="B1882" t="s">
        <v>25</v>
      </c>
      <c r="C1882" s="3" t="str">
        <f>IF($B1882="GW1",VLOOKUP($A1882,Matches!$A:$AC,2,FALSE),IF($B1882="GW2",VLOOKUP($A1882,Matches!$A:$AC,9,FALSE),IF($B1882="GW3",VLOOKUP($A1882,Matches!$A:$AC,16,FALSE))))</f>
        <v>Bournemouth</v>
      </c>
      <c r="D1882" s="6">
        <v>0.57110222729868643</v>
      </c>
      <c r="E1882" s="6">
        <v>0.21060168902554596</v>
      </c>
      <c r="F1882" s="6">
        <v>0.36050053827314044</v>
      </c>
      <c r="G1882" s="3" t="s">
        <v>1</v>
      </c>
      <c r="H1882">
        <v>0.15873015900000001</v>
      </c>
      <c r="I1882">
        <v>7.3260072999999995E-2</v>
      </c>
      <c r="J1882">
        <v>0.346320346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</row>
    <row r="1883" spans="1:15" x14ac:dyDescent="0.25">
      <c r="A1883" t="s">
        <v>20</v>
      </c>
      <c r="B1883" t="s">
        <v>25</v>
      </c>
      <c r="C1883" s="3" t="str">
        <f>IF($B1883="GW1",VLOOKUP($A1883,Matches!$A:$AC,2,FALSE),IF($B1883="GW2",VLOOKUP($A1883,Matches!$A:$AC,9,FALSE),IF($B1883="GW3",VLOOKUP($A1883,Matches!$A:$AC,16,FALSE))))</f>
        <v>Bournemouth</v>
      </c>
      <c r="D1883" s="6">
        <v>0.57110222729868643</v>
      </c>
      <c r="E1883" s="6">
        <v>0.21060168902554596</v>
      </c>
      <c r="F1883" s="6">
        <v>0.36050053827314044</v>
      </c>
      <c r="G1883" s="3" t="s">
        <v>1</v>
      </c>
      <c r="H1883">
        <v>0.29304029300000001</v>
      </c>
      <c r="I1883">
        <v>0.19047618999999999</v>
      </c>
      <c r="J1883">
        <v>0.253968254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</row>
    <row r="1884" spans="1:15" x14ac:dyDescent="0.25">
      <c r="A1884" t="s">
        <v>20</v>
      </c>
      <c r="B1884" t="s">
        <v>25</v>
      </c>
      <c r="C1884" s="3" t="str">
        <f>IF($B1884="GW1",VLOOKUP($A1884,Matches!$A:$AC,2,FALSE),IF($B1884="GW2",VLOOKUP($A1884,Matches!$A:$AC,9,FALSE),IF($B1884="GW3",VLOOKUP($A1884,Matches!$A:$AC,16,FALSE))))</f>
        <v>Bournemouth</v>
      </c>
      <c r="D1884" s="6">
        <v>0.57110222729868643</v>
      </c>
      <c r="E1884" s="6">
        <v>0.21060168902554596</v>
      </c>
      <c r="F1884" s="6">
        <v>0.36050053827314044</v>
      </c>
      <c r="G1884" s="3" t="s">
        <v>1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</row>
    <row r="1885" spans="1:15" x14ac:dyDescent="0.25">
      <c r="A1885" t="s">
        <v>20</v>
      </c>
      <c r="B1885" t="s">
        <v>25</v>
      </c>
      <c r="C1885" s="3" t="str">
        <f>IF($B1885="GW1",VLOOKUP($A1885,Matches!$A:$AC,2,FALSE),IF($B1885="GW2",VLOOKUP($A1885,Matches!$A:$AC,9,FALSE),IF($B1885="GW3",VLOOKUP($A1885,Matches!$A:$AC,16,FALSE))))</f>
        <v>Bournemouth</v>
      </c>
      <c r="D1885" s="6">
        <v>0.57110222729868643</v>
      </c>
      <c r="E1885" s="6">
        <v>0.21060168902554596</v>
      </c>
      <c r="F1885" s="6">
        <v>0.36050053827314044</v>
      </c>
      <c r="G1885" s="3" t="s">
        <v>1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</row>
    <row r="1886" spans="1:15" x14ac:dyDescent="0.25">
      <c r="A1886" t="s">
        <v>20</v>
      </c>
      <c r="B1886" t="s">
        <v>25</v>
      </c>
      <c r="C1886" s="3" t="str">
        <f>IF($B1886="GW1",VLOOKUP($A1886,Matches!$A:$AC,2,FALSE),IF($B1886="GW2",VLOOKUP($A1886,Matches!$A:$AC,9,FALSE),IF($B1886="GW3",VLOOKUP($A1886,Matches!$A:$AC,16,FALSE))))</f>
        <v>Bournemouth</v>
      </c>
      <c r="D1886" s="6">
        <v>0.57110222729868643</v>
      </c>
      <c r="E1886" s="6">
        <v>0.21060168902554596</v>
      </c>
      <c r="F1886" s="6">
        <v>0.36050053827314044</v>
      </c>
      <c r="G1886" s="3" t="s">
        <v>1</v>
      </c>
      <c r="H1886">
        <v>0.112044818</v>
      </c>
      <c r="I1886">
        <v>0.105820106</v>
      </c>
      <c r="J1886">
        <v>0.253968254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</row>
    <row r="1887" spans="1:15" x14ac:dyDescent="0.25">
      <c r="A1887" t="s">
        <v>20</v>
      </c>
      <c r="B1887" t="s">
        <v>25</v>
      </c>
      <c r="C1887" s="3" t="str">
        <f>IF($B1887="GW1",VLOOKUP($A1887,Matches!$A:$AC,2,FALSE),IF($B1887="GW2",VLOOKUP($A1887,Matches!$A:$AC,9,FALSE),IF($B1887="GW3",VLOOKUP($A1887,Matches!$A:$AC,16,FALSE))))</f>
        <v>Bournemouth</v>
      </c>
      <c r="D1887" s="6">
        <v>0.57110222729868643</v>
      </c>
      <c r="E1887" s="6">
        <v>0.21060168902554596</v>
      </c>
      <c r="F1887" s="6">
        <v>0.36050053827314044</v>
      </c>
      <c r="G1887" s="3" t="s">
        <v>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</row>
    <row r="1888" spans="1:15" x14ac:dyDescent="0.25">
      <c r="A1888" t="s">
        <v>20</v>
      </c>
      <c r="B1888" t="s">
        <v>25</v>
      </c>
      <c r="C1888" s="3" t="str">
        <f>IF($B1888="GW1",VLOOKUP($A1888,Matches!$A:$AC,2,FALSE),IF($B1888="GW2",VLOOKUP($A1888,Matches!$A:$AC,9,FALSE),IF($B1888="GW3",VLOOKUP($A1888,Matches!$A:$AC,16,FALSE))))</f>
        <v>Bournemouth</v>
      </c>
      <c r="D1888" s="6">
        <v>0.57110222729868643</v>
      </c>
      <c r="E1888" s="6">
        <v>0.21060168902554596</v>
      </c>
      <c r="F1888" s="6">
        <v>0.36050053827314044</v>
      </c>
      <c r="G1888" s="3" t="s">
        <v>1</v>
      </c>
      <c r="H1888">
        <v>0.19047618999999999</v>
      </c>
      <c r="I1888">
        <v>9.5238094999999995E-2</v>
      </c>
      <c r="J1888">
        <v>0.27210884400000002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</row>
    <row r="1889" spans="1:15" x14ac:dyDescent="0.25">
      <c r="A1889" t="s">
        <v>20</v>
      </c>
      <c r="B1889" t="s">
        <v>25</v>
      </c>
      <c r="C1889" s="3" t="str">
        <f>IF($B1889="GW1",VLOOKUP($A1889,Matches!$A:$AC,2,FALSE),IF($B1889="GW2",VLOOKUP($A1889,Matches!$A:$AC,9,FALSE),IF($B1889="GW3",VLOOKUP($A1889,Matches!$A:$AC,16,FALSE))))</f>
        <v>Bournemouth</v>
      </c>
      <c r="D1889" s="6">
        <v>0.57110222729868643</v>
      </c>
      <c r="E1889" s="6">
        <v>0.21060168902554596</v>
      </c>
      <c r="F1889" s="6">
        <v>0.36050053827314044</v>
      </c>
      <c r="G1889" s="3" t="s">
        <v>1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</row>
    <row r="1890" spans="1:15" x14ac:dyDescent="0.25">
      <c r="A1890" t="s">
        <v>20</v>
      </c>
      <c r="B1890" t="s">
        <v>25</v>
      </c>
      <c r="C1890" s="3" t="str">
        <f>IF($B1890="GW1",VLOOKUP($A1890,Matches!$A:$AC,2,FALSE),IF($B1890="GW2",VLOOKUP($A1890,Matches!$A:$AC,9,FALSE),IF($B1890="GW3",VLOOKUP($A1890,Matches!$A:$AC,16,FALSE))))</f>
        <v>Bournemouth</v>
      </c>
      <c r="D1890" s="6">
        <v>0.57110222729868643</v>
      </c>
      <c r="E1890" s="6">
        <v>0.21060168902554596</v>
      </c>
      <c r="F1890" s="6">
        <v>0.36050053827314044</v>
      </c>
      <c r="G1890" s="3" t="s">
        <v>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</row>
    <row r="1891" spans="1:15" x14ac:dyDescent="0.25">
      <c r="A1891" t="s">
        <v>20</v>
      </c>
      <c r="B1891" t="s">
        <v>25</v>
      </c>
      <c r="C1891" s="3" t="str">
        <f>IF($B1891="GW1",VLOOKUP($A1891,Matches!$A:$AC,2,FALSE),IF($B1891="GW2",VLOOKUP($A1891,Matches!$A:$AC,9,FALSE),IF($B1891="GW3",VLOOKUP($A1891,Matches!$A:$AC,16,FALSE))))</f>
        <v>Bournemouth</v>
      </c>
      <c r="D1891" s="6">
        <v>0.57110222729868643</v>
      </c>
      <c r="E1891" s="6">
        <v>0.21060168902554596</v>
      </c>
      <c r="F1891" s="6">
        <v>0.36050053827314044</v>
      </c>
      <c r="G1891" s="3" t="s">
        <v>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</row>
    <row r="1892" spans="1:15" x14ac:dyDescent="0.25">
      <c r="A1892" t="s">
        <v>20</v>
      </c>
      <c r="B1892" t="s">
        <v>25</v>
      </c>
      <c r="C1892" s="3" t="str">
        <f>IF($B1892="GW1",VLOOKUP($A1892,Matches!$A:$AC,2,FALSE),IF($B1892="GW2",VLOOKUP($A1892,Matches!$A:$AC,9,FALSE),IF($B1892="GW3",VLOOKUP($A1892,Matches!$A:$AC,16,FALSE))))</f>
        <v>Bournemouth</v>
      </c>
      <c r="D1892" s="6">
        <v>0.57110222729868643</v>
      </c>
      <c r="E1892" s="6">
        <v>0.21060168902554596</v>
      </c>
      <c r="F1892" s="6">
        <v>0.36050053827314044</v>
      </c>
      <c r="G1892" s="3" t="s">
        <v>1</v>
      </c>
      <c r="H1892">
        <v>0.41407867500000001</v>
      </c>
      <c r="I1892">
        <v>0.21994941200000001</v>
      </c>
      <c r="J1892">
        <v>0.20050125299999999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</row>
    <row r="1893" spans="1:15" x14ac:dyDescent="0.25">
      <c r="A1893" t="s">
        <v>20</v>
      </c>
      <c r="B1893" t="s">
        <v>25</v>
      </c>
      <c r="C1893" s="3" t="str">
        <f>IF($B1893="GW1",VLOOKUP($A1893,Matches!$A:$AC,2,FALSE),IF($B1893="GW2",VLOOKUP($A1893,Matches!$A:$AC,9,FALSE),IF($B1893="GW3",VLOOKUP($A1893,Matches!$A:$AC,16,FALSE))))</f>
        <v>Bournemouth</v>
      </c>
      <c r="D1893" s="6">
        <v>0.57110222729868643</v>
      </c>
      <c r="E1893" s="6">
        <v>0.21060168902554596</v>
      </c>
      <c r="F1893" s="6">
        <v>0.36050053827314044</v>
      </c>
      <c r="G1893" s="3" t="s">
        <v>1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</row>
    <row r="1894" spans="1:15" x14ac:dyDescent="0.25">
      <c r="A1894" t="s">
        <v>20</v>
      </c>
      <c r="B1894" t="s">
        <v>25</v>
      </c>
      <c r="C1894" s="3" t="str">
        <f>IF($B1894="GW1",VLOOKUP($A1894,Matches!$A:$AC,2,FALSE),IF($B1894="GW2",VLOOKUP($A1894,Matches!$A:$AC,9,FALSE),IF($B1894="GW3",VLOOKUP($A1894,Matches!$A:$AC,16,FALSE))))</f>
        <v>Bournemouth</v>
      </c>
      <c r="D1894" s="6">
        <v>0.57110222729868643</v>
      </c>
      <c r="E1894" s="6">
        <v>0.21060168902554596</v>
      </c>
      <c r="F1894" s="6">
        <v>0.36050053827314044</v>
      </c>
      <c r="G1894" s="3" t="s">
        <v>1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</row>
    <row r="1895" spans="1:15" x14ac:dyDescent="0.25">
      <c r="A1895" t="s">
        <v>21</v>
      </c>
      <c r="B1895" t="s">
        <v>25</v>
      </c>
      <c r="C1895" s="3" t="str">
        <f>IF($B1895="GW1",VLOOKUP($A1895,Matches!$A:$AC,2,FALSE),IF($B1895="GW2",VLOOKUP($A1895,Matches!$A:$AC,9,FALSE),IF($B1895="GW3",VLOOKUP($A1895,Matches!$A:$AC,16,FALSE))))</f>
        <v>Nott'm Forest</v>
      </c>
      <c r="D1895" s="6">
        <v>0.19340115267086994</v>
      </c>
      <c r="E1895" s="6">
        <v>0.56776244819167654</v>
      </c>
      <c r="F1895" s="6">
        <v>-0.3743612955208066</v>
      </c>
      <c r="G1895" s="3" t="s">
        <v>0</v>
      </c>
      <c r="H1895" t="e">
        <v>#N/A</v>
      </c>
      <c r="I1895" t="e">
        <v>#N/A</v>
      </c>
      <c r="J1895">
        <v>0.19047618999999999</v>
      </c>
      <c r="K1895">
        <v>0.20774647900000001</v>
      </c>
      <c r="L1895">
        <v>0.486486486</v>
      </c>
      <c r="M1895">
        <v>9.6004338999999994E-2</v>
      </c>
      <c r="N1895" t="e">
        <v>#N/A</v>
      </c>
      <c r="O1895" t="e">
        <v>#N/A</v>
      </c>
    </row>
    <row r="1896" spans="1:15" x14ac:dyDescent="0.25">
      <c r="A1896" t="s">
        <v>21</v>
      </c>
      <c r="B1896" t="s">
        <v>25</v>
      </c>
      <c r="C1896" s="3" t="str">
        <f>IF($B1896="GW1",VLOOKUP($A1896,Matches!$A:$AC,2,FALSE),IF($B1896="GW2",VLOOKUP($A1896,Matches!$A:$AC,9,FALSE),IF($B1896="GW3",VLOOKUP($A1896,Matches!$A:$AC,16,FALSE))))</f>
        <v>Nott'm Forest</v>
      </c>
      <c r="D1896" s="6">
        <v>0.19340115267086994</v>
      </c>
      <c r="E1896" s="6">
        <v>0.56776244819167654</v>
      </c>
      <c r="F1896" s="6">
        <v>-0.3743612955208066</v>
      </c>
      <c r="G1896" s="3" t="s">
        <v>0</v>
      </c>
      <c r="H1896" t="e">
        <v>#N/A</v>
      </c>
      <c r="I1896" t="e">
        <v>#N/A</v>
      </c>
      <c r="J1896">
        <v>0.21994941200000001</v>
      </c>
      <c r="K1896">
        <v>0.20774647900000001</v>
      </c>
      <c r="L1896">
        <v>0.486486486</v>
      </c>
      <c r="M1896">
        <v>9.6004338999999994E-2</v>
      </c>
      <c r="N1896" t="e">
        <v>#N/A</v>
      </c>
      <c r="O1896" t="e">
        <v>#N/A</v>
      </c>
    </row>
    <row r="1897" spans="1:15" x14ac:dyDescent="0.25">
      <c r="A1897" t="s">
        <v>21</v>
      </c>
      <c r="B1897" t="s">
        <v>25</v>
      </c>
      <c r="C1897" s="3" t="str">
        <f>IF($B1897="GW1",VLOOKUP($A1897,Matches!$A:$AC,2,FALSE),IF($B1897="GW2",VLOOKUP($A1897,Matches!$A:$AC,9,FALSE),IF($B1897="GW3",VLOOKUP($A1897,Matches!$A:$AC,16,FALSE))))</f>
        <v>Nott'm Forest</v>
      </c>
      <c r="D1897" s="6">
        <v>0.19340115267086994</v>
      </c>
      <c r="E1897" s="6">
        <v>0.56776244819167654</v>
      </c>
      <c r="F1897" s="6">
        <v>-0.3743612955208066</v>
      </c>
      <c r="G1897" s="3" t="s">
        <v>0</v>
      </c>
      <c r="H1897" t="e">
        <v>#N/A</v>
      </c>
      <c r="I1897" t="e">
        <v>#N/A</v>
      </c>
      <c r="J1897" t="e">
        <v>#N/A</v>
      </c>
      <c r="K1897">
        <v>0.20774647900000001</v>
      </c>
      <c r="L1897">
        <v>0.486486486</v>
      </c>
      <c r="M1897">
        <v>9.6004338999999994E-2</v>
      </c>
      <c r="N1897" t="e">
        <v>#N/A</v>
      </c>
      <c r="O1897" t="e">
        <v>#N/A</v>
      </c>
    </row>
    <row r="1898" spans="1:15" x14ac:dyDescent="0.25">
      <c r="A1898" t="s">
        <v>21</v>
      </c>
      <c r="B1898" t="s">
        <v>25</v>
      </c>
      <c r="C1898" s="3" t="str">
        <f>IF($B1898="GW1",VLOOKUP($A1898,Matches!$A:$AC,2,FALSE),IF($B1898="GW2",VLOOKUP($A1898,Matches!$A:$AC,9,FALSE),IF($B1898="GW3",VLOOKUP($A1898,Matches!$A:$AC,16,FALSE))))</f>
        <v>Nott'm Forest</v>
      </c>
      <c r="D1898" s="6">
        <v>0.19340115267086994</v>
      </c>
      <c r="E1898" s="6">
        <v>0.56776244819167654</v>
      </c>
      <c r="F1898" s="6">
        <v>-0.3743612955208066</v>
      </c>
      <c r="G1898" s="3" t="s">
        <v>0</v>
      </c>
      <c r="H1898">
        <v>8.6580087E-2</v>
      </c>
      <c r="I1898">
        <v>0.105820106</v>
      </c>
      <c r="J1898">
        <v>0.253968254</v>
      </c>
      <c r="K1898">
        <v>0.20774647900000001</v>
      </c>
      <c r="L1898">
        <v>0.486486486</v>
      </c>
      <c r="M1898">
        <v>9.6004338999999994E-2</v>
      </c>
      <c r="N1898" t="e">
        <v>#N/A</v>
      </c>
      <c r="O1898" t="e">
        <v>#N/A</v>
      </c>
    </row>
    <row r="1899" spans="1:15" x14ac:dyDescent="0.25">
      <c r="A1899" t="s">
        <v>21</v>
      </c>
      <c r="B1899" t="s">
        <v>25</v>
      </c>
      <c r="C1899" s="3" t="str">
        <f>IF($B1899="GW1",VLOOKUP($A1899,Matches!$A:$AC,2,FALSE),IF($B1899="GW2",VLOOKUP($A1899,Matches!$A:$AC,9,FALSE),IF($B1899="GW3",VLOOKUP($A1899,Matches!$A:$AC,16,FALSE))))</f>
        <v>Nott'm Forest</v>
      </c>
      <c r="D1899" s="6">
        <v>0.19340115267086994</v>
      </c>
      <c r="E1899" s="6">
        <v>0.56776244819167654</v>
      </c>
      <c r="F1899" s="6">
        <v>-0.3743612955208066</v>
      </c>
      <c r="G1899" s="3" t="s">
        <v>0</v>
      </c>
      <c r="H1899" t="e">
        <v>#N/A</v>
      </c>
      <c r="I1899" t="e">
        <v>#N/A</v>
      </c>
      <c r="J1899" t="e">
        <v>#N/A</v>
      </c>
      <c r="K1899">
        <v>0.20774647900000001</v>
      </c>
      <c r="L1899">
        <v>0.486486486</v>
      </c>
      <c r="M1899">
        <v>9.6004338999999994E-2</v>
      </c>
      <c r="N1899" t="e">
        <v>#N/A</v>
      </c>
      <c r="O1899" t="e">
        <v>#N/A</v>
      </c>
    </row>
    <row r="1900" spans="1:15" x14ac:dyDescent="0.25">
      <c r="A1900" t="s">
        <v>21</v>
      </c>
      <c r="B1900" t="s">
        <v>25</v>
      </c>
      <c r="C1900" s="3" t="str">
        <f>IF($B1900="GW1",VLOOKUP($A1900,Matches!$A:$AC,2,FALSE),IF($B1900="GW2",VLOOKUP($A1900,Matches!$A:$AC,9,FALSE),IF($B1900="GW3",VLOOKUP($A1900,Matches!$A:$AC,16,FALSE))))</f>
        <v>Nott'm Forest</v>
      </c>
      <c r="D1900" s="6">
        <v>0.19340115267086994</v>
      </c>
      <c r="E1900" s="6">
        <v>0.56776244819167654</v>
      </c>
      <c r="F1900" s="6">
        <v>-0.3743612955208066</v>
      </c>
      <c r="G1900" s="3" t="s">
        <v>0</v>
      </c>
      <c r="H1900">
        <v>5.0125312999999998E-2</v>
      </c>
      <c r="I1900">
        <v>3.2840722000000003E-2</v>
      </c>
      <c r="J1900">
        <v>0.21994941200000001</v>
      </c>
      <c r="K1900">
        <v>0.20774647900000001</v>
      </c>
      <c r="L1900">
        <v>0.486486486</v>
      </c>
      <c r="M1900">
        <v>9.6004338999999994E-2</v>
      </c>
      <c r="N1900" t="e">
        <v>#N/A</v>
      </c>
      <c r="O1900" t="e">
        <v>#N/A</v>
      </c>
    </row>
    <row r="1901" spans="1:15" x14ac:dyDescent="0.25">
      <c r="A1901" t="s">
        <v>21</v>
      </c>
      <c r="B1901" t="s">
        <v>25</v>
      </c>
      <c r="C1901" s="3" t="str">
        <f>IF($B1901="GW1",VLOOKUP($A1901,Matches!$A:$AC,2,FALSE),IF($B1901="GW2",VLOOKUP($A1901,Matches!$A:$AC,9,FALSE),IF($B1901="GW3",VLOOKUP($A1901,Matches!$A:$AC,16,FALSE))))</f>
        <v>Nott'm Forest</v>
      </c>
      <c r="D1901" s="6">
        <v>0.19340115267086994</v>
      </c>
      <c r="E1901" s="6">
        <v>0.56776244819167654</v>
      </c>
      <c r="F1901" s="6">
        <v>-0.3743612955208066</v>
      </c>
      <c r="G1901" s="3" t="s">
        <v>0</v>
      </c>
      <c r="H1901">
        <v>9.5238094999999995E-2</v>
      </c>
      <c r="I1901">
        <v>2.8011204000000001E-2</v>
      </c>
      <c r="J1901">
        <v>0.28011204499999998</v>
      </c>
      <c r="K1901">
        <v>0.20774647900000001</v>
      </c>
      <c r="L1901">
        <v>0.486486486</v>
      </c>
      <c r="M1901">
        <v>9.6004338999999994E-2</v>
      </c>
      <c r="N1901" t="e">
        <v>#N/A</v>
      </c>
      <c r="O1901" t="e">
        <v>#N/A</v>
      </c>
    </row>
    <row r="1902" spans="1:15" x14ac:dyDescent="0.25">
      <c r="A1902" t="s">
        <v>21</v>
      </c>
      <c r="B1902" t="s">
        <v>25</v>
      </c>
      <c r="C1902" s="3" t="str">
        <f>IF($B1902="GW1",VLOOKUP($A1902,Matches!$A:$AC,2,FALSE),IF($B1902="GW2",VLOOKUP($A1902,Matches!$A:$AC,9,FALSE),IF($B1902="GW3",VLOOKUP($A1902,Matches!$A:$AC,16,FALSE))))</f>
        <v>Nott'm Forest</v>
      </c>
      <c r="D1902" s="6">
        <v>0.19340115267086994</v>
      </c>
      <c r="E1902" s="6">
        <v>0.56776244819167654</v>
      </c>
      <c r="F1902" s="6">
        <v>-0.3743612955208066</v>
      </c>
      <c r="G1902" s="3" t="s">
        <v>0</v>
      </c>
      <c r="H1902">
        <v>5.0125312999999998E-2</v>
      </c>
      <c r="I1902">
        <v>4.1407867000000001E-2</v>
      </c>
      <c r="J1902">
        <v>0.21164021199999999</v>
      </c>
      <c r="K1902">
        <v>0.20774647900000001</v>
      </c>
      <c r="L1902">
        <v>0.486486486</v>
      </c>
      <c r="M1902">
        <v>9.6004338999999994E-2</v>
      </c>
      <c r="N1902" t="e">
        <v>#N/A</v>
      </c>
      <c r="O1902" t="e">
        <v>#N/A</v>
      </c>
    </row>
    <row r="1903" spans="1:15" x14ac:dyDescent="0.25">
      <c r="A1903" t="s">
        <v>21</v>
      </c>
      <c r="B1903" t="s">
        <v>25</v>
      </c>
      <c r="C1903" s="3" t="str">
        <f>IF($B1903="GW1",VLOOKUP($A1903,Matches!$A:$AC,2,FALSE),IF($B1903="GW2",VLOOKUP($A1903,Matches!$A:$AC,9,FALSE),IF($B1903="GW3",VLOOKUP($A1903,Matches!$A:$AC,16,FALSE))))</f>
        <v>Nott'm Forest</v>
      </c>
      <c r="D1903" s="6">
        <v>0.19340115267086994</v>
      </c>
      <c r="E1903" s="6">
        <v>0.56776244819167654</v>
      </c>
      <c r="F1903" s="6">
        <v>-0.3743612955208066</v>
      </c>
      <c r="G1903" s="3" t="s">
        <v>0</v>
      </c>
      <c r="H1903" t="e">
        <v>#N/A</v>
      </c>
      <c r="I1903" t="e">
        <v>#N/A</v>
      </c>
      <c r="J1903" t="e">
        <v>#N/A</v>
      </c>
      <c r="K1903">
        <v>0.20774647900000001</v>
      </c>
      <c r="L1903">
        <v>0.486486486</v>
      </c>
      <c r="M1903">
        <v>9.6004338999999994E-2</v>
      </c>
      <c r="N1903" t="e">
        <v>#N/A</v>
      </c>
      <c r="O1903" t="e">
        <v>#N/A</v>
      </c>
    </row>
    <row r="1904" spans="1:15" x14ac:dyDescent="0.25">
      <c r="A1904" t="s">
        <v>21</v>
      </c>
      <c r="B1904" t="s">
        <v>25</v>
      </c>
      <c r="C1904" s="3" t="str">
        <f>IF($B1904="GW1",VLOOKUP($A1904,Matches!$A:$AC,2,FALSE),IF($B1904="GW2",VLOOKUP($A1904,Matches!$A:$AC,9,FALSE),IF($B1904="GW3",VLOOKUP($A1904,Matches!$A:$AC,16,FALSE))))</f>
        <v>Nott'm Forest</v>
      </c>
      <c r="D1904" s="6">
        <v>0.19340115267086994</v>
      </c>
      <c r="E1904" s="6">
        <v>0.56776244819167654</v>
      </c>
      <c r="F1904" s="6">
        <v>-0.3743612955208066</v>
      </c>
      <c r="G1904" s="3" t="s">
        <v>0</v>
      </c>
      <c r="H1904">
        <v>5.0125312999999998E-2</v>
      </c>
      <c r="I1904">
        <v>1.8674136000000001E-2</v>
      </c>
      <c r="J1904">
        <v>0.33184005300000002</v>
      </c>
      <c r="K1904">
        <v>0.20774647900000001</v>
      </c>
      <c r="L1904">
        <v>0.486486486</v>
      </c>
      <c r="M1904">
        <v>9.6004338999999994E-2</v>
      </c>
      <c r="N1904" t="e">
        <v>#N/A</v>
      </c>
      <c r="O1904" t="e">
        <v>#N/A</v>
      </c>
    </row>
    <row r="1905" spans="1:15" x14ac:dyDescent="0.25">
      <c r="A1905" t="s">
        <v>21</v>
      </c>
      <c r="B1905" t="s">
        <v>25</v>
      </c>
      <c r="C1905" s="3" t="str">
        <f>IF($B1905="GW1",VLOOKUP($A1905,Matches!$A:$AC,2,FALSE),IF($B1905="GW2",VLOOKUP($A1905,Matches!$A:$AC,9,FALSE),IF($B1905="GW3",VLOOKUP($A1905,Matches!$A:$AC,16,FALSE))))</f>
        <v>Nott'm Forest</v>
      </c>
      <c r="D1905" s="6">
        <v>0.19340115267086994</v>
      </c>
      <c r="E1905" s="6">
        <v>0.56776244819167654</v>
      </c>
      <c r="F1905" s="6">
        <v>-0.3743612955208066</v>
      </c>
      <c r="G1905" s="3" t="s">
        <v>0</v>
      </c>
      <c r="H1905">
        <v>5.0125312999999998E-2</v>
      </c>
      <c r="I1905">
        <v>8.6580087E-2</v>
      </c>
      <c r="J1905">
        <v>0.28011204499999998</v>
      </c>
      <c r="K1905">
        <v>0.20774647900000001</v>
      </c>
      <c r="L1905">
        <v>0.486486486</v>
      </c>
      <c r="M1905">
        <v>9.6004338999999994E-2</v>
      </c>
      <c r="N1905" t="e">
        <v>#N/A</v>
      </c>
      <c r="O1905" t="e">
        <v>#N/A</v>
      </c>
    </row>
    <row r="1906" spans="1:15" x14ac:dyDescent="0.25">
      <c r="A1906" t="s">
        <v>21</v>
      </c>
      <c r="B1906" t="s">
        <v>25</v>
      </c>
      <c r="C1906" s="3" t="str">
        <f>IF($B1906="GW1",VLOOKUP($A1906,Matches!$A:$AC,2,FALSE),IF($B1906="GW2",VLOOKUP($A1906,Matches!$A:$AC,9,FALSE),IF($B1906="GW3",VLOOKUP($A1906,Matches!$A:$AC,16,FALSE))))</f>
        <v>Nott'm Forest</v>
      </c>
      <c r="D1906" s="6">
        <v>0.19340115267086994</v>
      </c>
      <c r="E1906" s="6">
        <v>0.56776244819167654</v>
      </c>
      <c r="F1906" s="6">
        <v>-0.3743612955208066</v>
      </c>
      <c r="G1906" s="3" t="s">
        <v>0</v>
      </c>
      <c r="H1906" t="e">
        <v>#N/A</v>
      </c>
      <c r="I1906" t="e">
        <v>#N/A</v>
      </c>
      <c r="J1906" t="e">
        <v>#N/A</v>
      </c>
      <c r="K1906">
        <v>0.20774647900000001</v>
      </c>
      <c r="L1906">
        <v>0.486486486</v>
      </c>
      <c r="M1906">
        <v>9.6004338999999994E-2</v>
      </c>
      <c r="N1906" t="e">
        <v>#N/A</v>
      </c>
      <c r="O1906" t="e">
        <v>#N/A</v>
      </c>
    </row>
    <row r="1907" spans="1:15" x14ac:dyDescent="0.25">
      <c r="A1907" t="s">
        <v>21</v>
      </c>
      <c r="B1907" t="s">
        <v>25</v>
      </c>
      <c r="C1907" s="3" t="str">
        <f>IF($B1907="GW1",VLOOKUP($A1907,Matches!$A:$AC,2,FALSE),IF($B1907="GW2",VLOOKUP($A1907,Matches!$A:$AC,9,FALSE),IF($B1907="GW3",VLOOKUP($A1907,Matches!$A:$AC,16,FALSE))))</f>
        <v>Nott'm Forest</v>
      </c>
      <c r="D1907" s="6">
        <v>0.19340115267086994</v>
      </c>
      <c r="E1907" s="6">
        <v>0.56776244819167654</v>
      </c>
      <c r="F1907" s="6">
        <v>-0.3743612955208066</v>
      </c>
      <c r="G1907" s="3" t="s">
        <v>0</v>
      </c>
      <c r="H1907">
        <v>0.21164021199999999</v>
      </c>
      <c r="I1907">
        <v>0.11904761899999999</v>
      </c>
      <c r="J1907">
        <v>0.346320346</v>
      </c>
      <c r="K1907">
        <v>0.20774647900000001</v>
      </c>
      <c r="L1907">
        <v>0.486486486</v>
      </c>
      <c r="M1907">
        <v>9.6004338999999994E-2</v>
      </c>
      <c r="N1907" t="e">
        <v>#N/A</v>
      </c>
      <c r="O1907" t="e">
        <v>#N/A</v>
      </c>
    </row>
    <row r="1908" spans="1:15" x14ac:dyDescent="0.25">
      <c r="A1908" t="s">
        <v>21</v>
      </c>
      <c r="B1908" t="s">
        <v>25</v>
      </c>
      <c r="C1908" s="3" t="str">
        <f>IF($B1908="GW1",VLOOKUP($A1908,Matches!$A:$AC,2,FALSE),IF($B1908="GW2",VLOOKUP($A1908,Matches!$A:$AC,9,FALSE),IF($B1908="GW3",VLOOKUP($A1908,Matches!$A:$AC,16,FALSE))))</f>
        <v>Nott'm Forest</v>
      </c>
      <c r="D1908" s="6">
        <v>0.19340115267086994</v>
      </c>
      <c r="E1908" s="6">
        <v>0.56776244819167654</v>
      </c>
      <c r="F1908" s="6">
        <v>-0.3743612955208066</v>
      </c>
      <c r="G1908" s="3" t="s">
        <v>0</v>
      </c>
      <c r="H1908" t="e">
        <v>#N/A</v>
      </c>
      <c r="I1908" t="e">
        <v>#N/A</v>
      </c>
      <c r="J1908" t="e">
        <v>#N/A</v>
      </c>
      <c r="K1908">
        <v>0.20774647900000001</v>
      </c>
      <c r="L1908">
        <v>0.486486486</v>
      </c>
      <c r="M1908">
        <v>9.6004338999999994E-2</v>
      </c>
      <c r="N1908" t="e">
        <v>#N/A</v>
      </c>
      <c r="O1908" t="e">
        <v>#N/A</v>
      </c>
    </row>
    <row r="1909" spans="1:15" x14ac:dyDescent="0.25">
      <c r="A1909" t="s">
        <v>21</v>
      </c>
      <c r="B1909" t="s">
        <v>25</v>
      </c>
      <c r="C1909" s="3" t="str">
        <f>IF($B1909="GW1",VLOOKUP($A1909,Matches!$A:$AC,2,FALSE),IF($B1909="GW2",VLOOKUP($A1909,Matches!$A:$AC,9,FALSE),IF($B1909="GW3",VLOOKUP($A1909,Matches!$A:$AC,16,FALSE))))</f>
        <v>Nott'm Forest</v>
      </c>
      <c r="D1909" s="6">
        <v>0.19340115267086994</v>
      </c>
      <c r="E1909" s="6">
        <v>0.56776244819167654</v>
      </c>
      <c r="F1909" s="6">
        <v>-0.3743612955208066</v>
      </c>
      <c r="G1909" s="3" t="s">
        <v>0</v>
      </c>
      <c r="H1909">
        <v>9.5238094999999995E-2</v>
      </c>
      <c r="I1909">
        <v>0.105820106</v>
      </c>
      <c r="J1909">
        <v>0.19047618999999999</v>
      </c>
      <c r="K1909">
        <v>0.20774647900000001</v>
      </c>
      <c r="L1909">
        <v>0.486486486</v>
      </c>
      <c r="M1909">
        <v>9.6004338999999994E-2</v>
      </c>
      <c r="N1909" t="e">
        <v>#N/A</v>
      </c>
      <c r="O1909" t="e">
        <v>#N/A</v>
      </c>
    </row>
    <row r="1910" spans="1:15" x14ac:dyDescent="0.25">
      <c r="A1910" t="s">
        <v>21</v>
      </c>
      <c r="B1910" t="s">
        <v>25</v>
      </c>
      <c r="C1910" s="3" t="str">
        <f>IF($B1910="GW1",VLOOKUP($A1910,Matches!$A:$AC,2,FALSE),IF($B1910="GW2",VLOOKUP($A1910,Matches!$A:$AC,9,FALSE),IF($B1910="GW3",VLOOKUP($A1910,Matches!$A:$AC,16,FALSE))))</f>
        <v>Nott'm Forest</v>
      </c>
      <c r="D1910" s="6">
        <v>0.19340115267086994</v>
      </c>
      <c r="E1910" s="6">
        <v>0.56776244819167654</v>
      </c>
      <c r="F1910" s="6">
        <v>-0.3743612955208066</v>
      </c>
      <c r="G1910" s="3" t="s">
        <v>0</v>
      </c>
      <c r="H1910" t="e">
        <v>#N/A</v>
      </c>
      <c r="I1910" t="e">
        <v>#N/A</v>
      </c>
      <c r="J1910" t="e">
        <v>#N/A</v>
      </c>
      <c r="K1910">
        <v>0.20774647900000001</v>
      </c>
      <c r="L1910">
        <v>0.486486486</v>
      </c>
      <c r="M1910">
        <v>9.6004338999999994E-2</v>
      </c>
      <c r="N1910" t="e">
        <v>#N/A</v>
      </c>
      <c r="O1910" t="e">
        <v>#N/A</v>
      </c>
    </row>
    <row r="1911" spans="1:15" x14ac:dyDescent="0.25">
      <c r="A1911" t="s">
        <v>21</v>
      </c>
      <c r="B1911" t="s">
        <v>25</v>
      </c>
      <c r="C1911" s="3" t="str">
        <f>IF($B1911="GW1",VLOOKUP($A1911,Matches!$A:$AC,2,FALSE),IF($B1911="GW2",VLOOKUP($A1911,Matches!$A:$AC,9,FALSE),IF($B1911="GW3",VLOOKUP($A1911,Matches!$A:$AC,16,FALSE))))</f>
        <v>Nott'm Forest</v>
      </c>
      <c r="D1911" s="6">
        <v>0.19340115267086994</v>
      </c>
      <c r="E1911" s="6">
        <v>0.56776244819167654</v>
      </c>
      <c r="F1911" s="6">
        <v>-0.3743612955208066</v>
      </c>
      <c r="G1911" s="3" t="s">
        <v>0</v>
      </c>
      <c r="H1911" t="e">
        <v>#N/A</v>
      </c>
      <c r="I1911" t="e">
        <v>#N/A</v>
      </c>
      <c r="J1911" t="e">
        <v>#N/A</v>
      </c>
      <c r="K1911">
        <v>0.20774647900000001</v>
      </c>
      <c r="L1911">
        <v>0.486486486</v>
      </c>
      <c r="M1911">
        <v>9.6004338999999994E-2</v>
      </c>
      <c r="N1911" t="e">
        <v>#N/A</v>
      </c>
      <c r="O1911" t="e">
        <v>#N/A</v>
      </c>
    </row>
    <row r="1912" spans="1:15" x14ac:dyDescent="0.25">
      <c r="A1912" t="s">
        <v>21</v>
      </c>
      <c r="B1912" t="s">
        <v>25</v>
      </c>
      <c r="C1912" s="3" t="str">
        <f>IF($B1912="GW1",VLOOKUP($A1912,Matches!$A:$AC,2,FALSE),IF($B1912="GW2",VLOOKUP($A1912,Matches!$A:$AC,9,FALSE),IF($B1912="GW3",VLOOKUP($A1912,Matches!$A:$AC,16,FALSE))))</f>
        <v>Nott'm Forest</v>
      </c>
      <c r="D1912" s="6">
        <v>0.19340115267086994</v>
      </c>
      <c r="E1912" s="6">
        <v>0.56776244819167654</v>
      </c>
      <c r="F1912" s="6">
        <v>-0.3743612955208066</v>
      </c>
      <c r="G1912" s="3" t="s">
        <v>0</v>
      </c>
      <c r="H1912">
        <v>0.20050125299999999</v>
      </c>
      <c r="I1912">
        <v>0.11904761899999999</v>
      </c>
      <c r="J1912">
        <v>0.21164021199999999</v>
      </c>
      <c r="K1912">
        <v>0.20774647900000001</v>
      </c>
      <c r="L1912">
        <v>0.486486486</v>
      </c>
      <c r="M1912">
        <v>9.6004338999999994E-2</v>
      </c>
      <c r="N1912" t="e">
        <v>#N/A</v>
      </c>
      <c r="O1912" t="e">
        <v>#N/A</v>
      </c>
    </row>
    <row r="1913" spans="1:15" x14ac:dyDescent="0.25">
      <c r="A1913" t="s">
        <v>21</v>
      </c>
      <c r="B1913" t="s">
        <v>25</v>
      </c>
      <c r="C1913" s="3" t="str">
        <f>IF($B1913="GW1",VLOOKUP($A1913,Matches!$A:$AC,2,FALSE),IF($B1913="GW2",VLOOKUP($A1913,Matches!$A:$AC,9,FALSE),IF($B1913="GW3",VLOOKUP($A1913,Matches!$A:$AC,16,FALSE))))</f>
        <v>Nott'm Forest</v>
      </c>
      <c r="D1913" s="6">
        <v>0.19340115267086994</v>
      </c>
      <c r="E1913" s="6">
        <v>0.56776244819167654</v>
      </c>
      <c r="F1913" s="6">
        <v>-0.3743612955208066</v>
      </c>
      <c r="G1913" s="3" t="s">
        <v>0</v>
      </c>
      <c r="H1913" t="e">
        <v>#N/A</v>
      </c>
      <c r="I1913" t="e">
        <v>#N/A</v>
      </c>
      <c r="J1913" t="e">
        <v>#N/A</v>
      </c>
      <c r="K1913">
        <v>0.20774647900000001</v>
      </c>
      <c r="L1913">
        <v>0.486486486</v>
      </c>
      <c r="M1913">
        <v>9.6004338999999994E-2</v>
      </c>
      <c r="N1913" t="e">
        <v>#N/A</v>
      </c>
      <c r="O1913" t="e">
        <v>#N/A</v>
      </c>
    </row>
    <row r="1914" spans="1:15" x14ac:dyDescent="0.25">
      <c r="A1914" t="s">
        <v>21</v>
      </c>
      <c r="B1914" t="s">
        <v>25</v>
      </c>
      <c r="C1914" s="3" t="str">
        <f>IF($B1914="GW1",VLOOKUP($A1914,Matches!$A:$AC,2,FALSE),IF($B1914="GW2",VLOOKUP($A1914,Matches!$A:$AC,9,FALSE),IF($B1914="GW3",VLOOKUP($A1914,Matches!$A:$AC,16,FALSE))))</f>
        <v>Nott'm Forest</v>
      </c>
      <c r="D1914" s="6">
        <v>0.19340115267086994</v>
      </c>
      <c r="E1914" s="6">
        <v>0.56776244819167654</v>
      </c>
      <c r="F1914" s="6">
        <v>-0.3743612955208066</v>
      </c>
      <c r="G1914" s="3" t="s">
        <v>0</v>
      </c>
      <c r="H1914" t="e">
        <v>#N/A</v>
      </c>
      <c r="I1914" t="e">
        <v>#N/A</v>
      </c>
      <c r="J1914" t="e">
        <v>#N/A</v>
      </c>
      <c r="K1914">
        <v>0.20774647900000001</v>
      </c>
      <c r="L1914">
        <v>0.486486486</v>
      </c>
      <c r="M1914">
        <v>9.6004338999999994E-2</v>
      </c>
      <c r="N1914" t="e">
        <v>#N/A</v>
      </c>
      <c r="O1914" t="e">
        <v>#N/A</v>
      </c>
    </row>
    <row r="1915" spans="1:15" x14ac:dyDescent="0.25">
      <c r="A1915" t="s">
        <v>21</v>
      </c>
      <c r="B1915" t="s">
        <v>25</v>
      </c>
      <c r="C1915" s="3" t="str">
        <f>IF($B1915="GW1",VLOOKUP($A1915,Matches!$A:$AC,2,FALSE),IF($B1915="GW2",VLOOKUP($A1915,Matches!$A:$AC,9,FALSE),IF($B1915="GW3",VLOOKUP($A1915,Matches!$A:$AC,16,FALSE))))</f>
        <v>Nott'm Forest</v>
      </c>
      <c r="D1915" s="6">
        <v>0.19340115267086994</v>
      </c>
      <c r="E1915" s="6">
        <v>0.56776244819167654</v>
      </c>
      <c r="F1915" s="6">
        <v>-0.3743612955208066</v>
      </c>
      <c r="G1915" s="3" t="s">
        <v>0</v>
      </c>
      <c r="H1915" t="e">
        <v>#N/A</v>
      </c>
      <c r="I1915" t="e">
        <v>#N/A</v>
      </c>
      <c r="J1915" t="e">
        <v>#N/A</v>
      </c>
      <c r="K1915">
        <v>0.20774647900000001</v>
      </c>
      <c r="L1915">
        <v>0.486486486</v>
      </c>
      <c r="M1915">
        <v>9.6004338999999994E-2</v>
      </c>
      <c r="N1915" t="e">
        <v>#N/A</v>
      </c>
      <c r="O1915" t="e">
        <v>#N/A</v>
      </c>
    </row>
    <row r="1916" spans="1:15" x14ac:dyDescent="0.25">
      <c r="A1916" t="s">
        <v>21</v>
      </c>
      <c r="B1916" t="s">
        <v>25</v>
      </c>
      <c r="C1916" s="3" t="str">
        <f>IF($B1916="GW1",VLOOKUP($A1916,Matches!$A:$AC,2,FALSE),IF($B1916="GW2",VLOOKUP($A1916,Matches!$A:$AC,9,FALSE),IF($B1916="GW3",VLOOKUP($A1916,Matches!$A:$AC,16,FALSE))))</f>
        <v>Nott'm Forest</v>
      </c>
      <c r="D1916" s="6">
        <v>0.19340115267086994</v>
      </c>
      <c r="E1916" s="6">
        <v>0.56776244819167654</v>
      </c>
      <c r="F1916" s="6">
        <v>-0.3743612955208066</v>
      </c>
      <c r="G1916" s="3" t="s">
        <v>0</v>
      </c>
      <c r="H1916" t="e">
        <v>#N/A</v>
      </c>
      <c r="I1916" t="e">
        <v>#N/A</v>
      </c>
      <c r="J1916" t="e">
        <v>#N/A</v>
      </c>
      <c r="K1916">
        <v>0.20774647900000001</v>
      </c>
      <c r="L1916">
        <v>0.486486486</v>
      </c>
      <c r="M1916">
        <v>9.6004338999999994E-2</v>
      </c>
      <c r="N1916" t="e">
        <v>#N/A</v>
      </c>
      <c r="O1916" t="e">
        <v>#N/A</v>
      </c>
    </row>
    <row r="1917" spans="1:15" x14ac:dyDescent="0.25">
      <c r="A1917" t="s">
        <v>21</v>
      </c>
      <c r="B1917" t="s">
        <v>25</v>
      </c>
      <c r="C1917" s="3" t="str">
        <f>IF($B1917="GW1",VLOOKUP($A1917,Matches!$A:$AC,2,FALSE),IF($B1917="GW2",VLOOKUP($A1917,Matches!$A:$AC,9,FALSE),IF($B1917="GW3",VLOOKUP($A1917,Matches!$A:$AC,16,FALSE))))</f>
        <v>Nott'm Forest</v>
      </c>
      <c r="D1917" s="6">
        <v>0.19340115267086994</v>
      </c>
      <c r="E1917" s="6">
        <v>0.56776244819167654</v>
      </c>
      <c r="F1917" s="6">
        <v>-0.3743612955208066</v>
      </c>
      <c r="G1917" s="3" t="s">
        <v>0</v>
      </c>
      <c r="H1917">
        <v>9.5238094999999995E-2</v>
      </c>
      <c r="I1917">
        <v>6.3492063000000001E-2</v>
      </c>
      <c r="J1917">
        <v>0.253968254</v>
      </c>
      <c r="K1917">
        <v>0.20774647900000001</v>
      </c>
      <c r="L1917">
        <v>0.486486486</v>
      </c>
      <c r="M1917">
        <v>9.6004338999999994E-2</v>
      </c>
      <c r="N1917" t="e">
        <v>#N/A</v>
      </c>
      <c r="O1917" t="e">
        <v>#N/A</v>
      </c>
    </row>
    <row r="1918" spans="1:15" x14ac:dyDescent="0.25">
      <c r="A1918" t="s">
        <v>21</v>
      </c>
      <c r="B1918" t="s">
        <v>25</v>
      </c>
      <c r="C1918" s="3" t="str">
        <f>IF($B1918="GW1",VLOOKUP($A1918,Matches!$A:$AC,2,FALSE),IF($B1918="GW2",VLOOKUP($A1918,Matches!$A:$AC,9,FALSE),IF($B1918="GW3",VLOOKUP($A1918,Matches!$A:$AC,16,FALSE))))</f>
        <v>Nott'm Forest</v>
      </c>
      <c r="D1918" s="6">
        <v>0.19340115267086994</v>
      </c>
      <c r="E1918" s="6">
        <v>0.56776244819167654</v>
      </c>
      <c r="F1918" s="6">
        <v>-0.3743612955208066</v>
      </c>
      <c r="G1918" s="3" t="s">
        <v>0</v>
      </c>
      <c r="H1918">
        <v>8.6580087E-2</v>
      </c>
      <c r="I1918">
        <v>3.2840722000000003E-2</v>
      </c>
      <c r="J1918">
        <v>0.21994941200000001</v>
      </c>
      <c r="K1918">
        <v>0.20774647900000001</v>
      </c>
      <c r="L1918">
        <v>0.486486486</v>
      </c>
      <c r="M1918">
        <v>9.6004338999999994E-2</v>
      </c>
      <c r="N1918" t="e">
        <v>#N/A</v>
      </c>
      <c r="O1918" t="e">
        <v>#N/A</v>
      </c>
    </row>
    <row r="1919" spans="1:15" x14ac:dyDescent="0.25">
      <c r="A1919" t="s">
        <v>21</v>
      </c>
      <c r="B1919" t="s">
        <v>25</v>
      </c>
      <c r="C1919" s="3" t="str">
        <f>IF($B1919="GW1",VLOOKUP($A1919,Matches!$A:$AC,2,FALSE),IF($B1919="GW2",VLOOKUP($A1919,Matches!$A:$AC,9,FALSE),IF($B1919="GW3",VLOOKUP($A1919,Matches!$A:$AC,16,FALSE))))</f>
        <v>Nott'm Forest</v>
      </c>
      <c r="D1919" s="6">
        <v>0.19340115267086994</v>
      </c>
      <c r="E1919" s="6">
        <v>0.56776244819167654</v>
      </c>
      <c r="F1919" s="6">
        <v>-0.3743612955208066</v>
      </c>
      <c r="G1919" s="3" t="s">
        <v>0</v>
      </c>
      <c r="H1919">
        <v>0.253968254</v>
      </c>
      <c r="I1919">
        <v>0.15873015900000001</v>
      </c>
      <c r="J1919">
        <v>0.11904761899999999</v>
      </c>
      <c r="K1919">
        <v>0.20774647900000001</v>
      </c>
      <c r="L1919">
        <v>0.486486486</v>
      </c>
      <c r="M1919">
        <v>9.6004338999999994E-2</v>
      </c>
      <c r="N1919" t="e">
        <v>#N/A</v>
      </c>
      <c r="O1919" t="e">
        <v>#N/A</v>
      </c>
    </row>
    <row r="1920" spans="1:15" x14ac:dyDescent="0.25">
      <c r="A1920" t="s">
        <v>21</v>
      </c>
      <c r="B1920" t="s">
        <v>25</v>
      </c>
      <c r="C1920" s="3" t="str">
        <f>IF($B1920="GW1",VLOOKUP($A1920,Matches!$A:$AC,2,FALSE),IF($B1920="GW2",VLOOKUP($A1920,Matches!$A:$AC,9,FALSE),IF($B1920="GW3",VLOOKUP($A1920,Matches!$A:$AC,16,FALSE))))</f>
        <v>Nott'm Forest</v>
      </c>
      <c r="D1920" s="6">
        <v>0.19340115267086994</v>
      </c>
      <c r="E1920" s="6">
        <v>0.56776244819167654</v>
      </c>
      <c r="F1920" s="6">
        <v>-0.3743612955208066</v>
      </c>
      <c r="G1920" s="3" t="s">
        <v>0</v>
      </c>
      <c r="H1920">
        <v>0.253968254</v>
      </c>
      <c r="I1920">
        <v>0.11904761899999999</v>
      </c>
      <c r="J1920">
        <v>0.13605442200000001</v>
      </c>
      <c r="K1920">
        <v>0.20774647900000001</v>
      </c>
      <c r="L1920">
        <v>0.486486486</v>
      </c>
      <c r="M1920">
        <v>9.6004338999999994E-2</v>
      </c>
      <c r="N1920" t="e">
        <v>#N/A</v>
      </c>
      <c r="O1920" t="e">
        <v>#N/A</v>
      </c>
    </row>
    <row r="1921" spans="1:15" x14ac:dyDescent="0.25">
      <c r="A1921" t="s">
        <v>21</v>
      </c>
      <c r="B1921" t="s">
        <v>25</v>
      </c>
      <c r="C1921" s="3" t="str">
        <f>IF($B1921="GW1",VLOOKUP($A1921,Matches!$A:$AC,2,FALSE),IF($B1921="GW2",VLOOKUP($A1921,Matches!$A:$AC,9,FALSE),IF($B1921="GW3",VLOOKUP($A1921,Matches!$A:$AC,16,FALSE))))</f>
        <v>Nott'm Forest</v>
      </c>
      <c r="D1921" s="6">
        <v>0.19340115267086994</v>
      </c>
      <c r="E1921" s="6">
        <v>0.56776244819167654</v>
      </c>
      <c r="F1921" s="6">
        <v>-0.3743612955208066</v>
      </c>
      <c r="G1921" s="3" t="s">
        <v>0</v>
      </c>
      <c r="H1921">
        <v>0.21164021199999999</v>
      </c>
      <c r="I1921">
        <v>6.3492063000000001E-2</v>
      </c>
      <c r="J1921">
        <v>0.253968254</v>
      </c>
      <c r="K1921">
        <v>0.20774647900000001</v>
      </c>
      <c r="L1921">
        <v>0.486486486</v>
      </c>
      <c r="M1921">
        <v>9.6004338999999994E-2</v>
      </c>
      <c r="N1921" t="e">
        <v>#N/A</v>
      </c>
      <c r="O1921" t="e">
        <v>#N/A</v>
      </c>
    </row>
    <row r="1922" spans="1:15" x14ac:dyDescent="0.25">
      <c r="A1922" t="s">
        <v>21</v>
      </c>
      <c r="B1922" t="s">
        <v>25</v>
      </c>
      <c r="C1922" s="3" t="str">
        <f>IF($B1922="GW1",VLOOKUP($A1922,Matches!$A:$AC,2,FALSE),IF($B1922="GW2",VLOOKUP($A1922,Matches!$A:$AC,9,FALSE),IF($B1922="GW3",VLOOKUP($A1922,Matches!$A:$AC,16,FALSE))))</f>
        <v>Nott'm Forest</v>
      </c>
      <c r="D1922" s="6">
        <v>0.19340115267086994</v>
      </c>
      <c r="E1922" s="6">
        <v>0.56776244819167654</v>
      </c>
      <c r="F1922" s="6">
        <v>-0.3743612955208066</v>
      </c>
      <c r="G1922" s="3" t="s">
        <v>0</v>
      </c>
      <c r="H1922">
        <v>5.0125312999999998E-2</v>
      </c>
      <c r="I1922">
        <v>8.6580087E-2</v>
      </c>
      <c r="J1922">
        <v>0.21164021199999999</v>
      </c>
      <c r="K1922">
        <v>0.20774647900000001</v>
      </c>
      <c r="L1922">
        <v>0.486486486</v>
      </c>
      <c r="M1922">
        <v>9.6004338999999994E-2</v>
      </c>
      <c r="N1922" t="e">
        <v>#N/A</v>
      </c>
      <c r="O1922" t="e">
        <v>#N/A</v>
      </c>
    </row>
    <row r="1923" spans="1:15" x14ac:dyDescent="0.25">
      <c r="A1923" t="s">
        <v>22</v>
      </c>
      <c r="B1923" t="s">
        <v>25</v>
      </c>
      <c r="C1923" s="3" t="str">
        <f>IF($B1923="GW1",VLOOKUP($A1923,Matches!$A:$AC,2,FALSE),IF($B1923="GW2",VLOOKUP($A1923,Matches!$A:$AC,9,FALSE),IF($B1923="GW3",VLOOKUP($A1923,Matches!$A:$AC,16,FALSE))))</f>
        <v>Everton</v>
      </c>
      <c r="D1923" s="6">
        <v>0.39306631028654532</v>
      </c>
      <c r="E1923" s="6">
        <v>0.33022917905026083</v>
      </c>
      <c r="F1923" s="6">
        <v>6.2837131236284482E-2</v>
      </c>
      <c r="G1923" s="3" t="s">
        <v>1</v>
      </c>
      <c r="H1923" t="e">
        <v>#N/A</v>
      </c>
      <c r="I1923" t="e">
        <v>#N/A</v>
      </c>
      <c r="J1923">
        <v>0.21164021199999999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</row>
    <row r="1924" spans="1:15" x14ac:dyDescent="0.25">
      <c r="A1924" t="s">
        <v>22</v>
      </c>
      <c r="B1924" t="s">
        <v>25</v>
      </c>
      <c r="C1924" s="3" t="str">
        <f>IF($B1924="GW1",VLOOKUP($A1924,Matches!$A:$AC,2,FALSE),IF($B1924="GW2",VLOOKUP($A1924,Matches!$A:$AC,9,FALSE),IF($B1924="GW3",VLOOKUP($A1924,Matches!$A:$AC,16,FALSE))))</f>
        <v>Everton</v>
      </c>
      <c r="D1924" s="6">
        <v>0.39306631028654532</v>
      </c>
      <c r="E1924" s="6">
        <v>0.33022917905026083</v>
      </c>
      <c r="F1924" s="6">
        <v>6.2837131236284482E-2</v>
      </c>
      <c r="G1924" s="3" t="s">
        <v>1</v>
      </c>
      <c r="H1924" t="e">
        <v>#N/A</v>
      </c>
      <c r="I1924" t="e">
        <v>#N/A</v>
      </c>
      <c r="J1924">
        <v>0.253968254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</row>
    <row r="1925" spans="1:15" x14ac:dyDescent="0.25">
      <c r="A1925" t="s">
        <v>22</v>
      </c>
      <c r="B1925" t="s">
        <v>25</v>
      </c>
      <c r="C1925" s="3" t="str">
        <f>IF($B1925="GW1",VLOOKUP($A1925,Matches!$A:$AC,2,FALSE),IF($B1925="GW2",VLOOKUP($A1925,Matches!$A:$AC,9,FALSE),IF($B1925="GW3",VLOOKUP($A1925,Matches!$A:$AC,16,FALSE))))</f>
        <v>Everton</v>
      </c>
      <c r="D1925" s="6">
        <v>0.39306631028654532</v>
      </c>
      <c r="E1925" s="6">
        <v>0.33022917905026083</v>
      </c>
      <c r="F1925" s="6">
        <v>6.2837131236284482E-2</v>
      </c>
      <c r="G1925" s="3" t="s">
        <v>1</v>
      </c>
      <c r="H1925" t="e">
        <v>#N/A</v>
      </c>
      <c r="I1925" t="e">
        <v>#N/A</v>
      </c>
      <c r="J1925">
        <v>0.253968254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</row>
    <row r="1926" spans="1:15" x14ac:dyDescent="0.25">
      <c r="A1926" t="s">
        <v>22</v>
      </c>
      <c r="B1926" t="s">
        <v>25</v>
      </c>
      <c r="C1926" s="3" t="str">
        <f>IF($B1926="GW1",VLOOKUP($A1926,Matches!$A:$AC,2,FALSE),IF($B1926="GW2",VLOOKUP($A1926,Matches!$A:$AC,9,FALSE),IF($B1926="GW3",VLOOKUP($A1926,Matches!$A:$AC,16,FALSE))))</f>
        <v>Everton</v>
      </c>
      <c r="D1926" s="6">
        <v>0.39306631028654532</v>
      </c>
      <c r="E1926" s="6">
        <v>0.33022917905026083</v>
      </c>
      <c r="F1926" s="6">
        <v>6.2837131236284482E-2</v>
      </c>
      <c r="G1926" s="3" t="s">
        <v>1</v>
      </c>
      <c r="H1926" t="e">
        <v>#N/A</v>
      </c>
      <c r="I1926" t="e">
        <v>#N/A</v>
      </c>
      <c r="J1926">
        <v>0.253968254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</row>
    <row r="1927" spans="1:15" x14ac:dyDescent="0.25">
      <c r="A1927" t="s">
        <v>22</v>
      </c>
      <c r="B1927" t="s">
        <v>25</v>
      </c>
      <c r="C1927" s="3" t="str">
        <f>IF($B1927="GW1",VLOOKUP($A1927,Matches!$A:$AC,2,FALSE),IF($B1927="GW2",VLOOKUP($A1927,Matches!$A:$AC,9,FALSE),IF($B1927="GW3",VLOOKUP($A1927,Matches!$A:$AC,16,FALSE))))</f>
        <v>Everton</v>
      </c>
      <c r="D1927" s="6">
        <v>0.39306631028654532</v>
      </c>
      <c r="E1927" s="6">
        <v>0.33022917905026083</v>
      </c>
      <c r="F1927" s="6">
        <v>6.2837131236284482E-2</v>
      </c>
      <c r="G1927" s="3" t="s">
        <v>1</v>
      </c>
      <c r="H1927">
        <v>7.3260072999999995E-2</v>
      </c>
      <c r="I1927">
        <v>5.6022409000000002E-2</v>
      </c>
      <c r="J1927">
        <v>0.307219662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</row>
    <row r="1928" spans="1:15" x14ac:dyDescent="0.25">
      <c r="A1928" t="s">
        <v>22</v>
      </c>
      <c r="B1928" t="s">
        <v>25</v>
      </c>
      <c r="C1928" s="3" t="str">
        <f>IF($B1928="GW1",VLOOKUP($A1928,Matches!$A:$AC,2,FALSE),IF($B1928="GW2",VLOOKUP($A1928,Matches!$A:$AC,9,FALSE),IF($B1928="GW3",VLOOKUP($A1928,Matches!$A:$AC,16,FALSE))))</f>
        <v>Everton</v>
      </c>
      <c r="D1928" s="6">
        <v>0.39306631028654532</v>
      </c>
      <c r="E1928" s="6">
        <v>0.33022917905026083</v>
      </c>
      <c r="F1928" s="6">
        <v>6.2837131236284482E-2</v>
      </c>
      <c r="G1928" s="3" t="s">
        <v>1</v>
      </c>
      <c r="H1928">
        <v>7.9365079000000005E-2</v>
      </c>
      <c r="I1928">
        <v>8.6580087E-2</v>
      </c>
      <c r="J1928">
        <v>0.21164021199999999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</row>
    <row r="1929" spans="1:15" x14ac:dyDescent="0.25">
      <c r="A1929" t="s">
        <v>22</v>
      </c>
      <c r="B1929" t="s">
        <v>25</v>
      </c>
      <c r="C1929" s="3" t="str">
        <f>IF($B1929="GW1",VLOOKUP($A1929,Matches!$A:$AC,2,FALSE),IF($B1929="GW2",VLOOKUP($A1929,Matches!$A:$AC,9,FALSE),IF($B1929="GW3",VLOOKUP($A1929,Matches!$A:$AC,16,FALSE))))</f>
        <v>Everton</v>
      </c>
      <c r="D1929" s="6">
        <v>0.39306631028654532</v>
      </c>
      <c r="E1929" s="6">
        <v>0.33022917905026083</v>
      </c>
      <c r="F1929" s="6">
        <v>6.2837131236284482E-2</v>
      </c>
      <c r="G1929" s="3" t="s">
        <v>1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</row>
    <row r="1930" spans="1:15" x14ac:dyDescent="0.25">
      <c r="A1930" t="s">
        <v>22</v>
      </c>
      <c r="B1930" t="s">
        <v>25</v>
      </c>
      <c r="C1930" s="3" t="str">
        <f>IF($B1930="GW1",VLOOKUP($A1930,Matches!$A:$AC,2,FALSE),IF($B1930="GW2",VLOOKUP($A1930,Matches!$A:$AC,9,FALSE),IF($B1930="GW3",VLOOKUP($A1930,Matches!$A:$AC,16,FALSE))))</f>
        <v>Everton</v>
      </c>
      <c r="D1930" s="6">
        <v>0.39306631028654532</v>
      </c>
      <c r="E1930" s="6">
        <v>0.33022917905026083</v>
      </c>
      <c r="F1930" s="6">
        <v>6.2837131236284482E-2</v>
      </c>
      <c r="G1930" s="3" t="s">
        <v>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</row>
    <row r="1931" spans="1:15" x14ac:dyDescent="0.25">
      <c r="A1931" t="s">
        <v>22</v>
      </c>
      <c r="B1931" t="s">
        <v>25</v>
      </c>
      <c r="C1931" s="3" t="str">
        <f>IF($B1931="GW1",VLOOKUP($A1931,Matches!$A:$AC,2,FALSE),IF($B1931="GW2",VLOOKUP($A1931,Matches!$A:$AC,9,FALSE),IF($B1931="GW3",VLOOKUP($A1931,Matches!$A:$AC,16,FALSE))))</f>
        <v>Everton</v>
      </c>
      <c r="D1931" s="6">
        <v>0.39306631028654532</v>
      </c>
      <c r="E1931" s="6">
        <v>0.33022917905026083</v>
      </c>
      <c r="F1931" s="6">
        <v>6.2837131236284482E-2</v>
      </c>
      <c r="G1931" s="3" t="s">
        <v>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</row>
    <row r="1932" spans="1:15" x14ac:dyDescent="0.25">
      <c r="A1932" t="s">
        <v>22</v>
      </c>
      <c r="B1932" t="s">
        <v>25</v>
      </c>
      <c r="C1932" s="3" t="str">
        <f>IF($B1932="GW1",VLOOKUP($A1932,Matches!$A:$AC,2,FALSE),IF($B1932="GW2",VLOOKUP($A1932,Matches!$A:$AC,9,FALSE),IF($B1932="GW3",VLOOKUP($A1932,Matches!$A:$AC,16,FALSE))))</f>
        <v>Everton</v>
      </c>
      <c r="D1932" s="6">
        <v>0.39306631028654532</v>
      </c>
      <c r="E1932" s="6">
        <v>0.33022917905026083</v>
      </c>
      <c r="F1932" s="6">
        <v>6.2837131236284482E-2</v>
      </c>
      <c r="G1932" s="3" t="s">
        <v>1</v>
      </c>
      <c r="H1932">
        <v>5.6022409000000002E-2</v>
      </c>
      <c r="I1932">
        <v>4.1407867000000001E-2</v>
      </c>
      <c r="J1932">
        <v>0.253968254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</row>
    <row r="1933" spans="1:15" x14ac:dyDescent="0.25">
      <c r="A1933" t="s">
        <v>22</v>
      </c>
      <c r="B1933" t="s">
        <v>25</v>
      </c>
      <c r="C1933" s="3" t="str">
        <f>IF($B1933="GW1",VLOOKUP($A1933,Matches!$A:$AC,2,FALSE),IF($B1933="GW2",VLOOKUP($A1933,Matches!$A:$AC,9,FALSE),IF($B1933="GW3",VLOOKUP($A1933,Matches!$A:$AC,16,FALSE))))</f>
        <v>Everton</v>
      </c>
      <c r="D1933" s="6">
        <v>0.39306631028654532</v>
      </c>
      <c r="E1933" s="6">
        <v>0.33022917905026083</v>
      </c>
      <c r="F1933" s="6">
        <v>6.2837131236284482E-2</v>
      </c>
      <c r="G1933" s="3" t="s">
        <v>1</v>
      </c>
      <c r="H1933">
        <v>7.9365079000000005E-2</v>
      </c>
      <c r="I1933">
        <v>5.6022409000000002E-2</v>
      </c>
      <c r="J1933">
        <v>0.21164021199999999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</row>
    <row r="1934" spans="1:15" x14ac:dyDescent="0.25">
      <c r="A1934" t="s">
        <v>22</v>
      </c>
      <c r="B1934" t="s">
        <v>25</v>
      </c>
      <c r="C1934" s="3" t="str">
        <f>IF($B1934="GW1",VLOOKUP($A1934,Matches!$A:$AC,2,FALSE),IF($B1934="GW2",VLOOKUP($A1934,Matches!$A:$AC,9,FALSE),IF($B1934="GW3",VLOOKUP($A1934,Matches!$A:$AC,16,FALSE))))</f>
        <v>Everton</v>
      </c>
      <c r="D1934" s="6">
        <v>0.39306631028654532</v>
      </c>
      <c r="E1934" s="6">
        <v>0.33022917905026083</v>
      </c>
      <c r="F1934" s="6">
        <v>6.2837131236284482E-2</v>
      </c>
      <c r="G1934" s="3" t="s">
        <v>1</v>
      </c>
      <c r="H1934">
        <v>0.10025062699999999</v>
      </c>
      <c r="I1934">
        <v>6.3492063000000001E-2</v>
      </c>
      <c r="J1934">
        <v>0.41407867500000001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</row>
    <row r="1935" spans="1:15" x14ac:dyDescent="0.25">
      <c r="A1935" t="s">
        <v>22</v>
      </c>
      <c r="B1935" t="s">
        <v>25</v>
      </c>
      <c r="C1935" s="3" t="str">
        <f>IF($B1935="GW1",VLOOKUP($A1935,Matches!$A:$AC,2,FALSE),IF($B1935="GW2",VLOOKUP($A1935,Matches!$A:$AC,9,FALSE),IF($B1935="GW3",VLOOKUP($A1935,Matches!$A:$AC,16,FALSE))))</f>
        <v>Everton</v>
      </c>
      <c r="D1935" s="6">
        <v>0.39306631028654532</v>
      </c>
      <c r="E1935" s="6">
        <v>0.33022917905026083</v>
      </c>
      <c r="F1935" s="6">
        <v>6.2837131236284482E-2</v>
      </c>
      <c r="G1935" s="3" t="s">
        <v>1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</row>
    <row r="1936" spans="1:15" x14ac:dyDescent="0.25">
      <c r="A1936" t="s">
        <v>22</v>
      </c>
      <c r="B1936" t="s">
        <v>25</v>
      </c>
      <c r="C1936" s="3" t="str">
        <f>IF($B1936="GW1",VLOOKUP($A1936,Matches!$A:$AC,2,FALSE),IF($B1936="GW2",VLOOKUP($A1936,Matches!$A:$AC,9,FALSE),IF($B1936="GW3",VLOOKUP($A1936,Matches!$A:$AC,16,FALSE))))</f>
        <v>Everton</v>
      </c>
      <c r="D1936" s="6">
        <v>0.39306631028654532</v>
      </c>
      <c r="E1936" s="6">
        <v>0.33022917905026083</v>
      </c>
      <c r="F1936" s="6">
        <v>6.2837131236284482E-2</v>
      </c>
      <c r="G1936" s="3" t="s">
        <v>1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</row>
    <row r="1937" spans="1:15" x14ac:dyDescent="0.25">
      <c r="A1937" t="s">
        <v>22</v>
      </c>
      <c r="B1937" t="s">
        <v>25</v>
      </c>
      <c r="C1937" s="3" t="str">
        <f>IF($B1937="GW1",VLOOKUP($A1937,Matches!$A:$AC,2,FALSE),IF($B1937="GW2",VLOOKUP($A1937,Matches!$A:$AC,9,FALSE),IF($B1937="GW3",VLOOKUP($A1937,Matches!$A:$AC,16,FALSE))))</f>
        <v>Everton</v>
      </c>
      <c r="D1937" s="6">
        <v>0.39306631028654532</v>
      </c>
      <c r="E1937" s="6">
        <v>0.33022917905026083</v>
      </c>
      <c r="F1937" s="6">
        <v>6.2837131236284482E-2</v>
      </c>
      <c r="G1937" s="3" t="s">
        <v>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</row>
    <row r="1938" spans="1:15" x14ac:dyDescent="0.25">
      <c r="A1938" t="s">
        <v>22</v>
      </c>
      <c r="B1938" t="s">
        <v>25</v>
      </c>
      <c r="C1938" s="3" t="str">
        <f>IF($B1938="GW1",VLOOKUP($A1938,Matches!$A:$AC,2,FALSE),IF($B1938="GW2",VLOOKUP($A1938,Matches!$A:$AC,9,FALSE),IF($B1938="GW3",VLOOKUP($A1938,Matches!$A:$AC,16,FALSE))))</f>
        <v>Everton</v>
      </c>
      <c r="D1938" s="6">
        <v>0.39306631028654532</v>
      </c>
      <c r="E1938" s="6">
        <v>0.33022917905026083</v>
      </c>
      <c r="F1938" s="6">
        <v>6.2837131236284482E-2</v>
      </c>
      <c r="G1938" s="3" t="s">
        <v>1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</row>
    <row r="1939" spans="1:15" x14ac:dyDescent="0.25">
      <c r="A1939" t="s">
        <v>22</v>
      </c>
      <c r="B1939" t="s">
        <v>25</v>
      </c>
      <c r="C1939" s="3" t="str">
        <f>IF($B1939="GW1",VLOOKUP($A1939,Matches!$A:$AC,2,FALSE),IF($B1939="GW2",VLOOKUP($A1939,Matches!$A:$AC,9,FALSE),IF($B1939="GW3",VLOOKUP($A1939,Matches!$A:$AC,16,FALSE))))</f>
        <v>Everton</v>
      </c>
      <c r="D1939" s="6">
        <v>0.39306631028654532</v>
      </c>
      <c r="E1939" s="6">
        <v>0.33022917905026083</v>
      </c>
      <c r="F1939" s="6">
        <v>6.2837131236284482E-2</v>
      </c>
      <c r="G1939" s="3" t="s">
        <v>1</v>
      </c>
      <c r="H1939">
        <v>0.10025062699999999</v>
      </c>
      <c r="I1939">
        <v>6.3492063000000001E-2</v>
      </c>
      <c r="J1939">
        <v>0.38095238100000001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</row>
    <row r="1940" spans="1:15" x14ac:dyDescent="0.25">
      <c r="A1940" t="s">
        <v>22</v>
      </c>
      <c r="B1940" t="s">
        <v>25</v>
      </c>
      <c r="C1940" s="3" t="str">
        <f>IF($B1940="GW1",VLOOKUP($A1940,Matches!$A:$AC,2,FALSE),IF($B1940="GW2",VLOOKUP($A1940,Matches!$A:$AC,9,FALSE),IF($B1940="GW3",VLOOKUP($A1940,Matches!$A:$AC,16,FALSE))))</f>
        <v>Everton</v>
      </c>
      <c r="D1940" s="6">
        <v>0.39306631028654532</v>
      </c>
      <c r="E1940" s="6">
        <v>0.33022917905026083</v>
      </c>
      <c r="F1940" s="6">
        <v>6.2837131236284482E-2</v>
      </c>
      <c r="G1940" s="3" t="s">
        <v>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</row>
    <row r="1941" spans="1:15" x14ac:dyDescent="0.25">
      <c r="A1941" t="s">
        <v>22</v>
      </c>
      <c r="B1941" t="s">
        <v>25</v>
      </c>
      <c r="C1941" s="3" t="str">
        <f>IF($B1941="GW1",VLOOKUP($A1941,Matches!$A:$AC,2,FALSE),IF($B1941="GW2",VLOOKUP($A1941,Matches!$A:$AC,9,FALSE),IF($B1941="GW3",VLOOKUP($A1941,Matches!$A:$AC,16,FALSE))))</f>
        <v>Everton</v>
      </c>
      <c r="D1941" s="6">
        <v>0.39306631028654532</v>
      </c>
      <c r="E1941" s="6">
        <v>0.33022917905026083</v>
      </c>
      <c r="F1941" s="6">
        <v>6.2837131236284482E-2</v>
      </c>
      <c r="G1941" s="3" t="s">
        <v>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</row>
    <row r="1942" spans="1:15" x14ac:dyDescent="0.25">
      <c r="A1942" t="s">
        <v>22</v>
      </c>
      <c r="B1942" t="s">
        <v>25</v>
      </c>
      <c r="C1942" s="3" t="str">
        <f>IF($B1942="GW1",VLOOKUP($A1942,Matches!$A:$AC,2,FALSE),IF($B1942="GW2",VLOOKUP($A1942,Matches!$A:$AC,9,FALSE),IF($B1942="GW3",VLOOKUP($A1942,Matches!$A:$AC,16,FALSE))))</f>
        <v>Everton</v>
      </c>
      <c r="D1942" s="6">
        <v>0.39306631028654532</v>
      </c>
      <c r="E1942" s="6">
        <v>0.33022917905026083</v>
      </c>
      <c r="F1942" s="6">
        <v>6.2837131236284482E-2</v>
      </c>
      <c r="G1942" s="3" t="s">
        <v>1</v>
      </c>
      <c r="H1942">
        <v>0.15873015900000001</v>
      </c>
      <c r="I1942">
        <v>5.6022409000000002E-2</v>
      </c>
      <c r="J1942">
        <v>0.36350418000000001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</row>
    <row r="1943" spans="1:15" x14ac:dyDescent="0.25">
      <c r="A1943" t="s">
        <v>22</v>
      </c>
      <c r="B1943" t="s">
        <v>25</v>
      </c>
      <c r="C1943" s="3" t="str">
        <f>IF($B1943="GW1",VLOOKUP($A1943,Matches!$A:$AC,2,FALSE),IF($B1943="GW2",VLOOKUP($A1943,Matches!$A:$AC,9,FALSE),IF($B1943="GW3",VLOOKUP($A1943,Matches!$A:$AC,16,FALSE))))</f>
        <v>Everton</v>
      </c>
      <c r="D1943" s="6">
        <v>0.39306631028654532</v>
      </c>
      <c r="E1943" s="6">
        <v>0.33022917905026083</v>
      </c>
      <c r="F1943" s="6">
        <v>6.2837131236284482E-2</v>
      </c>
      <c r="G1943" s="3" t="s">
        <v>1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</row>
    <row r="1944" spans="1:15" x14ac:dyDescent="0.25">
      <c r="A1944" t="s">
        <v>22</v>
      </c>
      <c r="B1944" t="s">
        <v>25</v>
      </c>
      <c r="C1944" s="3" t="str">
        <f>IF($B1944="GW1",VLOOKUP($A1944,Matches!$A:$AC,2,FALSE),IF($B1944="GW2",VLOOKUP($A1944,Matches!$A:$AC,9,FALSE),IF($B1944="GW3",VLOOKUP($A1944,Matches!$A:$AC,16,FALSE))))</f>
        <v>Everton</v>
      </c>
      <c r="D1944" s="6">
        <v>0.39306631028654532</v>
      </c>
      <c r="E1944" s="6">
        <v>0.33022917905026083</v>
      </c>
      <c r="F1944" s="6">
        <v>6.2837131236284482E-2</v>
      </c>
      <c r="G1944" s="3" t="s">
        <v>1</v>
      </c>
      <c r="H1944">
        <v>0.23809523799999999</v>
      </c>
      <c r="I1944">
        <v>7.3260072999999995E-2</v>
      </c>
      <c r="J1944">
        <v>0.36350418000000001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</row>
    <row r="1945" spans="1:15" x14ac:dyDescent="0.25">
      <c r="A1945" t="s">
        <v>22</v>
      </c>
      <c r="B1945" t="s">
        <v>25</v>
      </c>
      <c r="C1945" s="3" t="str">
        <f>IF($B1945="GW1",VLOOKUP($A1945,Matches!$A:$AC,2,FALSE),IF($B1945="GW2",VLOOKUP($A1945,Matches!$A:$AC,9,FALSE),IF($B1945="GW3",VLOOKUP($A1945,Matches!$A:$AC,16,FALSE))))</f>
        <v>Everton</v>
      </c>
      <c r="D1945" s="6">
        <v>0.39306631028654532</v>
      </c>
      <c r="E1945" s="6">
        <v>0.33022917905026083</v>
      </c>
      <c r="F1945" s="6">
        <v>6.2837131236284482E-2</v>
      </c>
      <c r="G1945" s="3" t="s">
        <v>1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</row>
    <row r="1946" spans="1:15" x14ac:dyDescent="0.25">
      <c r="A1946" t="s">
        <v>22</v>
      </c>
      <c r="B1946" t="s">
        <v>25</v>
      </c>
      <c r="C1946" s="3" t="str">
        <f>IF($B1946="GW1",VLOOKUP($A1946,Matches!$A:$AC,2,FALSE),IF($B1946="GW2",VLOOKUP($A1946,Matches!$A:$AC,9,FALSE),IF($B1946="GW3",VLOOKUP($A1946,Matches!$A:$AC,16,FALSE))))</f>
        <v>Everton</v>
      </c>
      <c r="D1946" s="6">
        <v>0.39306631028654532</v>
      </c>
      <c r="E1946" s="6">
        <v>0.33022917905026083</v>
      </c>
      <c r="F1946" s="6">
        <v>6.2837131236284482E-2</v>
      </c>
      <c r="G1946" s="3" t="s">
        <v>1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</row>
    <row r="1947" spans="1:15" x14ac:dyDescent="0.25">
      <c r="A1947" t="s">
        <v>22</v>
      </c>
      <c r="B1947" t="s">
        <v>25</v>
      </c>
      <c r="C1947" s="3" t="str">
        <f>IF($B1947="GW1",VLOOKUP($A1947,Matches!$A:$AC,2,FALSE),IF($B1947="GW2",VLOOKUP($A1947,Matches!$A:$AC,9,FALSE),IF($B1947="GW3",VLOOKUP($A1947,Matches!$A:$AC,16,FALSE))))</f>
        <v>Everton</v>
      </c>
      <c r="D1947" s="6">
        <v>0.39306631028654532</v>
      </c>
      <c r="E1947" s="6">
        <v>0.33022917905026083</v>
      </c>
      <c r="F1947" s="6">
        <v>6.2837131236284482E-2</v>
      </c>
      <c r="G1947" s="3" t="s">
        <v>1</v>
      </c>
      <c r="H1947">
        <v>0.173160173</v>
      </c>
      <c r="I1947">
        <v>0.11904761899999999</v>
      </c>
      <c r="J1947">
        <v>0.21164021199999999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</row>
    <row r="1948" spans="1:15" x14ac:dyDescent="0.25">
      <c r="A1948" t="s">
        <v>22</v>
      </c>
      <c r="B1948" t="s">
        <v>25</v>
      </c>
      <c r="C1948" s="3" t="str">
        <f>IF($B1948="GW1",VLOOKUP($A1948,Matches!$A:$AC,2,FALSE),IF($B1948="GW2",VLOOKUP($A1948,Matches!$A:$AC,9,FALSE),IF($B1948="GW3",VLOOKUP($A1948,Matches!$A:$AC,16,FALSE))))</f>
        <v>Everton</v>
      </c>
      <c r="D1948" s="6">
        <v>0.39306631028654532</v>
      </c>
      <c r="E1948" s="6">
        <v>0.33022917905026083</v>
      </c>
      <c r="F1948" s="6">
        <v>6.2837131236284482E-2</v>
      </c>
      <c r="G1948" s="3" t="s">
        <v>1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</row>
    <row r="1949" spans="1:15" x14ac:dyDescent="0.25">
      <c r="A1949" t="s">
        <v>22</v>
      </c>
      <c r="B1949" t="s">
        <v>25</v>
      </c>
      <c r="C1949" s="3" t="str">
        <f>IF($B1949="GW1",VLOOKUP($A1949,Matches!$A:$AC,2,FALSE),IF($B1949="GW2",VLOOKUP($A1949,Matches!$A:$AC,9,FALSE),IF($B1949="GW3",VLOOKUP($A1949,Matches!$A:$AC,16,FALSE))))</f>
        <v>Everton</v>
      </c>
      <c r="D1949" s="6">
        <v>0.39306631028654532</v>
      </c>
      <c r="E1949" s="6">
        <v>0.33022917905026083</v>
      </c>
      <c r="F1949" s="6">
        <v>6.2837131236284482E-2</v>
      </c>
      <c r="G1949" s="3" t="s">
        <v>1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</row>
    <row r="1950" spans="1:15" x14ac:dyDescent="0.25">
      <c r="A1950" t="s">
        <v>22</v>
      </c>
      <c r="B1950" t="s">
        <v>25</v>
      </c>
      <c r="C1950" s="3" t="str">
        <f>IF($B1950="GW1",VLOOKUP($A1950,Matches!$A:$AC,2,FALSE),IF($B1950="GW2",VLOOKUP($A1950,Matches!$A:$AC,9,FALSE),IF($B1950="GW3",VLOOKUP($A1950,Matches!$A:$AC,16,FALSE))))</f>
        <v>Everton</v>
      </c>
      <c r="D1950" s="6">
        <v>0.39306631028654532</v>
      </c>
      <c r="E1950" s="6">
        <v>0.33022917905026083</v>
      </c>
      <c r="F1950" s="6">
        <v>6.2837131236284482E-2</v>
      </c>
      <c r="G1950" s="3" t="s">
        <v>1</v>
      </c>
      <c r="H1950">
        <v>0.27210884400000002</v>
      </c>
      <c r="I1950">
        <v>0.11904761899999999</v>
      </c>
      <c r="J1950">
        <v>0.13605442200000001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</row>
    <row r="1951" spans="1:15" x14ac:dyDescent="0.25">
      <c r="A1951" t="s">
        <v>22</v>
      </c>
      <c r="B1951" t="s">
        <v>25</v>
      </c>
      <c r="C1951" s="3" t="str">
        <f>IF($B1951="GW1",VLOOKUP($A1951,Matches!$A:$AC,2,FALSE),IF($B1951="GW2",VLOOKUP($A1951,Matches!$A:$AC,9,FALSE),IF($B1951="GW3",VLOOKUP($A1951,Matches!$A:$AC,16,FALSE))))</f>
        <v>Everton</v>
      </c>
      <c r="D1951" s="6">
        <v>0.39306631028654532</v>
      </c>
      <c r="E1951" s="6">
        <v>0.33022917905026083</v>
      </c>
      <c r="F1951" s="6">
        <v>6.2837131236284482E-2</v>
      </c>
      <c r="G1951" s="3" t="s">
        <v>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</row>
    <row r="1952" spans="1:15" x14ac:dyDescent="0.25">
      <c r="A1952" t="s">
        <v>22</v>
      </c>
      <c r="B1952" t="s">
        <v>25</v>
      </c>
      <c r="C1952" s="3" t="str">
        <f>IF($B1952="GW1",VLOOKUP($A1952,Matches!$A:$AC,2,FALSE),IF($B1952="GW2",VLOOKUP($A1952,Matches!$A:$AC,9,FALSE),IF($B1952="GW3",VLOOKUP($A1952,Matches!$A:$AC,16,FALSE))))</f>
        <v>Everton</v>
      </c>
      <c r="D1952" s="6">
        <v>0.39306631028654532</v>
      </c>
      <c r="E1952" s="6">
        <v>0.33022917905026083</v>
      </c>
      <c r="F1952" s="6">
        <v>6.2837131236284482E-2</v>
      </c>
      <c r="G1952" s="3" t="s">
        <v>1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</row>
    <row r="1953" spans="1:15" x14ac:dyDescent="0.25">
      <c r="A1953" t="s">
        <v>22</v>
      </c>
      <c r="B1953" t="s">
        <v>25</v>
      </c>
      <c r="C1953" s="3" t="str">
        <f>IF($B1953="GW1",VLOOKUP($A1953,Matches!$A:$AC,2,FALSE),IF($B1953="GW2",VLOOKUP($A1953,Matches!$A:$AC,9,FALSE),IF($B1953="GW3",VLOOKUP($A1953,Matches!$A:$AC,16,FALSE))))</f>
        <v>Everton</v>
      </c>
      <c r="D1953" s="6">
        <v>0.39306631028654532</v>
      </c>
      <c r="E1953" s="6">
        <v>0.33022917905026083</v>
      </c>
      <c r="F1953" s="6">
        <v>6.2837131236284482E-2</v>
      </c>
      <c r="G1953" s="3" t="s">
        <v>1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</row>
    <row r="1954" spans="1:15" x14ac:dyDescent="0.25">
      <c r="A1954" t="s">
        <v>22</v>
      </c>
      <c r="B1954" t="s">
        <v>25</v>
      </c>
      <c r="C1954" s="3" t="str">
        <f>IF($B1954="GW1",VLOOKUP($A1954,Matches!$A:$AC,2,FALSE),IF($B1954="GW2",VLOOKUP($A1954,Matches!$A:$AC,9,FALSE),IF($B1954="GW3",VLOOKUP($A1954,Matches!$A:$AC,16,FALSE))))</f>
        <v>Everton</v>
      </c>
      <c r="D1954" s="6">
        <v>0.39306631028654532</v>
      </c>
      <c r="E1954" s="6">
        <v>0.33022917905026083</v>
      </c>
      <c r="F1954" s="6">
        <v>6.2837131236284482E-2</v>
      </c>
      <c r="G1954" s="3" t="s">
        <v>1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</row>
    <row r="1955" spans="1:15" x14ac:dyDescent="0.25">
      <c r="A1955" t="s">
        <v>22</v>
      </c>
      <c r="B1955" t="s">
        <v>25</v>
      </c>
      <c r="C1955" s="3" t="str">
        <f>IF($B1955="GW1",VLOOKUP($A1955,Matches!$A:$AC,2,FALSE),IF($B1955="GW2",VLOOKUP($A1955,Matches!$A:$AC,9,FALSE),IF($B1955="GW3",VLOOKUP($A1955,Matches!$A:$AC,16,FALSE))))</f>
        <v>Everton</v>
      </c>
      <c r="D1955" s="6">
        <v>0.39306631028654532</v>
      </c>
      <c r="E1955" s="6">
        <v>0.33022917905026083</v>
      </c>
      <c r="F1955" s="6">
        <v>6.2837131236284482E-2</v>
      </c>
      <c r="G1955" s="3" t="s">
        <v>1</v>
      </c>
      <c r="H1955">
        <v>0.21994941200000001</v>
      </c>
      <c r="I1955">
        <v>0.173160173</v>
      </c>
      <c r="J1955">
        <v>0.307219662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</row>
    <row r="1956" spans="1:15" x14ac:dyDescent="0.25">
      <c r="A1956" t="s">
        <v>22</v>
      </c>
      <c r="B1956" t="s">
        <v>25</v>
      </c>
      <c r="C1956" s="3" t="str">
        <f>IF($B1956="GW1",VLOOKUP($A1956,Matches!$A:$AC,2,FALSE),IF($B1956="GW2",VLOOKUP($A1956,Matches!$A:$AC,9,FALSE),IF($B1956="GW3",VLOOKUP($A1956,Matches!$A:$AC,16,FALSE))))</f>
        <v>Everton</v>
      </c>
      <c r="D1956" s="6">
        <v>0.39306631028654532</v>
      </c>
      <c r="E1956" s="6">
        <v>0.33022917905026083</v>
      </c>
      <c r="F1956" s="6">
        <v>6.2837131236284482E-2</v>
      </c>
      <c r="G1956" s="3" t="s">
        <v>1</v>
      </c>
      <c r="H1956">
        <v>5.0125312999999998E-2</v>
      </c>
      <c r="I1956">
        <v>7.3260072999999995E-2</v>
      </c>
      <c r="J1956">
        <v>0.19047618999999999</v>
      </c>
      <c r="K1956">
        <v>0.13580246900000001</v>
      </c>
      <c r="L1956">
        <v>0.625</v>
      </c>
      <c r="M1956">
        <v>0.171686747</v>
      </c>
      <c r="N1956" t="e">
        <v>#N/A</v>
      </c>
      <c r="O1956" t="e">
        <v>#N/A</v>
      </c>
    </row>
    <row r="1957" spans="1:15" x14ac:dyDescent="0.25">
      <c r="A1957" t="s">
        <v>22</v>
      </c>
      <c r="B1957" t="s">
        <v>25</v>
      </c>
      <c r="C1957" s="3" t="str">
        <f>IF($B1957="GW1",VLOOKUP($A1957,Matches!$A:$AC,2,FALSE),IF($B1957="GW2",VLOOKUP($A1957,Matches!$A:$AC,9,FALSE),IF($B1957="GW3",VLOOKUP($A1957,Matches!$A:$AC,16,FALSE))))</f>
        <v>Everton</v>
      </c>
      <c r="D1957" s="6">
        <v>0.39306631028654532</v>
      </c>
      <c r="E1957" s="6">
        <v>0.33022917905026083</v>
      </c>
      <c r="F1957" s="6">
        <v>6.2837131236284482E-2</v>
      </c>
      <c r="G1957" s="3" t="s">
        <v>1</v>
      </c>
      <c r="H1957">
        <v>0.15873015900000001</v>
      </c>
      <c r="I1957">
        <v>0.14652014699999999</v>
      </c>
      <c r="J1957">
        <v>0.21164021199999999</v>
      </c>
      <c r="K1957">
        <v>0.41099476400000001</v>
      </c>
      <c r="L1957">
        <v>0.25</v>
      </c>
      <c r="M1957">
        <v>2.8710184E-2</v>
      </c>
      <c r="N1957" t="e">
        <v>#N/A</v>
      </c>
      <c r="O1957" t="e">
        <v>#N/A</v>
      </c>
    </row>
    <row r="1958" spans="1:15" x14ac:dyDescent="0.25">
      <c r="A1958" t="s">
        <v>22</v>
      </c>
      <c r="B1958" t="s">
        <v>25</v>
      </c>
      <c r="C1958" s="3" t="str">
        <f>IF($B1958="GW1",VLOOKUP($A1958,Matches!$A:$AC,2,FALSE),IF($B1958="GW2",VLOOKUP($A1958,Matches!$A:$AC,9,FALSE),IF($B1958="GW3",VLOOKUP($A1958,Matches!$A:$AC,16,FALSE))))</f>
        <v>Everton</v>
      </c>
      <c r="D1958" s="6">
        <v>0.39306631028654532</v>
      </c>
      <c r="E1958" s="6">
        <v>0.33022917905026083</v>
      </c>
      <c r="F1958" s="6">
        <v>6.2837131236284482E-2</v>
      </c>
      <c r="G1958" s="3" t="s">
        <v>1</v>
      </c>
      <c r="H1958">
        <v>0.27210884400000002</v>
      </c>
      <c r="I1958">
        <v>0.15873015900000001</v>
      </c>
      <c r="J1958">
        <v>0.20050125299999999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</row>
    <row r="1959" spans="1:15" x14ac:dyDescent="0.25">
      <c r="A1959" t="s">
        <v>22</v>
      </c>
      <c r="B1959" t="s">
        <v>25</v>
      </c>
      <c r="C1959" s="3" t="str">
        <f>IF($B1959="GW1",VLOOKUP($A1959,Matches!$A:$AC,2,FALSE),IF($B1959="GW2",VLOOKUP($A1959,Matches!$A:$AC,9,FALSE),IF($B1959="GW3",VLOOKUP($A1959,Matches!$A:$AC,16,FALSE))))</f>
        <v>Everton</v>
      </c>
      <c r="D1959" s="6">
        <v>0.39306631028654532</v>
      </c>
      <c r="E1959" s="6">
        <v>0.33022917905026083</v>
      </c>
      <c r="F1959" s="6">
        <v>6.2837131236284482E-2</v>
      </c>
      <c r="G1959" s="3" t="s">
        <v>1</v>
      </c>
      <c r="H1959" t="e">
        <v>#N/A</v>
      </c>
      <c r="I1959" t="e">
        <v>#N/A</v>
      </c>
      <c r="J1959">
        <v>0.105820106</v>
      </c>
      <c r="K1959">
        <v>0.276595745</v>
      </c>
      <c r="L1959">
        <v>0.375</v>
      </c>
      <c r="M1959">
        <v>5.6865464999999997E-2</v>
      </c>
      <c r="N1959" t="e">
        <v>#N/A</v>
      </c>
      <c r="O1959" t="e">
        <v>#N/A</v>
      </c>
    </row>
    <row r="1960" spans="1:15" x14ac:dyDescent="0.25">
      <c r="A1960" t="s">
        <v>22</v>
      </c>
      <c r="B1960" t="s">
        <v>25</v>
      </c>
      <c r="C1960" s="3" t="str">
        <f>IF($B1960="GW1",VLOOKUP($A1960,Matches!$A:$AC,2,FALSE),IF($B1960="GW2",VLOOKUP($A1960,Matches!$A:$AC,9,FALSE),IF($B1960="GW3",VLOOKUP($A1960,Matches!$A:$AC,16,FALSE))))</f>
        <v>Everton</v>
      </c>
      <c r="D1960" s="6">
        <v>0.39306631028654532</v>
      </c>
      <c r="E1960" s="6">
        <v>0.33022917905026083</v>
      </c>
      <c r="F1960" s="6">
        <v>6.2837131236284482E-2</v>
      </c>
      <c r="G1960" s="3" t="s">
        <v>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</row>
    <row r="1961" spans="1:15" x14ac:dyDescent="0.25">
      <c r="A1961" t="s">
        <v>22</v>
      </c>
      <c r="B1961" t="s">
        <v>25</v>
      </c>
      <c r="C1961" s="3" t="str">
        <f>IF($B1961="GW1",VLOOKUP($A1961,Matches!$A:$AC,2,FALSE),IF($B1961="GW2",VLOOKUP($A1961,Matches!$A:$AC,9,FALSE),IF($B1961="GW3",VLOOKUP($A1961,Matches!$A:$AC,16,FALSE))))</f>
        <v>Everton</v>
      </c>
      <c r="D1961" s="6">
        <v>0.39306631028654532</v>
      </c>
      <c r="E1961" s="6">
        <v>0.33022917905026083</v>
      </c>
      <c r="F1961" s="6">
        <v>6.2837131236284482E-2</v>
      </c>
      <c r="G1961" s="3" t="s">
        <v>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2695-0AE2-43FD-A7F2-9AB5353E970E}">
  <dimension ref="A1:AC21"/>
  <sheetViews>
    <sheetView workbookViewId="0"/>
  </sheetViews>
  <sheetFormatPr defaultRowHeight="15" x14ac:dyDescent="0.25"/>
  <cols>
    <col min="1" max="1" width="13.5703125" bestFit="1" customWidth="1"/>
    <col min="2" max="2" width="14.85546875" customWidth="1"/>
    <col min="3" max="3" width="17" style="3" customWidth="1"/>
    <col min="4" max="4" width="20.28515625" style="3" customWidth="1"/>
    <col min="5" max="5" width="26.85546875" style="3" customWidth="1"/>
    <col min="6" max="6" width="30.140625" style="3" customWidth="1"/>
    <col min="7" max="7" width="11.42578125" customWidth="1"/>
    <col min="8" max="8" width="20" style="3" customWidth="1"/>
    <col min="9" max="9" width="14.85546875" customWidth="1"/>
    <col min="10" max="10" width="17" customWidth="1"/>
    <col min="11" max="11" width="20.28515625" customWidth="1"/>
    <col min="12" max="12" width="26.85546875" style="3" customWidth="1"/>
    <col min="13" max="13" width="30.140625" style="3" customWidth="1"/>
    <col min="14" max="14" width="11.42578125" customWidth="1"/>
    <col min="15" max="15" width="20" customWidth="1"/>
    <col min="16" max="16" width="14.85546875" customWidth="1"/>
    <col min="17" max="17" width="17" customWidth="1"/>
    <col min="18" max="18" width="20.28515625" customWidth="1"/>
    <col min="19" max="19" width="26.85546875" style="3" customWidth="1"/>
    <col min="20" max="20" width="30.140625" style="3" customWidth="1"/>
    <col min="21" max="21" width="11.42578125" customWidth="1"/>
    <col min="22" max="22" width="20" customWidth="1"/>
    <col min="23" max="23" width="14.85546875" bestFit="1" customWidth="1"/>
    <col min="24" max="24" width="17" customWidth="1"/>
    <col min="25" max="25" width="20.28515625" customWidth="1"/>
    <col min="26" max="26" width="26.85546875" customWidth="1"/>
    <col min="27" max="27" width="30.140625" customWidth="1"/>
    <col min="28" max="28" width="11.42578125" customWidth="1"/>
    <col min="29" max="29" width="20" bestFit="1" customWidth="1"/>
  </cols>
  <sheetData>
    <row r="1" spans="1:29" s="1" customFormat="1" x14ac:dyDescent="0.25">
      <c r="A1" s="1" t="s">
        <v>2</v>
      </c>
      <c r="B1" s="1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1" t="s">
        <v>31</v>
      </c>
      <c r="H1" s="2" t="s">
        <v>32</v>
      </c>
      <c r="I1" s="1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1" t="s">
        <v>38</v>
      </c>
      <c r="O1" s="1" t="s">
        <v>39</v>
      </c>
      <c r="P1" s="1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1" t="s">
        <v>45</v>
      </c>
      <c r="V1" s="1" t="s">
        <v>46</v>
      </c>
      <c r="W1" s="1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1" t="s">
        <v>52</v>
      </c>
      <c r="AC1" s="1" t="s">
        <v>53</v>
      </c>
    </row>
    <row r="2" spans="1:29" x14ac:dyDescent="0.25">
      <c r="A2" t="s">
        <v>3</v>
      </c>
      <c r="B2" t="s">
        <v>16</v>
      </c>
      <c r="C2" s="3">
        <f>VLOOKUP($A2,'[1]Outright Odds GW1'!$A:$C,2,FALSE)</f>
        <v>0.26092628832354858</v>
      </c>
      <c r="D2" s="3">
        <f>VLOOKUP($A2,'[1]Outright Odds GW1'!$A:$C,3,FALSE)</f>
        <v>9.5142952285809422E-4</v>
      </c>
      <c r="E2" s="3">
        <f>VLOOKUP(B2,'[1]Outright Odds GW1'!$A:$C,2,FALSE)</f>
        <v>3.6630036630036632E-2</v>
      </c>
      <c r="F2" s="3">
        <f>VLOOKUP(B2,'[1]Outright Odds GW1'!$A:$C,3,FALSE)</f>
        <v>1.8674136321195144E-2</v>
      </c>
      <c r="G2" t="s">
        <v>0</v>
      </c>
      <c r="H2" s="4">
        <f>1/1.96/1.03</f>
        <v>0.49534376857539131</v>
      </c>
      <c r="I2" t="s">
        <v>13</v>
      </c>
      <c r="J2" s="3">
        <f>VLOOKUP($A2,'[1]Outright Odds GW2'!$A:$C,2,FALSE)</f>
        <v>0.26092628832354858</v>
      </c>
      <c r="K2" s="3">
        <f>VLOOKUP($A2,'[1]Outright Odds GW2'!$A:$C,3,FALSE)</f>
        <v>9.5142952285809422E-4</v>
      </c>
      <c r="L2" s="3">
        <f>VLOOKUP(I2,'[1]Outright Odds GW2'!$A:$C,2,FALSE)</f>
        <v>9.5142952285809422E-4</v>
      </c>
      <c r="M2" s="3">
        <f>VLOOKUP(I2,'[1]Outright Odds GW2'!$A:$C,3,FALSE)</f>
        <v>0.3968253968253968</v>
      </c>
      <c r="N2" t="s">
        <v>1</v>
      </c>
      <c r="O2" s="4">
        <f>1/1.34/1.03</f>
        <v>0.72453267642370667</v>
      </c>
      <c r="P2" t="s">
        <v>14</v>
      </c>
      <c r="Q2" s="3">
        <f>VLOOKUP($A2,'[1]Outright Odds GW3'!$A:$C,2,FALSE)</f>
        <v>0.34632034632034631</v>
      </c>
      <c r="R2" s="3">
        <f>VLOOKUP($A2,'[1]Outright Odds GW3'!$A:$C,3,FALSE)</f>
        <v>9.5142952285809422E-4</v>
      </c>
      <c r="S2" s="3">
        <f>VLOOKUP(P2,'[1]Outright Odds GW3'!$A:$C,2,FALSE)</f>
        <v>0.34632034632034631</v>
      </c>
      <c r="T2" s="3">
        <f>VLOOKUP(P2,'[1]Outright Odds GW3'!$A:$C,3,FALSE)</f>
        <v>6.3449763649630405E-4</v>
      </c>
      <c r="U2" t="s">
        <v>0</v>
      </c>
      <c r="V2" s="4">
        <f>1/3.67/1.03</f>
        <v>0.26454326605116268</v>
      </c>
      <c r="W2" t="s">
        <v>18</v>
      </c>
      <c r="X2" s="3">
        <f>VLOOKUP($A2,'[1]Outright Odds GW4'!$A:$C,2,FALSE)</f>
        <v>0.34632034632034631</v>
      </c>
      <c r="Y2" s="3">
        <f>VLOOKUP($A2,'[1]Outright Odds GW4'!$A:$C,3,FALSE)</f>
        <v>9.5142952285809422E-4</v>
      </c>
      <c r="Z2" s="3">
        <f>VLOOKUP(W2,'[1]Outright Odds GW4'!$A:$C,2,FALSE)</f>
        <v>6.3071586250394197E-3</v>
      </c>
      <c r="AA2" s="3">
        <f>VLOOKUP(W2,'[1]Outright Odds GW4'!$A:$C,3,FALSE)</f>
        <v>8.6580086580086577E-2</v>
      </c>
      <c r="AB2" t="s">
        <v>1</v>
      </c>
      <c r="AC2" s="4">
        <f>1/1.42/1.03</f>
        <v>0.68371393408997683</v>
      </c>
    </row>
    <row r="3" spans="1:29" x14ac:dyDescent="0.25">
      <c r="A3" t="s">
        <v>4</v>
      </c>
      <c r="B3" t="s">
        <v>17</v>
      </c>
      <c r="C3" s="3">
        <f>VLOOKUP($A3,'[1]Outright Odds GW1'!$A:$C,2,FALSE)</f>
        <v>9.4295143800094284E-3</v>
      </c>
      <c r="D3" s="3">
        <f>VLOOKUP($A3,'[1]Outright Odds GW1'!$A:$C,3,FALSE)</f>
        <v>6.3071586250394197E-3</v>
      </c>
      <c r="E3" s="3">
        <f>VLOOKUP(B3,'[1]Outright Odds GW1'!$A:$C,2,FALSE)</f>
        <v>1.341381623071764E-2</v>
      </c>
      <c r="F3" s="3">
        <f>VLOOKUP(B3,'[1]Outright Odds GW1'!$A:$C,3,FALSE)</f>
        <v>4.7382136934375737E-3</v>
      </c>
      <c r="G3" t="s">
        <v>1</v>
      </c>
      <c r="H3" s="3">
        <f>1/2.4/1.03</f>
        <v>0.4045307443365696</v>
      </c>
      <c r="I3" t="s">
        <v>7</v>
      </c>
      <c r="J3" s="3">
        <f>VLOOKUP($A3,'[1]Outright Odds GW2'!$A:$C,2,FALSE)</f>
        <v>9.4295143800094284E-3</v>
      </c>
      <c r="K3" s="3">
        <f>VLOOKUP($A3,'[1]Outright Odds GW2'!$A:$C,3,FALSE)</f>
        <v>6.3071586250394197E-3</v>
      </c>
      <c r="L3" s="3">
        <f>VLOOKUP(I3,'[1]Outright Odds GW2'!$A:$C,2,FALSE)</f>
        <v>9.5142952285809422E-4</v>
      </c>
      <c r="M3" s="3">
        <f>VLOOKUP(I3,'[1]Outright Odds GW2'!$A:$C,3,FALSE)</f>
        <v>0.23809523809523808</v>
      </c>
      <c r="N3" t="s">
        <v>0</v>
      </c>
      <c r="O3" s="3">
        <f>1/2.15/1.03</f>
        <v>0.45156920298035674</v>
      </c>
      <c r="P3" t="s">
        <v>10</v>
      </c>
      <c r="Q3" s="3">
        <f>VLOOKUP($A3,'[1]Outright Odds GW3'!$A:$C,2,FALSE)</f>
        <v>6.3071586250394197E-3</v>
      </c>
      <c r="R3" s="3">
        <f>VLOOKUP($A3,'[1]Outright Odds GW3'!$A:$C,3,FALSE)</f>
        <v>1.8674136321195144E-2</v>
      </c>
      <c r="S3" s="3">
        <f>VLOOKUP(P3,'[1]Outright Odds GW3'!$A:$C,2,FALSE)</f>
        <v>1.90095998479232E-3</v>
      </c>
      <c r="T3" s="3">
        <f>VLOOKUP(P3,'[1]Outright Odds GW3'!$A:$C,3,FALSE)</f>
        <v>9.5238095238095233E-2</v>
      </c>
      <c r="U3" t="s">
        <v>1</v>
      </c>
      <c r="V3" s="3">
        <f>1/1.85/1.03</f>
        <v>0.52479664130149561</v>
      </c>
      <c r="W3" t="s">
        <v>11</v>
      </c>
      <c r="X3" s="3">
        <f>VLOOKUP($A3,'[1]Outright Odds GW4'!$A:$C,2,FALSE)</f>
        <v>6.3071586250394197E-3</v>
      </c>
      <c r="Y3" s="3">
        <f>VLOOKUP($A3,'[1]Outright Odds GW4'!$A:$C,3,FALSE)</f>
        <v>1.8674136321195144E-2</v>
      </c>
      <c r="Z3" s="3">
        <f>VLOOKUP(W3,'[1]Outright Odds GW4'!$A:$C,2,FALSE)</f>
        <v>1.90095998479232E-3</v>
      </c>
      <c r="AA3" s="3">
        <f>VLOOKUP(W3,'[1]Outright Odds GW4'!$A:$C,3,FALSE)</f>
        <v>9.5238095238095233E-2</v>
      </c>
      <c r="AB3" t="s">
        <v>0</v>
      </c>
      <c r="AC3" s="3">
        <f>1/2.36/1.03</f>
        <v>0.41138719763040976</v>
      </c>
    </row>
    <row r="4" spans="1:29" x14ac:dyDescent="0.25">
      <c r="A4" t="s">
        <v>6</v>
      </c>
      <c r="B4" t="s">
        <v>14</v>
      </c>
      <c r="C4" s="3">
        <f>VLOOKUP($A4,'[1]Outright Odds GW1'!$A:$C,2,FALSE)</f>
        <v>1.2681504026377528E-3</v>
      </c>
      <c r="D4" s="3">
        <f>VLOOKUP($A4,'[1]Outright Odds GW1'!$A:$C,3,FALSE)</f>
        <v>7.9365079365079361E-2</v>
      </c>
      <c r="E4" s="3">
        <f>VLOOKUP(B4,'[1]Outright Odds GW1'!$A:$C,2,FALSE)</f>
        <v>0.32840722495894908</v>
      </c>
      <c r="F4" s="3">
        <f>VLOOKUP(B4,'[1]Outright Odds GW1'!$A:$C,3,FALSE)</f>
        <v>9.5142952285809422E-4</v>
      </c>
      <c r="G4" t="s">
        <v>0</v>
      </c>
      <c r="H4" s="3">
        <f>1/8.97/1.03</f>
        <v>0.10823565065861392</v>
      </c>
      <c r="I4" t="s">
        <v>22</v>
      </c>
      <c r="J4" s="3">
        <f>VLOOKUP($A4,'[1]Outright Odds GW2'!$A:$C,2,FALSE)</f>
        <v>1.2681504026377528E-3</v>
      </c>
      <c r="K4" s="3">
        <f>VLOOKUP($A4,'[1]Outright Odds GW2'!$A:$C,3,FALSE)</f>
        <v>7.9365079365079361E-2</v>
      </c>
      <c r="L4" s="3">
        <f>VLOOKUP(I4,'[1]Outright Odds GW2'!$A:$C,2,FALSE)</f>
        <v>9.5142952285809422E-4</v>
      </c>
      <c r="M4" s="3">
        <f>VLOOKUP(I4,'[1]Outright Odds GW2'!$A:$C,3,FALSE)</f>
        <v>0.21978021978021972</v>
      </c>
      <c r="N4" t="s">
        <v>1</v>
      </c>
      <c r="O4" s="3">
        <f>1/1.81/1.03</f>
        <v>0.53639435713136296</v>
      </c>
      <c r="P4" t="s">
        <v>20</v>
      </c>
      <c r="Q4" s="3">
        <f>VLOOKUP($A4,'[1]Outright Odds GW3'!$A:$C,2,FALSE)</f>
        <v>1.90095998479232E-3</v>
      </c>
      <c r="R4" s="3">
        <f>VLOOKUP($A4,'[1]Outright Odds GW3'!$A:$C,3,FALSE)</f>
        <v>8.6580086580086577E-2</v>
      </c>
      <c r="S4" s="3">
        <f>VLOOKUP(P4,'[1]Outright Odds GW3'!$A:$C,2,FALSE)</f>
        <v>3.6630036630036632E-2</v>
      </c>
      <c r="T4" s="3">
        <f>VLOOKUP(P4,'[1]Outright Odds GW3'!$A:$C,3,FALSE)</f>
        <v>6.3071586250394197E-3</v>
      </c>
      <c r="U4" t="s">
        <v>0</v>
      </c>
      <c r="V4" s="3">
        <f>1/4.61/1.03</f>
        <v>0.21060168902554596</v>
      </c>
      <c r="W4" t="s">
        <v>8</v>
      </c>
      <c r="X4" s="3">
        <f>VLOOKUP($A4,'[1]Outright Odds GW4'!$A:$C,2,FALSE)</f>
        <v>1.90095998479232E-3</v>
      </c>
      <c r="Y4" s="3">
        <f>VLOOKUP($A4,'[1]Outright Odds GW4'!$A:$C,3,FALSE)</f>
        <v>8.6580086580086577E-2</v>
      </c>
      <c r="Z4" s="3">
        <f>VLOOKUP(W4,'[1]Outright Odds GW4'!$A:$C,2,FALSE)</f>
        <v>1.90095998479232E-3</v>
      </c>
      <c r="AA4" s="3">
        <f>VLOOKUP(W4,'[1]Outright Odds GW4'!$A:$C,3,FALSE)</f>
        <v>5.6022408963585429E-2</v>
      </c>
      <c r="AB4" t="s">
        <v>1</v>
      </c>
      <c r="AC4" s="3">
        <f>1/2.4/1.03</f>
        <v>0.4045307443365696</v>
      </c>
    </row>
    <row r="5" spans="1:29" x14ac:dyDescent="0.25">
      <c r="A5" t="s">
        <v>7</v>
      </c>
      <c r="B5" t="s">
        <v>18</v>
      </c>
      <c r="C5" s="3">
        <f>VLOOKUP($A5,'[1]Outright Odds GW1'!$A:$C,2,FALSE)</f>
        <v>9.5142952285809422E-4</v>
      </c>
      <c r="D5" s="3">
        <f>VLOOKUP($A5,'[1]Outright Odds GW1'!$A:$C,3,FALSE)</f>
        <v>0.23809523809523808</v>
      </c>
      <c r="E5" s="3">
        <f>VLOOKUP(B5,'[1]Outright Odds GW1'!$A:$C,2,FALSE)</f>
        <v>1.90095998479232E-3</v>
      </c>
      <c r="F5" s="3">
        <f>VLOOKUP(B5,'[1]Outright Odds GW1'!$A:$C,3,FALSE)</f>
        <v>8.6580086580086577E-2</v>
      </c>
      <c r="G5" t="s">
        <v>0</v>
      </c>
      <c r="H5" s="3">
        <f>1/4.24/1.03</f>
        <v>0.2289796666056054</v>
      </c>
      <c r="I5" t="s">
        <v>4</v>
      </c>
      <c r="J5" s="3">
        <f>VLOOKUP($A5,'[1]Outright Odds GW2'!$A:$C,2,FALSE)</f>
        <v>9.5142952285809422E-4</v>
      </c>
      <c r="K5" s="3">
        <f>VLOOKUP($A5,'[1]Outright Odds GW2'!$A:$C,3,FALSE)</f>
        <v>0.23809523809523808</v>
      </c>
      <c r="L5" s="3">
        <f>VLOOKUP(I5,'[1]Outright Odds GW2'!$A:$C,2,FALSE)</f>
        <v>9.4295143800094284E-3</v>
      </c>
      <c r="M5" s="3">
        <f>VLOOKUP(I5,'[1]Outright Odds GW2'!$A:$C,3,FALSE)</f>
        <v>6.3071586250394197E-3</v>
      </c>
      <c r="N5" t="s">
        <v>1</v>
      </c>
      <c r="O5" s="3">
        <f>1/3.4/1.03</f>
        <v>0.28555111364934321</v>
      </c>
      <c r="P5" t="s">
        <v>19</v>
      </c>
      <c r="Q5" s="3">
        <f>VLOOKUP($A5,'[1]Outright Odds GW3'!$A:$C,2,FALSE)</f>
        <v>9.5142952285809422E-4</v>
      </c>
      <c r="R5" s="3">
        <f>VLOOKUP($A5,'[1]Outright Odds GW3'!$A:$C,3,FALSE)</f>
        <v>0.25396825396825395</v>
      </c>
      <c r="S5" s="3">
        <f>VLOOKUP(P5,'[1]Outright Odds GW3'!$A:$C,2,FALSE)</f>
        <v>6.3449763649630405E-4</v>
      </c>
      <c r="T5" s="3">
        <f>VLOOKUP(P5,'[1]Outright Odds GW3'!$A:$C,3,FALSE)</f>
        <v>0.60661207158022434</v>
      </c>
      <c r="U5" t="s">
        <v>0</v>
      </c>
      <c r="V5" s="3">
        <f>1/2.63/1.03</f>
        <v>0.3691535309535236</v>
      </c>
      <c r="W5" t="s">
        <v>9</v>
      </c>
      <c r="X5" s="3">
        <f>VLOOKUP($A5,'[1]Outright Odds GW4'!$A:$C,2,FALSE)</f>
        <v>9.5142952285809422E-4</v>
      </c>
      <c r="Y5" s="3">
        <f>VLOOKUP($A5,'[1]Outright Odds GW4'!$A:$C,3,FALSE)</f>
        <v>0.25396825396825395</v>
      </c>
      <c r="Z5" s="3">
        <f>VLOOKUP(W5,'[1]Outright Odds GW4'!$A:$C,2,FALSE)</f>
        <v>0.11904761904761904</v>
      </c>
      <c r="AA5" s="3">
        <f>VLOOKUP(W5,'[1]Outright Odds GW4'!$A:$C,3,FALSE)</f>
        <v>1.90095998479232E-3</v>
      </c>
      <c r="AB5" t="s">
        <v>1</v>
      </c>
      <c r="AC5" s="3">
        <f>1/4.6/1.03</f>
        <v>0.21105951878429718</v>
      </c>
    </row>
    <row r="6" spans="1:29" x14ac:dyDescent="0.25">
      <c r="A6" t="s">
        <v>8</v>
      </c>
      <c r="B6" t="s">
        <v>12</v>
      </c>
      <c r="C6" s="3">
        <f>VLOOKUP($A6,'[1]Outright Odds GW1'!$A:$C,2,FALSE)</f>
        <v>3.7943464238284954E-3</v>
      </c>
      <c r="D6" s="3">
        <f>VLOOKUP($A6,'[1]Outright Odds GW1'!$A:$C,3,FALSE)</f>
        <v>4.1407867494824016E-2</v>
      </c>
      <c r="E6" s="3">
        <f>VLOOKUP(B6,'[1]Outright Odds GW1'!$A:$C,2,FALSE)</f>
        <v>9.5142952285809422E-4</v>
      </c>
      <c r="F6" s="3">
        <f>VLOOKUP(B6,'[1]Outright Odds GW1'!$A:$C,3,FALSE)</f>
        <v>7.3260073260073263E-2</v>
      </c>
      <c r="G6" t="s">
        <v>1</v>
      </c>
      <c r="H6" s="3">
        <f>1/1.84/1.03</f>
        <v>0.52764879696074285</v>
      </c>
      <c r="I6" t="s">
        <v>11</v>
      </c>
      <c r="J6" s="3">
        <f>VLOOKUP($A6,'[1]Outright Odds GW2'!$A:$C,2,FALSE)</f>
        <v>3.7943464238284954E-3</v>
      </c>
      <c r="K6" s="3">
        <f>VLOOKUP($A6,'[1]Outright Odds GW2'!$A:$C,3,FALSE)</f>
        <v>4.1407867494824016E-2</v>
      </c>
      <c r="L6" s="3">
        <f>VLOOKUP(I6,'[1]Outright Odds GW2'!$A:$C,2,FALSE)</f>
        <v>1.90095998479232E-3</v>
      </c>
      <c r="M6" s="3">
        <f>VLOOKUP(I6,'[1]Outright Odds GW2'!$A:$C,3,FALSE)</f>
        <v>0.10025062656641603</v>
      </c>
      <c r="N6" t="s">
        <v>0</v>
      </c>
      <c r="O6" s="3">
        <f>1/2.43/1.03</f>
        <v>0.39953653761636498</v>
      </c>
      <c r="P6" t="s">
        <v>15</v>
      </c>
      <c r="Q6" s="3">
        <f>VLOOKUP($A6,'[1]Outright Odds GW3'!$A:$C,2,FALSE)</f>
        <v>1.90095998479232E-3</v>
      </c>
      <c r="R6" s="3">
        <f>VLOOKUP($A6,'[1]Outright Odds GW3'!$A:$C,3,FALSE)</f>
        <v>5.6022408963585429E-2</v>
      </c>
      <c r="S6" s="3">
        <f>VLOOKUP(P6,'[1]Outright Odds GW3'!$A:$C,2,FALSE)</f>
        <v>0.17316017316017315</v>
      </c>
      <c r="T6" s="3">
        <f>VLOOKUP(P6,'[1]Outright Odds GW3'!$A:$C,3,FALSE)</f>
        <v>4.5351473922902487E-2</v>
      </c>
      <c r="U6" t="s">
        <v>1</v>
      </c>
      <c r="V6" s="3">
        <f>1/4.28/1.03</f>
        <v>0.22683966972144087</v>
      </c>
      <c r="W6" t="s">
        <v>6</v>
      </c>
      <c r="X6" s="3">
        <f>VLOOKUP($A6,'[1]Outright Odds GW4'!$A:$C,2,FALSE)</f>
        <v>1.90095998479232E-3</v>
      </c>
      <c r="Y6" s="3">
        <f>VLOOKUP($A6,'[1]Outright Odds GW4'!$A:$C,3,FALSE)</f>
        <v>5.6022408963585429E-2</v>
      </c>
      <c r="Z6" s="3">
        <f>VLOOKUP(W6,'[1]Outright Odds GW4'!$A:$C,2,FALSE)</f>
        <v>1.90095998479232E-3</v>
      </c>
      <c r="AA6" s="3">
        <f>VLOOKUP(W6,'[1]Outright Odds GW4'!$A:$C,3,FALSE)</f>
        <v>8.6580086580086577E-2</v>
      </c>
      <c r="AB6" t="s">
        <v>0</v>
      </c>
      <c r="AC6" s="3">
        <f>1/2.81/1.03</f>
        <v>0.34550668555436548</v>
      </c>
    </row>
    <row r="7" spans="1:29" x14ac:dyDescent="0.25">
      <c r="A7" t="s">
        <v>5</v>
      </c>
      <c r="B7" t="s">
        <v>20</v>
      </c>
      <c r="C7" s="3">
        <f>VLOOKUP($A7,'[1]Outright Odds GW1'!$A:$C,2,FALSE)</f>
        <v>4.759524999405059E-4</v>
      </c>
      <c r="D7" s="3">
        <f>VLOOKUP($A7,'[1]Outright Odds GW1'!$A:$C,3,FALSE)</f>
        <v>0.68027210884353739</v>
      </c>
      <c r="E7" s="3">
        <f>VLOOKUP(B7,'[1]Outright Odds GW1'!$A:$C,2,FALSE)</f>
        <v>1.8674136321195144E-2</v>
      </c>
      <c r="F7" s="3">
        <f>VLOOKUP(B7,'[1]Outright Odds GW1'!$A:$C,3,FALSE)</f>
        <v>9.4295143800094284E-3</v>
      </c>
      <c r="G7" t="s">
        <v>0</v>
      </c>
      <c r="H7" s="3">
        <f>1/6.39/1.03</f>
        <v>0.15193642979777261</v>
      </c>
      <c r="I7" t="s">
        <v>19</v>
      </c>
      <c r="J7" s="3">
        <f>VLOOKUP($A7,'[1]Outright Odds GW2'!$A:$C,2,FALSE)</f>
        <v>4.759524999405059E-4</v>
      </c>
      <c r="K7" s="3">
        <f>VLOOKUP($A7,'[1]Outright Odds GW2'!$A:$C,3,FALSE)</f>
        <v>0.68027210884353739</v>
      </c>
      <c r="L7" s="3">
        <f>VLOOKUP(I7,'[1]Outright Odds GW2'!$A:$C,2,FALSE)</f>
        <v>4.759524999405059E-4</v>
      </c>
      <c r="M7" s="3">
        <f>VLOOKUP(I7,'[1]Outright Odds GW2'!$A:$C,3,FALSE)</f>
        <v>0.65934065934065933</v>
      </c>
      <c r="N7" t="s">
        <v>1</v>
      </c>
      <c r="O7" s="3">
        <f>1/2.4/1.03</f>
        <v>0.4045307443365696</v>
      </c>
      <c r="P7" t="s">
        <v>16</v>
      </c>
      <c r="Q7" s="3">
        <f>VLOOKUP($A7,'[1]Outright Odds GW3'!$A:$C,2,FALSE)</f>
        <v>6.3449763649630405E-4</v>
      </c>
      <c r="R7" s="3">
        <f>VLOOKUP($A7,'[1]Outright Odds GW3'!$A:$C,3,FALSE)</f>
        <v>0.70028011204481788</v>
      </c>
      <c r="S7" s="3">
        <f>VLOOKUP(P7,'[1]Outright Odds GW3'!$A:$C,2,FALSE)</f>
        <v>2.8011204481792715E-2</v>
      </c>
      <c r="T7" s="3">
        <f>VLOOKUP(P7,'[1]Outright Odds GW3'!$A:$C,3,FALSE)</f>
        <v>2.8011204481792715E-2</v>
      </c>
      <c r="U7" t="s">
        <v>0</v>
      </c>
      <c r="V7" s="3">
        <f>1/8.73/1.03</f>
        <v>0.11121120119218407</v>
      </c>
      <c r="W7" t="s">
        <v>14</v>
      </c>
      <c r="X7" s="3">
        <f>VLOOKUP($A7,'[1]Outright Odds GW4'!$A:$C,2,FALSE)</f>
        <v>6.3449763649630405E-4</v>
      </c>
      <c r="Y7" s="3">
        <f>VLOOKUP($A7,'[1]Outright Odds GW4'!$A:$C,3,FALSE)</f>
        <v>0.70028011204481788</v>
      </c>
      <c r="Z7" s="3">
        <f>VLOOKUP(W7,'[1]Outright Odds GW4'!$A:$C,2,FALSE)</f>
        <v>0.34632034632034631</v>
      </c>
      <c r="AA7" s="3">
        <f>VLOOKUP(W7,'[1]Outright Odds GW4'!$A:$C,3,FALSE)</f>
        <v>6.3449763649630405E-4</v>
      </c>
      <c r="AB7" t="s">
        <v>1</v>
      </c>
      <c r="AC7" s="3">
        <f>1/9.3/1.03</f>
        <v>0.10439503079653407</v>
      </c>
    </row>
    <row r="8" spans="1:29" x14ac:dyDescent="0.25">
      <c r="A8" t="s">
        <v>9</v>
      </c>
      <c r="B8" t="s">
        <v>10</v>
      </c>
      <c r="C8" s="3">
        <f>VLOOKUP($A8,'[1]Outright Odds GW1'!$A:$C,2,FALSE)</f>
        <v>9.5238095238095233E-2</v>
      </c>
      <c r="D8" s="3">
        <f>VLOOKUP($A8,'[1]Outright Odds GW1'!$A:$C,3,FALSE)</f>
        <v>4.7382136934375737E-3</v>
      </c>
      <c r="E8" s="3">
        <f>VLOOKUP(B8,'[1]Outright Odds GW1'!$A:$C,2,FALSE)</f>
        <v>1.90095998479232E-3</v>
      </c>
      <c r="F8" s="3">
        <f>VLOOKUP(B8,'[1]Outright Odds GW1'!$A:$C,3,FALSE)</f>
        <v>8.6580086580086577E-2</v>
      </c>
      <c r="G8" t="s">
        <v>1</v>
      </c>
      <c r="H8" s="3">
        <f>1/1.82/1.03</f>
        <v>0.53344713538888289</v>
      </c>
      <c r="I8" t="s">
        <v>21</v>
      </c>
      <c r="J8" s="3">
        <f>VLOOKUP($A8,'[1]Outright Odds GW2'!$A:$C,2,FALSE)</f>
        <v>9.5238095238095233E-2</v>
      </c>
      <c r="K8" s="3">
        <f>VLOOKUP($A8,'[1]Outright Odds GW2'!$A:$C,3,FALSE)</f>
        <v>4.7382136934375737E-3</v>
      </c>
      <c r="L8" s="3">
        <f>VLOOKUP(I8,'[1]Outright Odds GW2'!$A:$C,2,FALSE)</f>
        <v>9.5142952285809422E-4</v>
      </c>
      <c r="M8" s="3">
        <f>VLOOKUP(I8,'[1]Outright Odds GW2'!$A:$C,3,FALSE)</f>
        <v>0.14652014652014653</v>
      </c>
      <c r="N8" t="s">
        <v>0</v>
      </c>
      <c r="O8" s="3">
        <f>1/1.74/1.03</f>
        <v>0.55797344046423381</v>
      </c>
      <c r="P8" t="s">
        <v>12</v>
      </c>
      <c r="Q8" s="3">
        <f>VLOOKUP($A8,'[1]Outright Odds GW3'!$A:$C,2,FALSE)</f>
        <v>0.11904761904761904</v>
      </c>
      <c r="R8" s="3">
        <f>VLOOKUP($A8,'[1]Outright Odds GW3'!$A:$C,3,FALSE)</f>
        <v>1.90095998479232E-3</v>
      </c>
      <c r="S8" s="3">
        <f>VLOOKUP(P8,'[1]Outright Odds GW3'!$A:$C,2,FALSE)</f>
        <v>9.5142952285809422E-4</v>
      </c>
      <c r="T8" s="3">
        <f>VLOOKUP(P8,'[1]Outright Odds GW3'!$A:$C,3,FALSE)</f>
        <v>9.5238095238095233E-2</v>
      </c>
      <c r="U8" t="s">
        <v>1</v>
      </c>
      <c r="V8" s="3">
        <f>1/1.54/1.03</f>
        <v>0.63043752364140715</v>
      </c>
      <c r="W8" t="s">
        <v>7</v>
      </c>
      <c r="X8" s="3">
        <f>VLOOKUP($A8,'[1]Outright Odds GW4'!$A:$C,2,FALSE)</f>
        <v>0.11904761904761904</v>
      </c>
      <c r="Y8" s="3">
        <f>VLOOKUP($A8,'[1]Outright Odds GW4'!$A:$C,3,FALSE)</f>
        <v>1.90095998479232E-3</v>
      </c>
      <c r="Z8" s="3">
        <f>VLOOKUP(W8,'[1]Outright Odds GW4'!$A:$C,2,FALSE)</f>
        <v>9.5142952285809422E-4</v>
      </c>
      <c r="AA8" s="3">
        <f>VLOOKUP(W8,'[1]Outright Odds GW4'!$A:$C,3,FALSE)</f>
        <v>0.25396825396825395</v>
      </c>
      <c r="AB8" t="s">
        <v>0</v>
      </c>
      <c r="AC8" s="3">
        <f>1/1.72/1.03</f>
        <v>0.5644615037254459</v>
      </c>
    </row>
    <row r="9" spans="1:29" x14ac:dyDescent="0.25">
      <c r="A9" t="s">
        <v>10</v>
      </c>
      <c r="B9" t="s">
        <v>9</v>
      </c>
      <c r="C9" s="3">
        <f>VLOOKUP($A9,'[1]Outright Odds GW1'!$A:$C,2,FALSE)</f>
        <v>1.90095998479232E-3</v>
      </c>
      <c r="D9" s="3">
        <f>VLOOKUP($A9,'[1]Outright Odds GW1'!$A:$C,3,FALSE)</f>
        <v>8.6580086580086577E-2</v>
      </c>
      <c r="E9" s="3">
        <f>VLOOKUP(B9,'[1]Outright Odds GW1'!$A:$C,2,FALSE)</f>
        <v>9.5238095238095233E-2</v>
      </c>
      <c r="F9" s="3">
        <f>VLOOKUP(B9,'[1]Outright Odds GW1'!$A:$C,3,FALSE)</f>
        <v>4.7382136934375737E-3</v>
      </c>
      <c r="G9" t="s">
        <v>0</v>
      </c>
      <c r="H9" s="3">
        <f>1/4.39/1.03</f>
        <v>0.22115576000176926</v>
      </c>
      <c r="I9" t="s">
        <v>18</v>
      </c>
      <c r="J9" s="3">
        <f>VLOOKUP($A9,'[1]Outright Odds GW2'!$A:$C,2,FALSE)</f>
        <v>1.90095998479232E-3</v>
      </c>
      <c r="K9" s="3">
        <f>VLOOKUP($A9,'[1]Outright Odds GW2'!$A:$C,3,FALSE)</f>
        <v>8.6580086580086577E-2</v>
      </c>
      <c r="L9" s="3">
        <f>VLOOKUP(I9,'[1]Outright Odds GW2'!$A:$C,2,FALSE)</f>
        <v>1.90095998479232E-3</v>
      </c>
      <c r="M9" s="3">
        <f>VLOOKUP(I9,'[1]Outright Odds GW2'!$A:$C,3,FALSE)</f>
        <v>8.6580086580086577E-2</v>
      </c>
      <c r="N9" t="s">
        <v>1</v>
      </c>
      <c r="O9" s="3">
        <f>1/2.39/1.03</f>
        <v>0.40622334159320794</v>
      </c>
      <c r="P9" t="s">
        <v>4</v>
      </c>
      <c r="Q9" s="3">
        <f>VLOOKUP($A9,'[1]Outright Odds GW3'!$A:$C,2,FALSE)</f>
        <v>1.90095998479232E-3</v>
      </c>
      <c r="R9" s="3">
        <f>VLOOKUP($A9,'[1]Outright Odds GW3'!$A:$C,3,FALSE)</f>
        <v>9.5238095238095233E-2</v>
      </c>
      <c r="S9" s="3">
        <f>VLOOKUP(P9,'[1]Outright Odds GW3'!$A:$C,2,FALSE)</f>
        <v>6.3071586250394197E-3</v>
      </c>
      <c r="T9" s="3">
        <f>VLOOKUP(P9,'[1]Outright Odds GW3'!$A:$C,3,FALSE)</f>
        <v>1.8674136321195144E-2</v>
      </c>
      <c r="U9" t="s">
        <v>0</v>
      </c>
      <c r="V9" s="3">
        <f>1/4.33/1.03</f>
        <v>0.22422027399717481</v>
      </c>
      <c r="W9" t="s">
        <v>19</v>
      </c>
      <c r="X9" s="3">
        <f>VLOOKUP($A9,'[1]Outright Odds GW4'!$A:$C,2,FALSE)</f>
        <v>1.90095998479232E-3</v>
      </c>
      <c r="Y9" s="3">
        <f>VLOOKUP($A9,'[1]Outright Odds GW4'!$A:$C,3,FALSE)</f>
        <v>9.5238095238095233E-2</v>
      </c>
      <c r="Z9" s="3">
        <f>VLOOKUP(W9,'[1]Outright Odds GW4'!$A:$C,2,FALSE)</f>
        <v>6.3449763649630405E-4</v>
      </c>
      <c r="AA9" s="3">
        <f>VLOOKUP(W9,'[1]Outright Odds GW4'!$A:$C,3,FALSE)</f>
        <v>0.60661207158022434</v>
      </c>
      <c r="AB9" t="s">
        <v>1</v>
      </c>
      <c r="AC9" s="3">
        <f>1/1.7/1.03</f>
        <v>0.57110222729868643</v>
      </c>
    </row>
    <row r="10" spans="1:29" x14ac:dyDescent="0.25">
      <c r="A10" t="s">
        <v>11</v>
      </c>
      <c r="B10" t="s">
        <v>13</v>
      </c>
      <c r="C10" s="3">
        <f>VLOOKUP($A10,'[1]Outright Odds GW1'!$A:$C,2,FALSE)</f>
        <v>1.90095998479232E-3</v>
      </c>
      <c r="D10" s="3">
        <f>VLOOKUP($A10,'[1]Outright Odds GW1'!$A:$C,3,FALSE)</f>
        <v>0.10025062656641603</v>
      </c>
      <c r="E10" s="3">
        <f>VLOOKUP(B10,'[1]Outright Odds GW1'!$A:$C,2,FALSE)</f>
        <v>9.5142952285809422E-4</v>
      </c>
      <c r="F10" s="3">
        <f>VLOOKUP(B10,'[1]Outright Odds GW1'!$A:$C,3,FALSE)</f>
        <v>0.3968253968253968</v>
      </c>
      <c r="G10" t="s">
        <v>0</v>
      </c>
      <c r="H10" s="3">
        <f>1/3.14/1.03</f>
        <v>0.30919547337826969</v>
      </c>
      <c r="I10" t="s">
        <v>8</v>
      </c>
      <c r="J10" s="3">
        <f>VLOOKUP($A10,'[1]Outright Odds GW2'!$A:$C,2,FALSE)</f>
        <v>1.90095998479232E-3</v>
      </c>
      <c r="K10" s="3">
        <f>VLOOKUP($A10,'[1]Outright Odds GW2'!$A:$C,3,FALSE)</f>
        <v>0.10025062656641603</v>
      </c>
      <c r="L10" s="3">
        <f>VLOOKUP(I10,'[1]Outright Odds GW2'!$A:$C,2,FALSE)</f>
        <v>3.7943464238284954E-3</v>
      </c>
      <c r="M10" s="3">
        <f>VLOOKUP(I10,'[1]Outright Odds GW2'!$A:$C,3,FALSE)</f>
        <v>4.1407867494824016E-2</v>
      </c>
      <c r="N10" t="s">
        <v>1</v>
      </c>
      <c r="O10" s="3">
        <f>1/2.98/1.03</f>
        <v>0.32579657262005607</v>
      </c>
      <c r="P10" t="s">
        <v>22</v>
      </c>
      <c r="Q10" s="3">
        <f>VLOOKUP($A10,'[1]Outright Odds GW3'!$A:$C,2,FALSE)</f>
        <v>1.90095998479232E-3</v>
      </c>
      <c r="R10" s="3">
        <f>VLOOKUP($A10,'[1]Outright Odds GW3'!$A:$C,3,FALSE)</f>
        <v>9.5238095238095233E-2</v>
      </c>
      <c r="S10" s="3">
        <f>VLOOKUP(P10,'[1]Outright Odds GW3'!$A:$C,2,FALSE)</f>
        <v>6.3449763649630405E-4</v>
      </c>
      <c r="T10" s="3">
        <f>VLOOKUP(P10,'[1]Outright Odds GW3'!$A:$C,3,FALSE)</f>
        <v>0.38095238095238093</v>
      </c>
      <c r="U10" t="s">
        <v>0</v>
      </c>
      <c r="V10" s="3">
        <f>1/2.94/1.03</f>
        <v>0.33022917905026083</v>
      </c>
      <c r="W10" t="s">
        <v>4</v>
      </c>
      <c r="X10" s="3">
        <f>VLOOKUP($A10,'[1]Outright Odds GW4'!$A:$C,2,FALSE)</f>
        <v>1.90095998479232E-3</v>
      </c>
      <c r="Y10" s="3">
        <f>VLOOKUP($A10,'[1]Outright Odds GW4'!$A:$C,3,FALSE)</f>
        <v>9.5238095238095233E-2</v>
      </c>
      <c r="Z10" s="3">
        <f>VLOOKUP(W10,'[1]Outright Odds GW4'!$A:$C,2,FALSE)</f>
        <v>6.3071586250394197E-3</v>
      </c>
      <c r="AA10" s="3">
        <f>VLOOKUP(W10,'[1]Outright Odds GW4'!$A:$C,3,FALSE)</f>
        <v>1.8674136321195144E-2</v>
      </c>
      <c r="AB10" t="s">
        <v>1</v>
      </c>
      <c r="AC10" s="3">
        <f>1/3.1/1.03</f>
        <v>0.31318509238960224</v>
      </c>
    </row>
    <row r="11" spans="1:29" x14ac:dyDescent="0.25">
      <c r="A11" t="s">
        <v>12</v>
      </c>
      <c r="B11" t="s">
        <v>8</v>
      </c>
      <c r="C11" s="3">
        <f>VLOOKUP($A11,'[1]Outright Odds GW1'!$A:$C,2,FALSE)</f>
        <v>9.5142952285809422E-4</v>
      </c>
      <c r="D11" s="3">
        <f>VLOOKUP($A11,'[1]Outright Odds GW1'!$A:$C,3,FALSE)</f>
        <v>7.3260073260073263E-2</v>
      </c>
      <c r="E11" s="3">
        <f>VLOOKUP(B11,'[1]Outright Odds GW1'!$A:$C,2,FALSE)</f>
        <v>3.7943464238284954E-3</v>
      </c>
      <c r="F11" s="3">
        <f>VLOOKUP(B11,'[1]Outright Odds GW1'!$A:$C,3,FALSE)</f>
        <v>4.1407867494824016E-2</v>
      </c>
      <c r="G11" t="s">
        <v>0</v>
      </c>
      <c r="H11" s="3">
        <f>1/4.35/1.03</f>
        <v>0.22318937618569357</v>
      </c>
      <c r="I11" t="s">
        <v>16</v>
      </c>
      <c r="J11" s="3">
        <f>VLOOKUP($A11,'[1]Outright Odds GW2'!$A:$C,2,FALSE)</f>
        <v>9.5142952285809422E-4</v>
      </c>
      <c r="K11" s="3">
        <f>VLOOKUP($A11,'[1]Outright Odds GW2'!$A:$C,3,FALSE)</f>
        <v>7.3260073260073263E-2</v>
      </c>
      <c r="L11" s="3">
        <f>VLOOKUP(I11,'[1]Outright Odds GW2'!$A:$C,2,FALSE)</f>
        <v>3.6630036630036632E-2</v>
      </c>
      <c r="M11" s="3">
        <f>VLOOKUP(I11,'[1]Outright Odds GW2'!$A:$C,3,FALSE)</f>
        <v>1.8674136321195144E-2</v>
      </c>
      <c r="N11" t="s">
        <v>1</v>
      </c>
      <c r="O11" s="3">
        <f>1/3.53/1.03</f>
        <v>0.2750350669710388</v>
      </c>
      <c r="P11" t="s">
        <v>9</v>
      </c>
      <c r="Q11" s="3">
        <f>VLOOKUP($A11,'[1]Outright Odds GW3'!$A:$C,2,FALSE)</f>
        <v>9.5142952285809422E-4</v>
      </c>
      <c r="R11" s="3">
        <f>VLOOKUP($A11,'[1]Outright Odds GW3'!$A:$C,3,FALSE)</f>
        <v>9.5238095238095233E-2</v>
      </c>
      <c r="S11" s="3">
        <f>VLOOKUP(P11,'[1]Outright Odds GW3'!$A:$C,2,FALSE)</f>
        <v>0.11904761904761904</v>
      </c>
      <c r="T11" s="3">
        <f>VLOOKUP(P11,'[1]Outright Odds GW3'!$A:$C,3,FALSE)</f>
        <v>1.90095998479232E-3</v>
      </c>
      <c r="U11" t="s">
        <v>0</v>
      </c>
      <c r="V11" s="3">
        <f>1/5.78/1.03</f>
        <v>0.16797124332314306</v>
      </c>
      <c r="W11" t="s">
        <v>13</v>
      </c>
      <c r="X11" s="3">
        <f>VLOOKUP($A11,'[1]Outright Odds GW4'!$A:$C,2,FALSE)</f>
        <v>9.5142952285809422E-4</v>
      </c>
      <c r="Y11" s="3">
        <f>VLOOKUP($A11,'[1]Outright Odds GW4'!$A:$C,3,FALSE)</f>
        <v>9.5238095238095233E-2</v>
      </c>
      <c r="Z11" s="3">
        <f>VLOOKUP(W11,'[1]Outright Odds GW4'!$A:$C,2,FALSE)</f>
        <v>1.90095998479232E-3</v>
      </c>
      <c r="AA11" s="3">
        <f>VLOOKUP(W11,'[1]Outright Odds GW4'!$A:$C,3,FALSE)</f>
        <v>0.29304029304029305</v>
      </c>
      <c r="AB11" t="s">
        <v>1</v>
      </c>
      <c r="AC11" s="3">
        <f>1/1.87/1.03</f>
        <v>0.51918384299880582</v>
      </c>
    </row>
    <row r="12" spans="1:29" x14ac:dyDescent="0.25">
      <c r="A12" t="s">
        <v>13</v>
      </c>
      <c r="B12" t="s">
        <v>11</v>
      </c>
      <c r="C12" s="3">
        <f>VLOOKUP($A12,'[1]Outright Odds GW1'!$A:$C,2,FALSE)</f>
        <v>9.5142952285809422E-4</v>
      </c>
      <c r="D12" s="3">
        <f>VLOOKUP($A12,'[1]Outright Odds GW1'!$A:$C,3,FALSE)</f>
        <v>0.3968253968253968</v>
      </c>
      <c r="E12" s="3">
        <f>VLOOKUP(B12,'[1]Outright Odds GW1'!$A:$C,2,FALSE)</f>
        <v>1.90095998479232E-3</v>
      </c>
      <c r="F12" s="3">
        <f>VLOOKUP(B12,'[1]Outright Odds GW1'!$A:$C,3,FALSE)</f>
        <v>0.10025062656641603</v>
      </c>
      <c r="G12" t="s">
        <v>1</v>
      </c>
      <c r="H12" s="3">
        <f>1/2.4/1.03</f>
        <v>0.4045307443365696</v>
      </c>
      <c r="I12" t="s">
        <v>3</v>
      </c>
      <c r="J12" s="3">
        <f>VLOOKUP($A12,'[1]Outright Odds GW2'!$A:$C,2,FALSE)</f>
        <v>9.5142952285809422E-4</v>
      </c>
      <c r="K12" s="3">
        <f>VLOOKUP($A12,'[1]Outright Odds GW2'!$A:$C,3,FALSE)</f>
        <v>0.3968253968253968</v>
      </c>
      <c r="L12" s="3">
        <f>VLOOKUP(I12,'[1]Outright Odds GW2'!$A:$C,2,FALSE)</f>
        <v>0.26092628832354858</v>
      </c>
      <c r="M12" s="3">
        <f>VLOOKUP(I12,'[1]Outright Odds GW2'!$A:$C,3,FALSE)</f>
        <v>9.5142952285809422E-4</v>
      </c>
      <c r="N12" t="s">
        <v>0</v>
      </c>
      <c r="O12" s="3">
        <f>1/8.88/1.03</f>
        <v>0.10933263360447824</v>
      </c>
      <c r="P12" t="s">
        <v>17</v>
      </c>
      <c r="Q12" s="3">
        <f>VLOOKUP($A12,'[1]Outright Odds GW3'!$A:$C,2,FALSE)</f>
        <v>1.90095998479232E-3</v>
      </c>
      <c r="R12" s="3">
        <f>VLOOKUP($A12,'[1]Outright Odds GW3'!$A:$C,3,FALSE)</f>
        <v>0.29304029304029305</v>
      </c>
      <c r="S12" s="3">
        <f>VLOOKUP(P12,'[1]Outright Odds GW3'!$A:$C,2,FALSE)</f>
        <v>1.1757789535567312E-2</v>
      </c>
      <c r="T12" s="3">
        <f>VLOOKUP(P12,'[1]Outright Odds GW3'!$A:$C,3,FALSE)</f>
        <v>9.4295143800094284E-3</v>
      </c>
      <c r="U12" t="s">
        <v>1</v>
      </c>
      <c r="V12" s="3">
        <f>1/3.66/1.03</f>
        <v>0.26526606186004559</v>
      </c>
      <c r="W12" t="s">
        <v>12</v>
      </c>
      <c r="X12" s="3">
        <f>VLOOKUP($A12,'[1]Outright Odds GW4'!$A:$C,2,FALSE)</f>
        <v>1.90095998479232E-3</v>
      </c>
      <c r="Y12" s="3">
        <f>VLOOKUP($A12,'[1]Outright Odds GW4'!$A:$C,3,FALSE)</f>
        <v>0.29304029304029305</v>
      </c>
      <c r="Z12" s="3">
        <f>VLOOKUP(W12,'[1]Outright Odds GW4'!$A:$C,2,FALSE)</f>
        <v>9.5142952285809422E-4</v>
      </c>
      <c r="AA12" s="3">
        <f>VLOOKUP(W12,'[1]Outright Odds GW4'!$A:$C,3,FALSE)</f>
        <v>9.5238095238095233E-2</v>
      </c>
      <c r="AB12" t="s">
        <v>0</v>
      </c>
      <c r="AC12" s="3">
        <f>1/4.03/1.03</f>
        <v>0.24091160953046326</v>
      </c>
    </row>
    <row r="13" spans="1:29" x14ac:dyDescent="0.25">
      <c r="A13" t="s">
        <v>14</v>
      </c>
      <c r="B13" t="s">
        <v>6</v>
      </c>
      <c r="C13" s="3">
        <f>VLOOKUP($A13,'[1]Outright Odds GW1'!$A:$C,2,FALSE)</f>
        <v>0.32840722495894908</v>
      </c>
      <c r="D13" s="3">
        <f>VLOOKUP($A13,'[1]Outright Odds GW1'!$A:$C,3,FALSE)</f>
        <v>9.5142952285809422E-4</v>
      </c>
      <c r="E13" s="3">
        <f>VLOOKUP(B13,'[1]Outright Odds GW1'!$A:$C,2,FALSE)</f>
        <v>1.2681504026377528E-3</v>
      </c>
      <c r="F13" s="3">
        <f>VLOOKUP(B13,'[1]Outright Odds GW1'!$A:$C,3,FALSE)</f>
        <v>7.9365079365079361E-2</v>
      </c>
      <c r="G13" t="s">
        <v>1</v>
      </c>
      <c r="H13" s="3">
        <f>1/1.3/1.03</f>
        <v>0.74682598954443602</v>
      </c>
      <c r="I13" t="s">
        <v>17</v>
      </c>
      <c r="J13" s="3">
        <f>VLOOKUP($A13,'[1]Outright Odds GW2'!$A:$C,2,FALSE)</f>
        <v>0.32840722495894908</v>
      </c>
      <c r="K13" s="3">
        <f>VLOOKUP($A13,'[1]Outright Odds GW2'!$A:$C,3,FALSE)</f>
        <v>9.5142952285809422E-4</v>
      </c>
      <c r="L13" s="3">
        <f>VLOOKUP(I13,'[1]Outright Odds GW2'!$A:$C,2,FALSE)</f>
        <v>1.341381623071764E-2</v>
      </c>
      <c r="M13" s="3">
        <f>VLOOKUP(I13,'[1]Outright Odds GW2'!$A:$C,3,FALSE)</f>
        <v>4.7382136934375737E-3</v>
      </c>
      <c r="N13" t="s">
        <v>0</v>
      </c>
      <c r="O13" s="3">
        <f>1/2.18/1.03</f>
        <v>0.44535494789347108</v>
      </c>
      <c r="P13" t="s">
        <v>3</v>
      </c>
      <c r="Q13" s="3">
        <f>VLOOKUP($A13,'[1]Outright Odds GW3'!$A:$C,2,FALSE)</f>
        <v>0.34632034632034631</v>
      </c>
      <c r="R13" s="3">
        <f>VLOOKUP($A13,'[1]Outright Odds GW3'!$A:$C,3,FALSE)</f>
        <v>6.3449763649630405E-4</v>
      </c>
      <c r="S13" s="3">
        <f>VLOOKUP(P13,'[1]Outright Odds GW3'!$A:$C,2,FALSE)</f>
        <v>0.34632034632034631</v>
      </c>
      <c r="T13" s="3">
        <f>VLOOKUP(P13,'[1]Outright Odds GW3'!$A:$C,3,FALSE)</f>
        <v>9.5142952285809422E-4</v>
      </c>
      <c r="U13" t="s">
        <v>1</v>
      </c>
      <c r="V13" s="3">
        <f>1/2/1.03</f>
        <v>0.4854368932038835</v>
      </c>
      <c r="W13" t="s">
        <v>5</v>
      </c>
      <c r="X13" s="3">
        <f>VLOOKUP($A13,'[1]Outright Odds GW4'!$A:$C,2,FALSE)</f>
        <v>0.34632034632034631</v>
      </c>
      <c r="Y13" s="3">
        <f>VLOOKUP($A13,'[1]Outright Odds GW4'!$A:$C,3,FALSE)</f>
        <v>6.3449763649630405E-4</v>
      </c>
      <c r="Z13" s="3">
        <f>VLOOKUP(W13,'[1]Outright Odds GW4'!$A:$C,2,FALSE)</f>
        <v>6.3449763649630405E-4</v>
      </c>
      <c r="AA13" s="3">
        <f>VLOOKUP(W13,'[1]Outright Odds GW4'!$A:$C,3,FALSE)</f>
        <v>0.70028011204481788</v>
      </c>
      <c r="AB13" t="s">
        <v>0</v>
      </c>
      <c r="AC13" s="3">
        <f>1/1.32/1.03</f>
        <v>0.73551044424830825</v>
      </c>
    </row>
    <row r="14" spans="1:29" x14ac:dyDescent="0.25">
      <c r="A14" t="s">
        <v>15</v>
      </c>
      <c r="B14" t="s">
        <v>22</v>
      </c>
      <c r="C14" s="3">
        <f>VLOOKUP($A14,'[1]Outright Odds GW1'!$A:$C,2,FALSE)</f>
        <v>0.21164021164021163</v>
      </c>
      <c r="D14" s="3">
        <f>VLOOKUP($A14,'[1]Outright Odds GW1'!$A:$C,3,FALSE)</f>
        <v>4.5351473922902487E-2</v>
      </c>
      <c r="E14" s="3">
        <f>VLOOKUP(B14,'[1]Outright Odds GW1'!$A:$C,2,FALSE)</f>
        <v>9.5142952285809422E-4</v>
      </c>
      <c r="F14" s="3">
        <f>VLOOKUP(B14,'[1]Outright Odds GW1'!$A:$C,3,FALSE)</f>
        <v>0.21978021978021972</v>
      </c>
      <c r="G14" t="s">
        <v>0</v>
      </c>
      <c r="H14" s="3">
        <f>1/1.53/1.03</f>
        <v>0.63455803033187386</v>
      </c>
      <c r="I14" t="s">
        <v>20</v>
      </c>
      <c r="J14" s="3">
        <f>VLOOKUP($A14,'[1]Outright Odds GW2'!$A:$C,2,FALSE)</f>
        <v>0.21164021164021163</v>
      </c>
      <c r="K14" s="3">
        <f>VLOOKUP($A14,'[1]Outright Odds GW2'!$A:$C,3,FALSE)</f>
        <v>4.5351473922902487E-2</v>
      </c>
      <c r="L14" s="3">
        <f>VLOOKUP(I14,'[1]Outright Odds GW2'!$A:$C,2,FALSE)</f>
        <v>1.8674136321195144E-2</v>
      </c>
      <c r="M14" s="3">
        <f>VLOOKUP(I14,'[1]Outright Odds GW2'!$A:$C,3,FALSE)</f>
        <v>9.4295143800094284E-3</v>
      </c>
      <c r="N14" t="s">
        <v>1</v>
      </c>
      <c r="O14" s="3">
        <f>1/1.55/1.03</f>
        <v>0.62637018477920448</v>
      </c>
      <c r="P14" t="s">
        <v>8</v>
      </c>
      <c r="Q14" s="3">
        <f>VLOOKUP($A14,'[1]Outright Odds GW3'!$A:$C,2,FALSE)</f>
        <v>0.17316017316017315</v>
      </c>
      <c r="R14" s="3">
        <f>VLOOKUP($A14,'[1]Outright Odds GW3'!$A:$C,3,FALSE)</f>
        <v>4.5351473922902487E-2</v>
      </c>
      <c r="S14" s="3">
        <f>VLOOKUP(P14,'[1]Outright Odds GW3'!$A:$C,2,FALSE)</f>
        <v>1.90095998479232E-3</v>
      </c>
      <c r="T14" s="3">
        <f>VLOOKUP(P14,'[1]Outright Odds GW3'!$A:$C,3,FALSE)</f>
        <v>5.6022408963585429E-2</v>
      </c>
      <c r="U14" t="s">
        <v>0</v>
      </c>
      <c r="V14" s="3">
        <f>1/1.78/1.03</f>
        <v>0.54543471146503764</v>
      </c>
      <c r="W14" t="s">
        <v>16</v>
      </c>
      <c r="X14" s="3">
        <f>VLOOKUP($A14,'[1]Outright Odds GW4'!$A:$C,2,FALSE)</f>
        <v>0.17316017316017315</v>
      </c>
      <c r="Y14" s="3">
        <f>VLOOKUP($A14,'[1]Outright Odds GW4'!$A:$C,3,FALSE)</f>
        <v>4.5351473922902487E-2</v>
      </c>
      <c r="Z14" s="3">
        <f>VLOOKUP(W14,'[1]Outright Odds GW4'!$A:$C,2,FALSE)</f>
        <v>2.8011204481792715E-2</v>
      </c>
      <c r="AA14" s="3">
        <f>VLOOKUP(W14,'[1]Outright Odds GW4'!$A:$C,3,FALSE)</f>
        <v>2.8011204481792715E-2</v>
      </c>
      <c r="AB14" t="s">
        <v>1</v>
      </c>
      <c r="AC14" s="3">
        <f>1/1.77/1.03</f>
        <v>0.54851626350721294</v>
      </c>
    </row>
    <row r="15" spans="1:29" x14ac:dyDescent="0.25">
      <c r="A15" t="s">
        <v>16</v>
      </c>
      <c r="B15" t="s">
        <v>3</v>
      </c>
      <c r="C15" s="3">
        <f>VLOOKUP($A15,'[1]Outright Odds GW1'!$A:$C,2,FALSE)</f>
        <v>3.6630036630036632E-2</v>
      </c>
      <c r="D15" s="3">
        <f>VLOOKUP($A15,'[1]Outright Odds GW1'!$A:$C,3,FALSE)</f>
        <v>1.8674136321195144E-2</v>
      </c>
      <c r="E15" s="3">
        <f>VLOOKUP(B15,'[1]Outright Odds GW1'!$A:$C,2,FALSE)</f>
        <v>0.26092628832354858</v>
      </c>
      <c r="F15" s="3">
        <f>VLOOKUP(B15,'[1]Outright Odds GW1'!$A:$C,3,FALSE)</f>
        <v>9.5142952285809422E-4</v>
      </c>
      <c r="G15" t="s">
        <v>1</v>
      </c>
      <c r="H15" s="3">
        <f>1/3.81/1.03</f>
        <v>0.25482251611752416</v>
      </c>
      <c r="I15" t="s">
        <v>12</v>
      </c>
      <c r="J15" s="3">
        <f>VLOOKUP($A15,'[1]Outright Odds GW2'!$A:$C,2,FALSE)</f>
        <v>3.6630036630036632E-2</v>
      </c>
      <c r="K15" s="3">
        <f>VLOOKUP($A15,'[1]Outright Odds GW2'!$A:$C,3,FALSE)</f>
        <v>1.8674136321195144E-2</v>
      </c>
      <c r="L15" s="3">
        <f>VLOOKUP(I15,'[1]Outright Odds GW2'!$A:$C,2,FALSE)</f>
        <v>9.5142952285809422E-4</v>
      </c>
      <c r="M15" s="3">
        <f>VLOOKUP(I15,'[1]Outright Odds GW2'!$A:$C,3,FALSE)</f>
        <v>7.3260073260073263E-2</v>
      </c>
      <c r="N15" t="s">
        <v>0</v>
      </c>
      <c r="O15" s="3">
        <f>1/2.09/1.03</f>
        <v>0.46453291215682635</v>
      </c>
      <c r="P15" t="s">
        <v>5</v>
      </c>
      <c r="Q15" s="3">
        <f>VLOOKUP($A15,'[1]Outright Odds GW3'!$A:$C,2,FALSE)</f>
        <v>2.8011204481792715E-2</v>
      </c>
      <c r="R15" s="3">
        <f>VLOOKUP($A15,'[1]Outright Odds GW3'!$A:$C,3,FALSE)</f>
        <v>2.8011204481792715E-2</v>
      </c>
      <c r="S15" s="3">
        <f>VLOOKUP(P15,'[1]Outright Odds GW3'!$A:$C,2,FALSE)</f>
        <v>6.3449763649630405E-4</v>
      </c>
      <c r="T15" s="3">
        <f>VLOOKUP(P15,'[1]Outright Odds GW3'!$A:$C,3,FALSE)</f>
        <v>0.70028011204481788</v>
      </c>
      <c r="U15" t="s">
        <v>1</v>
      </c>
      <c r="V15" s="3">
        <f>1/1.35/1.03</f>
        <v>0.71916576770945695</v>
      </c>
      <c r="W15" t="s">
        <v>15</v>
      </c>
      <c r="X15" s="3">
        <f>VLOOKUP($A15,'[1]Outright Odds GW4'!$A:$C,2,FALSE)</f>
        <v>2.8011204481792715E-2</v>
      </c>
      <c r="Y15" s="3">
        <f>VLOOKUP($A15,'[1]Outright Odds GW4'!$A:$C,3,FALSE)</f>
        <v>2.8011204481792715E-2</v>
      </c>
      <c r="Z15" s="3">
        <f>VLOOKUP(W15,'[1]Outright Odds GW4'!$A:$C,2,FALSE)</f>
        <v>0.17316017316017315</v>
      </c>
      <c r="AA15" s="3">
        <f>VLOOKUP(W15,'[1]Outright Odds GW4'!$A:$C,3,FALSE)</f>
        <v>4.5351473922902487E-2</v>
      </c>
      <c r="AB15" t="s">
        <v>0</v>
      </c>
      <c r="AC15" s="3">
        <f>1/4.29/1.03</f>
        <v>0.2263109059225564</v>
      </c>
    </row>
    <row r="16" spans="1:29" x14ac:dyDescent="0.25">
      <c r="A16" t="s">
        <v>17</v>
      </c>
      <c r="B16" t="s">
        <v>4</v>
      </c>
      <c r="C16" s="3">
        <f>VLOOKUP($A16,'[1]Outright Odds GW1'!$A:$C,2,FALSE)</f>
        <v>1.341381623071764E-2</v>
      </c>
      <c r="D16" s="3">
        <f>VLOOKUP($A16,'[1]Outright Odds GW1'!$A:$C,3,FALSE)</f>
        <v>4.7382136934375737E-3</v>
      </c>
      <c r="E16" s="3">
        <f>VLOOKUP(B16,'[1]Outright Odds GW1'!$A:$C,2,FALSE)</f>
        <v>9.4295143800094284E-3</v>
      </c>
      <c r="F16" s="3">
        <f>VLOOKUP(B16,'[1]Outright Odds GW1'!$A:$C,3,FALSE)</f>
        <v>6.3071586250394197E-3</v>
      </c>
      <c r="G16" t="s">
        <v>0</v>
      </c>
      <c r="H16" s="3">
        <f>1/2.96/1.03</f>
        <v>0.32799790081343477</v>
      </c>
      <c r="I16" t="s">
        <v>14</v>
      </c>
      <c r="J16" s="3">
        <f>VLOOKUP($A16,'[1]Outright Odds GW2'!$A:$C,2,FALSE)</f>
        <v>1.341381623071764E-2</v>
      </c>
      <c r="K16" s="3">
        <f>VLOOKUP($A16,'[1]Outright Odds GW2'!$A:$C,3,FALSE)</f>
        <v>4.7382136934375737E-3</v>
      </c>
      <c r="L16" s="3">
        <f>VLOOKUP(I16,'[1]Outright Odds GW2'!$A:$C,2,FALSE)</f>
        <v>0.32840722495894908</v>
      </c>
      <c r="M16" s="3">
        <f>VLOOKUP(I16,'[1]Outright Odds GW2'!$A:$C,3,FALSE)</f>
        <v>9.5142952285809422E-4</v>
      </c>
      <c r="N16" t="s">
        <v>1</v>
      </c>
      <c r="O16" s="3">
        <f>1/3.11/1.03</f>
        <v>0.31217806636905693</v>
      </c>
      <c r="P16" t="s">
        <v>13</v>
      </c>
      <c r="Q16" s="3">
        <f>VLOOKUP($A16,'[1]Outright Odds GW3'!$A:$C,2,FALSE)</f>
        <v>1.1757789535567312E-2</v>
      </c>
      <c r="R16" s="3">
        <f>VLOOKUP($A16,'[1]Outright Odds GW3'!$A:$C,3,FALSE)</f>
        <v>9.4295143800094284E-3</v>
      </c>
      <c r="S16" s="3">
        <f>VLOOKUP(P16,'[1]Outright Odds GW3'!$A:$C,2,FALSE)</f>
        <v>1.90095998479232E-3</v>
      </c>
      <c r="T16" s="3">
        <f>VLOOKUP(P16,'[1]Outright Odds GW3'!$A:$C,3,FALSE)</f>
        <v>0.29304029304029305</v>
      </c>
      <c r="U16" t="s">
        <v>0</v>
      </c>
      <c r="V16" s="3">
        <f>1/1.97/1.03</f>
        <v>0.49282933320191213</v>
      </c>
      <c r="W16" t="s">
        <v>22</v>
      </c>
      <c r="X16" s="3">
        <f>VLOOKUP($A16,'[1]Outright Odds GW4'!$A:$C,2,FALSE)</f>
        <v>1.1757789535567312E-2</v>
      </c>
      <c r="Y16" s="3">
        <f>VLOOKUP($A16,'[1]Outright Odds GW4'!$A:$C,3,FALSE)</f>
        <v>9.4295143800094284E-3</v>
      </c>
      <c r="Z16" s="3">
        <f>VLOOKUP(W16,'[1]Outright Odds GW4'!$A:$C,2,FALSE)</f>
        <v>6.3449763649630405E-4</v>
      </c>
      <c r="AA16" s="3">
        <f>VLOOKUP(W16,'[1]Outright Odds GW4'!$A:$C,3,FALSE)</f>
        <v>0.38095238095238093</v>
      </c>
      <c r="AB16" t="s">
        <v>1</v>
      </c>
      <c r="AC16" s="3">
        <f>1/1.47/1.03</f>
        <v>0.66045835810052167</v>
      </c>
    </row>
    <row r="17" spans="1:29" x14ac:dyDescent="0.25">
      <c r="A17" t="s">
        <v>18</v>
      </c>
      <c r="B17" t="s">
        <v>7</v>
      </c>
      <c r="C17" s="3">
        <f>VLOOKUP($A17,'[1]Outright Odds GW1'!$A:$C,2,FALSE)</f>
        <v>1.90095998479232E-3</v>
      </c>
      <c r="D17" s="3">
        <f>VLOOKUP($A17,'[1]Outright Odds GW1'!$A:$C,3,FALSE)</f>
        <v>8.6580086580086577E-2</v>
      </c>
      <c r="E17" s="3">
        <f>VLOOKUP(B17,'[1]Outright Odds GW1'!$A:$C,2,FALSE)</f>
        <v>9.5142952285809422E-4</v>
      </c>
      <c r="F17" s="3">
        <f>VLOOKUP(B17,'[1]Outright Odds GW1'!$A:$C,3,FALSE)</f>
        <v>0.23809523809523808</v>
      </c>
      <c r="G17" t="s">
        <v>1</v>
      </c>
      <c r="H17" s="3">
        <f>1/1.91/1.03</f>
        <v>0.50831088293600368</v>
      </c>
      <c r="I17" t="s">
        <v>10</v>
      </c>
      <c r="J17" s="3">
        <f>VLOOKUP($A17,'[1]Outright Odds GW2'!$A:$C,2,FALSE)</f>
        <v>1.90095998479232E-3</v>
      </c>
      <c r="K17" s="3">
        <f>VLOOKUP($A17,'[1]Outright Odds GW2'!$A:$C,3,FALSE)</f>
        <v>8.6580086580086577E-2</v>
      </c>
      <c r="L17" s="3">
        <f>VLOOKUP(I17,'[1]Outright Odds GW2'!$A:$C,2,FALSE)</f>
        <v>1.90095998479232E-3</v>
      </c>
      <c r="M17" s="3">
        <f>VLOOKUP(I17,'[1]Outright Odds GW2'!$A:$C,3,FALSE)</f>
        <v>8.6580086580086577E-2</v>
      </c>
      <c r="N17" t="s">
        <v>0</v>
      </c>
      <c r="O17" s="3">
        <f>1/3.12/1.03</f>
        <v>0.31117749564351505</v>
      </c>
      <c r="P17" t="s">
        <v>21</v>
      </c>
      <c r="Q17" s="3">
        <f>VLOOKUP($A17,'[1]Outright Odds GW3'!$A:$C,2,FALSE)</f>
        <v>6.3071586250394197E-3</v>
      </c>
      <c r="R17" s="3">
        <f>VLOOKUP($A17,'[1]Outright Odds GW3'!$A:$C,3,FALSE)</f>
        <v>8.6580086580086577E-2</v>
      </c>
      <c r="S17" s="3">
        <f>VLOOKUP(P17,'[1]Outright Odds GW3'!$A:$C,2,FALSE)</f>
        <v>4.759524999405059E-4</v>
      </c>
      <c r="T17" s="3">
        <f>VLOOKUP(P17,'[1]Outright Odds GW3'!$A:$C,3,FALSE)</f>
        <v>0.34632034632034631</v>
      </c>
      <c r="U17" t="s">
        <v>1</v>
      </c>
      <c r="V17" s="3">
        <f>1/1.71/1.03</f>
        <v>0.56776244819167654</v>
      </c>
      <c r="W17" t="s">
        <v>3</v>
      </c>
      <c r="X17" s="3">
        <f>VLOOKUP($A17,'[1]Outright Odds GW4'!$A:$C,2,FALSE)</f>
        <v>6.3071586250394197E-3</v>
      </c>
      <c r="Y17" s="3">
        <f>VLOOKUP($A17,'[1]Outright Odds GW4'!$A:$C,3,FALSE)</f>
        <v>8.6580086580086577E-2</v>
      </c>
      <c r="Z17" s="3">
        <f>VLOOKUP(W17,'[1]Outright Odds GW4'!$A:$C,2,FALSE)</f>
        <v>0.34632034632034631</v>
      </c>
      <c r="AA17" s="3">
        <f>VLOOKUP(W17,'[1]Outright Odds GW4'!$A:$C,3,FALSE)</f>
        <v>9.5142952285809422E-4</v>
      </c>
      <c r="AB17" t="s">
        <v>0</v>
      </c>
      <c r="AC17" s="3">
        <f>1/7.14/1.03</f>
        <v>0.13597672078540154</v>
      </c>
    </row>
    <row r="18" spans="1:29" x14ac:dyDescent="0.25">
      <c r="A18" t="s">
        <v>20</v>
      </c>
      <c r="B18" t="s">
        <v>5</v>
      </c>
      <c r="C18" s="3">
        <f>VLOOKUP($A18,'[1]Outright Odds GW1'!$A:$C,2,FALSE)</f>
        <v>1.8674136321195144E-2</v>
      </c>
      <c r="D18" s="3">
        <f>VLOOKUP($A18,'[1]Outright Odds GW1'!$A:$C,3,FALSE)</f>
        <v>9.4295143800094284E-3</v>
      </c>
      <c r="E18" s="3">
        <f>VLOOKUP(B18,'[1]Outright Odds GW1'!$A:$C,2,FALSE)</f>
        <v>4.759524999405059E-4</v>
      </c>
      <c r="F18" s="3">
        <f>VLOOKUP(B18,'[1]Outright Odds GW1'!$A:$C,3,FALSE)</f>
        <v>0.68027210884353739</v>
      </c>
      <c r="G18" t="s">
        <v>1</v>
      </c>
      <c r="H18" s="3">
        <f>1/1.57/1.03</f>
        <v>0.61839094675653938</v>
      </c>
      <c r="I18" t="s">
        <v>15</v>
      </c>
      <c r="J18" s="3">
        <f>VLOOKUP($A18,'[1]Outright Odds GW2'!$A:$C,2,FALSE)</f>
        <v>1.8674136321195144E-2</v>
      </c>
      <c r="K18" s="3">
        <f>VLOOKUP($A18,'[1]Outright Odds GW2'!$A:$C,3,FALSE)</f>
        <v>9.4295143800094284E-3</v>
      </c>
      <c r="L18" s="3">
        <f>VLOOKUP(I18,'[1]Outright Odds GW2'!$A:$C,2,FALSE)</f>
        <v>0.21164021164021163</v>
      </c>
      <c r="M18" s="3">
        <f>VLOOKUP(I18,'[1]Outright Odds GW2'!$A:$C,3,FALSE)</f>
        <v>4.5351473922902487E-2</v>
      </c>
      <c r="N18" t="s">
        <v>0</v>
      </c>
      <c r="O18" s="3">
        <f>1/5.59/1.03</f>
        <v>0.1736804626847526</v>
      </c>
      <c r="P18" t="s">
        <v>6</v>
      </c>
      <c r="Q18" s="3">
        <f>VLOOKUP($A18,'[1]Outright Odds GW3'!$A:$C,2,FALSE)</f>
        <v>3.6630036630036632E-2</v>
      </c>
      <c r="R18" s="3">
        <f>VLOOKUP($A18,'[1]Outright Odds GW3'!$A:$C,3,FALSE)</f>
        <v>6.3071586250394197E-3</v>
      </c>
      <c r="S18" s="3">
        <f>VLOOKUP(P18,'[1]Outright Odds GW3'!$A:$C,2,FALSE)</f>
        <v>1.90095998479232E-3</v>
      </c>
      <c r="T18" s="3">
        <f>VLOOKUP(P18,'[1]Outright Odds GW3'!$A:$C,3,FALSE)</f>
        <v>8.6580086580086577E-2</v>
      </c>
      <c r="U18" t="s">
        <v>1</v>
      </c>
      <c r="V18" s="3">
        <f>1/1.7/1.03</f>
        <v>0.57110222729868643</v>
      </c>
      <c r="W18" t="s">
        <v>21</v>
      </c>
      <c r="X18" s="3">
        <f>VLOOKUP($A18,'[1]Outright Odds GW4'!$A:$C,2,FALSE)</f>
        <v>3.6630036630036632E-2</v>
      </c>
      <c r="Y18" s="3">
        <f>VLOOKUP($A18,'[1]Outright Odds GW4'!$A:$C,3,FALSE)</f>
        <v>6.3071586250394197E-3</v>
      </c>
      <c r="Z18" s="3">
        <f>VLOOKUP(W18,'[1]Outright Odds GW4'!$A:$C,2,FALSE)</f>
        <v>4.759524999405059E-4</v>
      </c>
      <c r="AA18" s="3">
        <f>VLOOKUP(W18,'[1]Outright Odds GW4'!$A:$C,3,FALSE)</f>
        <v>0.34632034632034631</v>
      </c>
      <c r="AB18" t="s">
        <v>0</v>
      </c>
      <c r="AC18" s="3">
        <f>1/1.91/1.03</f>
        <v>0.50831088293600368</v>
      </c>
    </row>
    <row r="19" spans="1:29" x14ac:dyDescent="0.25">
      <c r="A19" t="s">
        <v>19</v>
      </c>
      <c r="B19" t="s">
        <v>21</v>
      </c>
      <c r="C19" s="3">
        <f>VLOOKUP($A19,'[1]Outright Odds GW1'!$A:$C,2,FALSE)</f>
        <v>4.759524999405059E-4</v>
      </c>
      <c r="D19" s="3">
        <f>VLOOKUP($A19,'[1]Outright Odds GW1'!$A:$C,3,FALSE)</f>
        <v>0.65934065934065933</v>
      </c>
      <c r="E19" s="3">
        <f>VLOOKUP(B19,'[1]Outright Odds GW1'!$A:$C,2,FALSE)</f>
        <v>9.5142952285809422E-4</v>
      </c>
      <c r="F19" s="3">
        <f>VLOOKUP(B19,'[1]Outright Odds GW1'!$A:$C,3,FALSE)</f>
        <v>0.14652014652014653</v>
      </c>
      <c r="G19" t="s">
        <v>1</v>
      </c>
      <c r="H19" s="3">
        <f>1/3.46/1.03</f>
        <v>0.28059936023345866</v>
      </c>
      <c r="I19" t="s">
        <v>5</v>
      </c>
      <c r="J19" s="3">
        <f>VLOOKUP($A19,'[1]Outright Odds GW2'!$A:$C,2,FALSE)</f>
        <v>4.759524999405059E-4</v>
      </c>
      <c r="K19" s="3">
        <f>VLOOKUP($A19,'[1]Outright Odds GW2'!$A:$C,3,FALSE)</f>
        <v>0.65934065934065933</v>
      </c>
      <c r="L19" s="3">
        <f>VLOOKUP(I19,'[1]Outright Odds GW2'!$A:$C,2,FALSE)</f>
        <v>4.759524999405059E-4</v>
      </c>
      <c r="M19" s="3">
        <f>VLOOKUP(I19,'[1]Outright Odds GW2'!$A:$C,3,FALSE)</f>
        <v>0.68027210884353739</v>
      </c>
      <c r="N19" t="s">
        <v>0</v>
      </c>
      <c r="O19" s="3">
        <f>1/3.21/1.03</f>
        <v>0.30245289296192113</v>
      </c>
      <c r="P19" t="s">
        <v>7</v>
      </c>
      <c r="Q19" s="3">
        <f>VLOOKUP($A19,'[1]Outright Odds GW3'!$A:$C,2,FALSE)</f>
        <v>6.3449763649630405E-4</v>
      </c>
      <c r="R19" s="3">
        <f>VLOOKUP($A19,'[1]Outright Odds GW3'!$A:$C,3,FALSE)</f>
        <v>0.60661207158022434</v>
      </c>
      <c r="S19" s="3">
        <f>VLOOKUP(P19,'[1]Outright Odds GW3'!$A:$C,2,FALSE)</f>
        <v>9.5142952285809422E-4</v>
      </c>
      <c r="T19" s="3">
        <f>VLOOKUP(P19,'[1]Outright Odds GW3'!$A:$C,3,FALSE)</f>
        <v>0.25396825396825395</v>
      </c>
      <c r="U19" t="s">
        <v>1</v>
      </c>
      <c r="V19" s="3">
        <f>1/2.67/1.03</f>
        <v>0.36362314097669179</v>
      </c>
      <c r="W19" t="s">
        <v>10</v>
      </c>
      <c r="X19" s="3">
        <f>VLOOKUP($A19,'[1]Outright Odds GW4'!$A:$C,2,FALSE)</f>
        <v>6.3449763649630405E-4</v>
      </c>
      <c r="Y19" s="3">
        <f>VLOOKUP($A19,'[1]Outright Odds GW4'!$A:$C,3,FALSE)</f>
        <v>0.60661207158022434</v>
      </c>
      <c r="Z19" s="3">
        <f>VLOOKUP(W19,'[1]Outright Odds GW4'!$A:$C,2,FALSE)</f>
        <v>1.90095998479232E-3</v>
      </c>
      <c r="AA19" s="3">
        <f>VLOOKUP(W19,'[1]Outright Odds GW4'!$A:$C,3,FALSE)</f>
        <v>9.5238095238095233E-2</v>
      </c>
      <c r="AB19" t="s">
        <v>0</v>
      </c>
      <c r="AC19" s="3">
        <f>1/4.89/1.03</f>
        <v>0.19854269660690532</v>
      </c>
    </row>
    <row r="20" spans="1:29" x14ac:dyDescent="0.25">
      <c r="A20" t="s">
        <v>21</v>
      </c>
      <c r="B20" t="s">
        <v>19</v>
      </c>
      <c r="C20" s="3">
        <f>VLOOKUP($A20,'[1]Outright Odds GW1'!$A:$C,2,FALSE)</f>
        <v>9.5142952285809422E-4</v>
      </c>
      <c r="D20" s="3">
        <f>VLOOKUP($A20,'[1]Outright Odds GW1'!$A:$C,3,FALSE)</f>
        <v>0.14652014652014653</v>
      </c>
      <c r="E20" s="3">
        <f>VLOOKUP(B20,'[1]Outright Odds GW1'!$A:$C,2,FALSE)</f>
        <v>4.759524999405059E-4</v>
      </c>
      <c r="F20" s="3">
        <f>VLOOKUP(B20,'[1]Outright Odds GW1'!$A:$C,3,FALSE)</f>
        <v>0.65934065934065933</v>
      </c>
      <c r="G20" t="s">
        <v>0</v>
      </c>
      <c r="H20" s="3">
        <f>1/2.25/1.03</f>
        <v>0.43149946062567418</v>
      </c>
      <c r="I20" t="s">
        <v>9</v>
      </c>
      <c r="J20" s="3">
        <f>VLOOKUP($A20,'[1]Outright Odds GW2'!$A:$C,2,FALSE)</f>
        <v>9.5142952285809422E-4</v>
      </c>
      <c r="K20" s="3">
        <f>VLOOKUP($A20,'[1]Outright Odds GW2'!$A:$C,3,FALSE)</f>
        <v>0.14652014652014653</v>
      </c>
      <c r="L20" s="3">
        <f>VLOOKUP(I20,'[1]Outright Odds GW2'!$A:$C,2,FALSE)</f>
        <v>9.5238095238095233E-2</v>
      </c>
      <c r="M20" s="3">
        <f>VLOOKUP(I20,'[1]Outright Odds GW2'!$A:$C,3,FALSE)</f>
        <v>4.7382136934375737E-3</v>
      </c>
      <c r="N20" t="s">
        <v>1</v>
      </c>
      <c r="O20" s="3">
        <f>1/4.72/1.03</f>
        <v>0.20569359881520488</v>
      </c>
      <c r="P20" t="s">
        <v>18</v>
      </c>
      <c r="Q20" s="3">
        <f>VLOOKUP($A20,'[1]Outright Odds GW3'!$A:$C,2,FALSE)</f>
        <v>4.759524999405059E-4</v>
      </c>
      <c r="R20" s="3">
        <f>VLOOKUP($A20,'[1]Outright Odds GW3'!$A:$C,3,FALSE)</f>
        <v>0.34632034632034631</v>
      </c>
      <c r="S20" s="3">
        <f>VLOOKUP(P20,'[1]Outright Odds GW3'!$A:$C,2,FALSE)</f>
        <v>6.3071586250394197E-3</v>
      </c>
      <c r="T20" s="3">
        <f>VLOOKUP(P20,'[1]Outright Odds GW3'!$A:$C,3,FALSE)</f>
        <v>8.6580086580086577E-2</v>
      </c>
      <c r="U20" t="s">
        <v>0</v>
      </c>
      <c r="V20" s="3">
        <f>1/5.02/1.03</f>
        <v>0.19340115267086994</v>
      </c>
      <c r="W20" t="s">
        <v>20</v>
      </c>
      <c r="X20" s="3">
        <f>VLOOKUP($A20,'[1]Outright Odds GW4'!$A:$C,2,FALSE)</f>
        <v>4.759524999405059E-4</v>
      </c>
      <c r="Y20" s="3">
        <f>VLOOKUP($A20,'[1]Outright Odds GW4'!$A:$C,3,FALSE)</f>
        <v>0.34632034632034631</v>
      </c>
      <c r="Z20" s="3">
        <f>VLOOKUP(W20,'[1]Outright Odds GW4'!$A:$C,2,FALSE)</f>
        <v>3.6630036630036632E-2</v>
      </c>
      <c r="AA20" s="3">
        <f>VLOOKUP(W20,'[1]Outright Odds GW4'!$A:$C,3,FALSE)</f>
        <v>6.3071586250394197E-3</v>
      </c>
      <c r="AB20" t="s">
        <v>1</v>
      </c>
      <c r="AC20" s="3">
        <f>1/3.86/1.03</f>
        <v>0.25152170632325571</v>
      </c>
    </row>
    <row r="21" spans="1:29" x14ac:dyDescent="0.25">
      <c r="A21" t="s">
        <v>22</v>
      </c>
      <c r="B21" t="s">
        <v>15</v>
      </c>
      <c r="C21" s="3">
        <f>VLOOKUP($A21,'[1]Outright Odds GW1'!$A:$C,2,FALSE)</f>
        <v>9.5142952285809422E-4</v>
      </c>
      <c r="D21" s="3">
        <f>VLOOKUP($A21,'[1]Outright Odds GW1'!$A:$C,3,FALSE)</f>
        <v>0.21978021978021972</v>
      </c>
      <c r="E21" s="3">
        <f>VLOOKUP(B21,'[1]Outright Odds GW1'!$A:$C,2,FALSE)</f>
        <v>0.21164021164021163</v>
      </c>
      <c r="F21" s="3">
        <f>VLOOKUP(B21,'[1]Outright Odds GW1'!$A:$C,3,FALSE)</f>
        <v>4.5351473922902487E-2</v>
      </c>
      <c r="G21" t="s">
        <v>1</v>
      </c>
      <c r="H21" s="3">
        <f>1/6.33/1.03</f>
        <v>0.15337658553045291</v>
      </c>
      <c r="I21" t="s">
        <v>6</v>
      </c>
      <c r="J21" s="3">
        <f>VLOOKUP($A21,'[1]Outright Odds GW2'!$A:$C,2,FALSE)</f>
        <v>9.5142952285809422E-4</v>
      </c>
      <c r="K21" s="3">
        <f>VLOOKUP($A21,'[1]Outright Odds GW2'!$A:$C,3,FALSE)</f>
        <v>0.21978021978021972</v>
      </c>
      <c r="L21" s="3">
        <f>VLOOKUP(I21,'[1]Outright Odds GW2'!$A:$C,2,FALSE)</f>
        <v>1.2681504026377528E-3</v>
      </c>
      <c r="M21" s="3">
        <f>VLOOKUP(I21,'[1]Outright Odds GW2'!$A:$C,3,FALSE)</f>
        <v>7.9365079365079361E-2</v>
      </c>
      <c r="N21" t="s">
        <v>0</v>
      </c>
      <c r="O21" s="3">
        <f>1/4.44/1.03</f>
        <v>0.21866526720895649</v>
      </c>
      <c r="P21" t="s">
        <v>11</v>
      </c>
      <c r="Q21" s="3">
        <f>VLOOKUP($A21,'[1]Outright Odds GW3'!$A:$C,2,FALSE)</f>
        <v>6.3449763649630405E-4</v>
      </c>
      <c r="R21" s="3">
        <f>VLOOKUP($A21,'[1]Outright Odds GW3'!$A:$C,3,FALSE)</f>
        <v>0.38095238095238093</v>
      </c>
      <c r="S21" s="3">
        <f>VLOOKUP(P21,'[1]Outright Odds GW3'!$A:$C,2,FALSE)</f>
        <v>1.90095998479232E-3</v>
      </c>
      <c r="T21" s="3">
        <f>VLOOKUP(P21,'[1]Outright Odds GW3'!$A:$C,3,FALSE)</f>
        <v>9.5238095238095233E-2</v>
      </c>
      <c r="U21" t="s">
        <v>1</v>
      </c>
      <c r="V21" s="3">
        <f>1/2.47/1.03</f>
        <v>0.39306631028654532</v>
      </c>
      <c r="W21" t="s">
        <v>17</v>
      </c>
      <c r="X21" s="3">
        <f>VLOOKUP($A21,'[1]Outright Odds GW4'!$A:$C,2,FALSE)</f>
        <v>6.3449763649630405E-4</v>
      </c>
      <c r="Y21" s="3">
        <f>VLOOKUP($A21,'[1]Outright Odds GW4'!$A:$C,3,FALSE)</f>
        <v>0.38095238095238093</v>
      </c>
      <c r="Z21" s="3">
        <f>VLOOKUP(W21,'[1]Outright Odds GW4'!$A:$C,2,FALSE)</f>
        <v>1.1757789535567312E-2</v>
      </c>
      <c r="AA21" s="3">
        <f>VLOOKUP(W21,'[1]Outright Odds GW4'!$A:$C,3,FALSE)</f>
        <v>9.4295143800094284E-3</v>
      </c>
      <c r="AB21" t="s">
        <v>0</v>
      </c>
      <c r="AC21" s="3">
        <f>1/6.51/1.03</f>
        <v>0.14913575828076298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</dc:creator>
  <cp:lastModifiedBy>Tyrone Cragg</cp:lastModifiedBy>
  <dcterms:created xsi:type="dcterms:W3CDTF">2025-08-25T09:55:20Z</dcterms:created>
  <dcterms:modified xsi:type="dcterms:W3CDTF">2025-08-25T10:08:24Z</dcterms:modified>
</cp:coreProperties>
</file>