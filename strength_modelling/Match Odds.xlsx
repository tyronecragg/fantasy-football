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rone\Documents\fantasy_premier_league\strength_modelling\"/>
    </mc:Choice>
  </mc:AlternateContent>
  <xr:revisionPtr revIDLastSave="0" documentId="13_ncr:1_{75A623F7-0846-452A-88CD-0D6635FE3150}" xr6:coauthVersionLast="47" xr6:coauthVersionMax="47" xr10:uidLastSave="{00000000-0000-0000-0000-000000000000}"/>
  <bookViews>
    <workbookView xWindow="-120" yWindow="-120" windowWidth="29040" windowHeight="15720" xr2:uid="{EBE3B700-67D3-49F5-A223-18363ABE89AD}"/>
  </bookViews>
  <sheets>
    <sheet name="Formula" sheetId="7" r:id="rId1"/>
    <sheet name="Matches" sheetId="2" r:id="rId2"/>
    <sheet name="Outright Odds GW1" sheetId="3" r:id="rId3"/>
    <sheet name="Outright Odds GW2" sheetId="4" r:id="rId4"/>
    <sheet name="Outright Odds GW3" sheetId="5" r:id="rId5"/>
    <sheet name="Outright Odds GW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0" i="2" l="1"/>
  <c r="AD18" i="2"/>
  <c r="AD21" i="2"/>
  <c r="AD16" i="2"/>
  <c r="AD15" i="2"/>
  <c r="AD14" i="2"/>
  <c r="AD12" i="2"/>
  <c r="AD11" i="2"/>
  <c r="AD19" i="2"/>
  <c r="AD9" i="2"/>
  <c r="AD13" i="2"/>
  <c r="AD7" i="2"/>
  <c r="AD8" i="2"/>
  <c r="AD5" i="2"/>
  <c r="AD6" i="2"/>
  <c r="AD4" i="2"/>
  <c r="AD17" i="2"/>
  <c r="AD10" i="2"/>
  <c r="AD3" i="2"/>
  <c r="AD2" i="2"/>
  <c r="Y3" i="2"/>
  <c r="Z3" i="2"/>
  <c r="AA3" i="2"/>
  <c r="AB3" i="2"/>
  <c r="Y4" i="2"/>
  <c r="Z4" i="2"/>
  <c r="AA4" i="2"/>
  <c r="AB4" i="2"/>
  <c r="Y5" i="2"/>
  <c r="Z5" i="2"/>
  <c r="AA5" i="2"/>
  <c r="AB5" i="2"/>
  <c r="Y6" i="2"/>
  <c r="Z6" i="2"/>
  <c r="AA6" i="2"/>
  <c r="AB6" i="2"/>
  <c r="Y7" i="2"/>
  <c r="Z7" i="2"/>
  <c r="AA7" i="2"/>
  <c r="AB7" i="2"/>
  <c r="Y8" i="2"/>
  <c r="Z8" i="2"/>
  <c r="AA8" i="2"/>
  <c r="AB8" i="2"/>
  <c r="Y9" i="2"/>
  <c r="Z9" i="2"/>
  <c r="AA9" i="2"/>
  <c r="AB9" i="2"/>
  <c r="Y10" i="2"/>
  <c r="Z10" i="2"/>
  <c r="AA10" i="2"/>
  <c r="AB10" i="2"/>
  <c r="Y11" i="2"/>
  <c r="Z11" i="2"/>
  <c r="AA11" i="2"/>
  <c r="AB11" i="2"/>
  <c r="Y12" i="2"/>
  <c r="Z12" i="2"/>
  <c r="AA12" i="2"/>
  <c r="AB12" i="2"/>
  <c r="Y13" i="2"/>
  <c r="Z13" i="2"/>
  <c r="AA13" i="2"/>
  <c r="AB13" i="2"/>
  <c r="Y14" i="2"/>
  <c r="Z14" i="2"/>
  <c r="AA14" i="2"/>
  <c r="AB14" i="2"/>
  <c r="Y15" i="2"/>
  <c r="Z15" i="2"/>
  <c r="AA15" i="2"/>
  <c r="AB15" i="2"/>
  <c r="Y16" i="2"/>
  <c r="Z16" i="2"/>
  <c r="AA16" i="2"/>
  <c r="AB16" i="2"/>
  <c r="Y17" i="2"/>
  <c r="Z17" i="2"/>
  <c r="AA17" i="2"/>
  <c r="AB17" i="2"/>
  <c r="Y18" i="2"/>
  <c r="Z18" i="2"/>
  <c r="AA18" i="2"/>
  <c r="AB18" i="2"/>
  <c r="Y19" i="2"/>
  <c r="Z19" i="2"/>
  <c r="AA19" i="2"/>
  <c r="AB19" i="2"/>
  <c r="Y20" i="2"/>
  <c r="Z20" i="2"/>
  <c r="AA20" i="2"/>
  <c r="AB20" i="2"/>
  <c r="Y21" i="2"/>
  <c r="Z21" i="2"/>
  <c r="AA21" i="2"/>
  <c r="AB21" i="2"/>
  <c r="AB2" i="2"/>
  <c r="AA2" i="2"/>
  <c r="Z2" i="2"/>
  <c r="Y2" i="2"/>
  <c r="O16" i="2"/>
  <c r="O13" i="2"/>
  <c r="O21" i="2"/>
  <c r="O20" i="2"/>
  <c r="O19" i="2"/>
  <c r="O18" i="2"/>
  <c r="O17" i="2"/>
  <c r="O15" i="2"/>
  <c r="O14" i="2"/>
  <c r="O12" i="2"/>
  <c r="O11" i="2"/>
  <c r="O10" i="2"/>
  <c r="O9" i="2"/>
  <c r="O8" i="2"/>
  <c r="O7" i="2"/>
  <c r="O6" i="2"/>
  <c r="O5" i="2"/>
  <c r="O4" i="2"/>
  <c r="O3" i="2"/>
  <c r="O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W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T20" i="2"/>
  <c r="U20" i="2"/>
  <c r="T21" i="2"/>
  <c r="U21" i="2"/>
  <c r="U2" i="2"/>
  <c r="T2" i="2"/>
  <c r="R3" i="2"/>
  <c r="S3" i="2"/>
  <c r="R4" i="2"/>
  <c r="S4" i="2"/>
  <c r="R5" i="2"/>
  <c r="S5" i="2"/>
  <c r="R6" i="2"/>
  <c r="S6" i="2"/>
  <c r="R7" i="2"/>
  <c r="S7" i="2"/>
  <c r="R8" i="2"/>
  <c r="S8" i="2"/>
  <c r="R9" i="2"/>
  <c r="S9" i="2"/>
  <c r="R10" i="2"/>
  <c r="S10" i="2"/>
  <c r="R11" i="2"/>
  <c r="S11" i="2"/>
  <c r="R12" i="2"/>
  <c r="S12" i="2"/>
  <c r="R13" i="2"/>
  <c r="S13" i="2"/>
  <c r="R14" i="2"/>
  <c r="S14" i="2"/>
  <c r="R15" i="2"/>
  <c r="S15" i="2"/>
  <c r="R16" i="2"/>
  <c r="S16" i="2"/>
  <c r="R17" i="2"/>
  <c r="S17" i="2"/>
  <c r="R18" i="2"/>
  <c r="S18" i="2"/>
  <c r="R19" i="2"/>
  <c r="S19" i="2"/>
  <c r="R20" i="2"/>
  <c r="S20" i="2"/>
  <c r="R21" i="2"/>
  <c r="S21" i="2"/>
  <c r="S2" i="2"/>
  <c r="R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  <c r="P12" i="2" l="1"/>
  <c r="P17" i="2"/>
  <c r="P5" i="2"/>
  <c r="P16" i="2"/>
  <c r="P4" i="2"/>
  <c r="P18" i="2"/>
  <c r="P15" i="2"/>
  <c r="P3" i="2"/>
  <c r="P6" i="2"/>
  <c r="P20" i="2"/>
  <c r="P8" i="2"/>
  <c r="P19" i="2"/>
  <c r="P7" i="2"/>
  <c r="P14" i="2"/>
  <c r="P13" i="2"/>
  <c r="P11" i="2"/>
  <c r="P2" i="2"/>
  <c r="P10" i="2"/>
  <c r="P21" i="2"/>
  <c r="P9" i="2"/>
</calcChain>
</file>

<file path=xl/sharedStrings.xml><?xml version="1.0" encoding="utf-8"?>
<sst xmlns="http://schemas.openxmlformats.org/spreadsheetml/2006/main" count="308" uniqueCount="58">
  <si>
    <t>Liverpool</t>
  </si>
  <si>
    <t>Arsenal</t>
  </si>
  <si>
    <t>Chelsea</t>
  </si>
  <si>
    <t>Man City</t>
  </si>
  <si>
    <t>Newcastle</t>
  </si>
  <si>
    <t>Man Utd</t>
  </si>
  <si>
    <t>Aston Villa</t>
  </si>
  <si>
    <t>Brighton</t>
  </si>
  <si>
    <t>Bournemouth</t>
  </si>
  <si>
    <t>Crystal Palace</t>
  </si>
  <si>
    <t>Fulham</t>
  </si>
  <si>
    <t>Everton</t>
  </si>
  <si>
    <t>Brentford</t>
  </si>
  <si>
    <t>West Ham</t>
  </si>
  <si>
    <t>Leeds</t>
  </si>
  <si>
    <t>Sunderland</t>
  </si>
  <si>
    <t>Burnley</t>
  </si>
  <si>
    <t>Team</t>
  </si>
  <si>
    <t>Wolves</t>
  </si>
  <si>
    <t>GW1 Opponent</t>
  </si>
  <si>
    <t>GW1 Venue</t>
  </si>
  <si>
    <t>GW2 Opponent</t>
  </si>
  <si>
    <t>GW2 Venue</t>
  </si>
  <si>
    <t>GW3 Opponent</t>
  </si>
  <si>
    <t>GW3 Venue</t>
  </si>
  <si>
    <t>A</t>
  </si>
  <si>
    <t>H</t>
  </si>
  <si>
    <t>Spurs</t>
  </si>
  <si>
    <t>Nott'm Forest</t>
  </si>
  <si>
    <t>Winner</t>
  </si>
  <si>
    <t>Relegation</t>
  </si>
  <si>
    <t>GW1 Match Win Prob</t>
  </si>
  <si>
    <t>GW2 Match Win Prob</t>
  </si>
  <si>
    <t>GW3 Match Win Prob</t>
  </si>
  <si>
    <t>GW1 Winner Prob</t>
  </si>
  <si>
    <t>GW1 Relegation Prob</t>
  </si>
  <si>
    <t>GW1 Opponent Winner Prob</t>
  </si>
  <si>
    <t>GW1 Opponent Relegation Prob</t>
  </si>
  <si>
    <t>GW2 Winner Prob</t>
  </si>
  <si>
    <t>GW2 Relegation Prob</t>
  </si>
  <si>
    <t>GW3 Winner Prob</t>
  </si>
  <si>
    <t>GW3 Relegation Prob</t>
  </si>
  <si>
    <t>GW3 Opponent Winner Prob</t>
  </si>
  <si>
    <t>GW3 Opponent Relegation Prob</t>
  </si>
  <si>
    <t>GW2 Opponent Winner Prob</t>
  </si>
  <si>
    <t>GW2 Opponent Relegation Prob</t>
  </si>
  <si>
    <t>GW2 Pred</t>
  </si>
  <si>
    <t>GW4 Opponent</t>
  </si>
  <si>
    <t>GW4 Winner Prob</t>
  </si>
  <si>
    <t>GW4 Relegation Prob</t>
  </si>
  <si>
    <t>GW4 Opponent Winner Prob</t>
  </si>
  <si>
    <t>GW4 Opponent Relegation Prob</t>
  </si>
  <si>
    <t>GW4 Venue</t>
  </si>
  <si>
    <t>GW4 Match Win Prob</t>
  </si>
  <si>
    <t>Home</t>
  </si>
  <si>
    <t>Intercept</t>
  </si>
  <si>
    <t>Opponent Winner</t>
  </si>
  <si>
    <t>Opponent Relegation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</si>
</sst>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0" fontId="2" fillId="0" borderId="0" xfId="0" applyFont="1"/>
    <xf numFmtId="9" fontId="2" fillId="0" borderId="0" xfId="1" applyFont="1"/>
    <xf numFmtId="9" fontId="0" fillId="0" borderId="0" xfId="1" applyFont="1" applyFill="1"/>
    <xf numFmtId="9" fontId="0" fillId="2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48CB-AE89-412B-89BE-35AB56C1A493}">
  <dimension ref="A1:B6"/>
  <sheetViews>
    <sheetView tabSelected="1" workbookViewId="0"/>
  </sheetViews>
  <sheetFormatPr defaultRowHeight="15" x14ac:dyDescent="0.25"/>
  <cols>
    <col min="1" max="1" width="19.7109375" bestFit="1" customWidth="1"/>
    <col min="2" max="2" width="9.7109375" bestFit="1" customWidth="1"/>
  </cols>
  <sheetData>
    <row r="1" spans="1:2" x14ac:dyDescent="0.25">
      <c r="A1" t="s">
        <v>55</v>
      </c>
      <c r="B1">
        <v>0.31084299999999998</v>
      </c>
    </row>
    <row r="2" spans="1:2" x14ac:dyDescent="0.25">
      <c r="A2" t="s">
        <v>29</v>
      </c>
      <c r="B2">
        <v>0.80463799999999996</v>
      </c>
    </row>
    <row r="3" spans="1:2" x14ac:dyDescent="0.25">
      <c r="A3" t="s">
        <v>30</v>
      </c>
      <c r="B3">
        <v>-0.28631699999999999</v>
      </c>
    </row>
    <row r="4" spans="1:2" x14ac:dyDescent="0.25">
      <c r="A4" t="s">
        <v>56</v>
      </c>
      <c r="B4">
        <v>-0.69861200000000001</v>
      </c>
    </row>
    <row r="5" spans="1:2" x14ac:dyDescent="0.25">
      <c r="A5" t="s">
        <v>57</v>
      </c>
      <c r="B5">
        <v>0.30446000000000001</v>
      </c>
    </row>
    <row r="6" spans="1:2" x14ac:dyDescent="0.25">
      <c r="A6" t="s">
        <v>54</v>
      </c>
      <c r="B6">
        <v>0.127468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DB67-D094-4DD4-A055-44F64DC0CDB8}">
  <dimension ref="A1:AD21"/>
  <sheetViews>
    <sheetView workbookViewId="0">
      <selection activeCell="P2" sqref="P2"/>
    </sheetView>
  </sheetViews>
  <sheetFormatPr defaultRowHeight="15" x14ac:dyDescent="0.25"/>
  <cols>
    <col min="1" max="1" width="13.5703125" bestFit="1" customWidth="1"/>
    <col min="2" max="2" width="14.85546875" customWidth="1"/>
    <col min="3" max="3" width="17" style="1" customWidth="1"/>
    <col min="4" max="4" width="20.28515625" style="1" customWidth="1"/>
    <col min="5" max="5" width="26.85546875" style="1" customWidth="1"/>
    <col min="6" max="6" width="30.140625" style="1" customWidth="1"/>
    <col min="7" max="7" width="11.42578125" customWidth="1"/>
    <col min="8" max="8" width="20" style="1" customWidth="1"/>
    <col min="9" max="9" width="14.85546875" customWidth="1"/>
    <col min="10" max="10" width="17" customWidth="1"/>
    <col min="11" max="11" width="20.28515625" customWidth="1"/>
    <col min="12" max="12" width="26.85546875" style="1" customWidth="1"/>
    <col min="13" max="13" width="30.140625" style="1" customWidth="1"/>
    <col min="14" max="14" width="11.42578125" customWidth="1"/>
    <col min="15" max="15" width="20" customWidth="1"/>
    <col min="16" max="16" width="9.85546875" customWidth="1"/>
    <col min="17" max="17" width="14.85546875" customWidth="1"/>
    <col min="18" max="18" width="17" customWidth="1"/>
    <col min="19" max="19" width="20.28515625" customWidth="1"/>
    <col min="20" max="20" width="26.85546875" style="1" customWidth="1"/>
    <col min="21" max="21" width="30.140625" style="1" customWidth="1"/>
    <col min="22" max="22" width="11.42578125" customWidth="1"/>
    <col min="23" max="23" width="20" customWidth="1"/>
    <col min="24" max="24" width="14.85546875" bestFit="1" customWidth="1"/>
    <col min="25" max="25" width="17" customWidth="1"/>
    <col min="26" max="26" width="20.28515625" customWidth="1"/>
    <col min="27" max="27" width="26.85546875" customWidth="1"/>
    <col min="28" max="28" width="30.140625" customWidth="1"/>
    <col min="29" max="29" width="11.42578125" customWidth="1"/>
    <col min="30" max="30" width="20" bestFit="1" customWidth="1"/>
  </cols>
  <sheetData>
    <row r="1" spans="1:30" s="2" customFormat="1" x14ac:dyDescent="0.25">
      <c r="A1" s="2" t="s">
        <v>17</v>
      </c>
      <c r="B1" s="2" t="s">
        <v>19</v>
      </c>
      <c r="C1" s="3" t="s">
        <v>34</v>
      </c>
      <c r="D1" s="3" t="s">
        <v>35</v>
      </c>
      <c r="E1" s="3" t="s">
        <v>36</v>
      </c>
      <c r="F1" s="3" t="s">
        <v>37</v>
      </c>
      <c r="G1" s="2" t="s">
        <v>20</v>
      </c>
      <c r="H1" s="3" t="s">
        <v>31</v>
      </c>
      <c r="I1" s="2" t="s">
        <v>21</v>
      </c>
      <c r="J1" s="3" t="s">
        <v>38</v>
      </c>
      <c r="K1" s="3" t="s">
        <v>39</v>
      </c>
      <c r="L1" s="3" t="s">
        <v>44</v>
      </c>
      <c r="M1" s="3" t="s">
        <v>45</v>
      </c>
      <c r="N1" s="2" t="s">
        <v>22</v>
      </c>
      <c r="O1" s="2" t="s">
        <v>32</v>
      </c>
      <c r="P1" s="2" t="s">
        <v>46</v>
      </c>
      <c r="Q1" s="2" t="s">
        <v>23</v>
      </c>
      <c r="R1" s="3" t="s">
        <v>40</v>
      </c>
      <c r="S1" s="3" t="s">
        <v>41</v>
      </c>
      <c r="T1" s="3" t="s">
        <v>42</v>
      </c>
      <c r="U1" s="3" t="s">
        <v>43</v>
      </c>
      <c r="V1" s="2" t="s">
        <v>24</v>
      </c>
      <c r="W1" s="2" t="s">
        <v>33</v>
      </c>
      <c r="X1" s="2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2" t="s">
        <v>52</v>
      </c>
      <c r="AD1" s="2" t="s">
        <v>53</v>
      </c>
    </row>
    <row r="2" spans="1:30" x14ac:dyDescent="0.25">
      <c r="A2" t="s">
        <v>1</v>
      </c>
      <c r="B2" t="s">
        <v>5</v>
      </c>
      <c r="C2" s="1">
        <f>VLOOKUP($A2,'Outright Odds GW1'!$A:$C,2,FALSE)</f>
        <v>0.26092628832354858</v>
      </c>
      <c r="D2" s="1">
        <f>VLOOKUP($A2,'Outright Odds GW1'!$A:$C,3,FALSE)</f>
        <v>9.5142952285809422E-4</v>
      </c>
      <c r="E2" s="1">
        <f>VLOOKUP(B2,'Outright Odds GW1'!$A:$C,2,FALSE)</f>
        <v>3.6630036630036632E-2</v>
      </c>
      <c r="F2" s="1">
        <f>VLOOKUP(B2,'Outright Odds GW1'!$A:$C,3,FALSE)</f>
        <v>1.8674136321195144E-2</v>
      </c>
      <c r="G2" t="s">
        <v>25</v>
      </c>
      <c r="H2" s="4">
        <f>1/1.96/1.03</f>
        <v>0.49534376857539131</v>
      </c>
      <c r="I2" t="s">
        <v>14</v>
      </c>
      <c r="J2" s="1">
        <f>VLOOKUP($A2,'Outright Odds GW2'!$A:$C,2,FALSE)</f>
        <v>0.26092628832354858</v>
      </c>
      <c r="K2" s="1">
        <f>VLOOKUP($A2,'Outright Odds GW2'!$A:$C,3,FALSE)</f>
        <v>9.5142952285809422E-4</v>
      </c>
      <c r="L2" s="1">
        <f>VLOOKUP(I2,'Outright Odds GW2'!$A:$C,2,FALSE)</f>
        <v>9.5142952285809422E-4</v>
      </c>
      <c r="M2" s="1">
        <f>VLOOKUP(I2,'Outright Odds GW2'!$A:$C,3,FALSE)</f>
        <v>0.3968253968253968</v>
      </c>
      <c r="N2" t="s">
        <v>26</v>
      </c>
      <c r="O2" s="4">
        <f>1/1.34/1.03</f>
        <v>0.72453267642370667</v>
      </c>
      <c r="P2" s="5">
        <f t="shared" ref="P2:P21" si="0">0.306517 + 0.951949 *J2 - 0.287891 * K2 - 0.897169 * L2 + 0.276643 * M2 + 0.144756 * IF(N2="H",1,0)</f>
        <v>0.80831298642692373</v>
      </c>
      <c r="Q2" t="s">
        <v>0</v>
      </c>
      <c r="R2" s="1">
        <f>VLOOKUP($A2,'Outright Odds GW3'!$A:$C,2,FALSE)</f>
        <v>0.34632034632034631</v>
      </c>
      <c r="S2" s="1">
        <f>VLOOKUP($A2,'Outright Odds GW3'!$A:$C,3,FALSE)</f>
        <v>9.5142952285809422E-4</v>
      </c>
      <c r="T2" s="1">
        <f>VLOOKUP(Q2,'Outright Odds GW3'!$A:$C,2,FALSE)</f>
        <v>0.34632034632034631</v>
      </c>
      <c r="U2" s="1">
        <f>VLOOKUP(Q2,'Outright Odds GW3'!$A:$C,3,FALSE)</f>
        <v>6.3449763649630405E-4</v>
      </c>
      <c r="V2" t="s">
        <v>25</v>
      </c>
      <c r="W2" s="4">
        <f>1/3.67/1.03</f>
        <v>0.26454326605116268</v>
      </c>
      <c r="X2" t="s">
        <v>28</v>
      </c>
      <c r="Y2" s="1">
        <f>VLOOKUP($A2,'Outright Odds GW4'!$A:$C,2,FALSE)</f>
        <v>0.34632034632034631</v>
      </c>
      <c r="Z2" s="1">
        <f>VLOOKUP($A2,'Outright Odds GW4'!$A:$C,3,FALSE)</f>
        <v>9.5142952285809422E-4</v>
      </c>
      <c r="AA2" s="1">
        <f>VLOOKUP(X2,'Outright Odds GW4'!$A:$C,2,FALSE)</f>
        <v>6.3071586250394197E-3</v>
      </c>
      <c r="AB2" s="1">
        <f>VLOOKUP(X2,'Outright Odds GW4'!$A:$C,3,FALSE)</f>
        <v>8.6580086580086577E-2</v>
      </c>
      <c r="AC2" t="s">
        <v>26</v>
      </c>
      <c r="AD2" s="4">
        <f>1/1.42/1.03</f>
        <v>0.68371393408997683</v>
      </c>
    </row>
    <row r="3" spans="1:30" x14ac:dyDescent="0.25">
      <c r="A3" t="s">
        <v>6</v>
      </c>
      <c r="B3" t="s">
        <v>4</v>
      </c>
      <c r="C3" s="1">
        <f>VLOOKUP($A3,'Outright Odds GW1'!$A:$C,2,FALSE)</f>
        <v>9.4295143800094284E-3</v>
      </c>
      <c r="D3" s="1">
        <f>VLOOKUP($A3,'Outright Odds GW1'!$A:$C,3,FALSE)</f>
        <v>6.3071586250394197E-3</v>
      </c>
      <c r="E3" s="1">
        <f>VLOOKUP(B3,'Outright Odds GW1'!$A:$C,2,FALSE)</f>
        <v>1.341381623071764E-2</v>
      </c>
      <c r="F3" s="1">
        <f>VLOOKUP(B3,'Outright Odds GW1'!$A:$C,3,FALSE)</f>
        <v>4.7382136934375737E-3</v>
      </c>
      <c r="G3" t="s">
        <v>26</v>
      </c>
      <c r="H3" s="1">
        <f>1/2.4/1.03</f>
        <v>0.4045307443365696</v>
      </c>
      <c r="I3" t="s">
        <v>12</v>
      </c>
      <c r="J3" s="1">
        <f>VLOOKUP($A3,'Outright Odds GW2'!$A:$C,2,FALSE)</f>
        <v>9.4295143800094284E-3</v>
      </c>
      <c r="K3" s="1">
        <f>VLOOKUP($A3,'Outright Odds GW2'!$A:$C,3,FALSE)</f>
        <v>6.3071586250394197E-3</v>
      </c>
      <c r="L3" s="1">
        <f>VLOOKUP(I3,'Outright Odds GW2'!$A:$C,2,FALSE)</f>
        <v>9.5142952285809422E-4</v>
      </c>
      <c r="M3" s="1">
        <f>VLOOKUP(I3,'Outright Odds GW2'!$A:$C,3,FALSE)</f>
        <v>0.23809523809523808</v>
      </c>
      <c r="N3" t="s">
        <v>25</v>
      </c>
      <c r="O3" s="1">
        <f>1/2.15/1.03</f>
        <v>0.45156920298035674</v>
      </c>
      <c r="P3" s="5">
        <f t="shared" si="0"/>
        <v>0.37869143045960224</v>
      </c>
      <c r="Q3" t="s">
        <v>9</v>
      </c>
      <c r="R3" s="1">
        <f>VLOOKUP($A3,'Outright Odds GW3'!$A:$C,2,FALSE)</f>
        <v>6.3071586250394197E-3</v>
      </c>
      <c r="S3" s="1">
        <f>VLOOKUP($A3,'Outright Odds GW3'!$A:$C,3,FALSE)</f>
        <v>1.8674136321195144E-2</v>
      </c>
      <c r="T3" s="1">
        <f>VLOOKUP(Q3,'Outright Odds GW3'!$A:$C,2,FALSE)</f>
        <v>1.90095998479232E-3</v>
      </c>
      <c r="U3" s="1">
        <f>VLOOKUP(Q3,'Outright Odds GW3'!$A:$C,3,FALSE)</f>
        <v>9.5238095238095233E-2</v>
      </c>
      <c r="V3" t="s">
        <v>26</v>
      </c>
      <c r="W3" s="1">
        <f>1/1.85/1.03</f>
        <v>0.52479664130149561</v>
      </c>
      <c r="X3" t="s">
        <v>11</v>
      </c>
      <c r="Y3" s="1">
        <f>VLOOKUP($A3,'Outright Odds GW4'!$A:$C,2,FALSE)</f>
        <v>6.3071586250394197E-3</v>
      </c>
      <c r="Z3" s="1">
        <f>VLOOKUP($A3,'Outright Odds GW4'!$A:$C,3,FALSE)</f>
        <v>1.8674136321195144E-2</v>
      </c>
      <c r="AA3" s="1">
        <f>VLOOKUP(X3,'Outright Odds GW4'!$A:$C,2,FALSE)</f>
        <v>1.90095998479232E-3</v>
      </c>
      <c r="AB3" s="1">
        <f>VLOOKUP(X3,'Outright Odds GW4'!$A:$C,3,FALSE)</f>
        <v>9.5238095238095233E-2</v>
      </c>
      <c r="AC3" t="s">
        <v>25</v>
      </c>
      <c r="AD3" s="1">
        <f>1/2.36/1.03</f>
        <v>0.41138719763040976</v>
      </c>
    </row>
    <row r="4" spans="1:30" x14ac:dyDescent="0.25">
      <c r="A4" t="s">
        <v>8</v>
      </c>
      <c r="B4" t="s">
        <v>0</v>
      </c>
      <c r="C4" s="1">
        <f>VLOOKUP($A4,'Outright Odds GW1'!$A:$C,2,FALSE)</f>
        <v>1.2681504026377528E-3</v>
      </c>
      <c r="D4" s="1">
        <f>VLOOKUP($A4,'Outright Odds GW1'!$A:$C,3,FALSE)</f>
        <v>7.9365079365079361E-2</v>
      </c>
      <c r="E4" s="1">
        <f>VLOOKUP(B4,'Outright Odds GW1'!$A:$C,2,FALSE)</f>
        <v>0.32840722495894908</v>
      </c>
      <c r="F4" s="1">
        <f>VLOOKUP(B4,'Outright Odds GW1'!$A:$C,3,FALSE)</f>
        <v>9.5142952285809422E-4</v>
      </c>
      <c r="G4" t="s">
        <v>25</v>
      </c>
      <c r="H4" s="1">
        <f>1/8.97/1.03</f>
        <v>0.10823565065861392</v>
      </c>
      <c r="I4" t="s">
        <v>18</v>
      </c>
      <c r="J4" s="1">
        <f>VLOOKUP($A4,'Outright Odds GW2'!$A:$C,2,FALSE)</f>
        <v>1.2681504026377528E-3</v>
      </c>
      <c r="K4" s="1">
        <f>VLOOKUP($A4,'Outright Odds GW2'!$A:$C,3,FALSE)</f>
        <v>7.9365079365079361E-2</v>
      </c>
      <c r="L4" s="1">
        <f>VLOOKUP(I4,'Outright Odds GW2'!$A:$C,2,FALSE)</f>
        <v>9.5142952285809422E-4</v>
      </c>
      <c r="M4" s="1">
        <f>VLOOKUP(I4,'Outright Odds GW2'!$A:$C,3,FALSE)</f>
        <v>0.21978021978021972</v>
      </c>
      <c r="N4" t="s">
        <v>26</v>
      </c>
      <c r="O4" s="1">
        <f>1/1.81/1.03</f>
        <v>0.53639435713136296</v>
      </c>
      <c r="P4" s="5">
        <f t="shared" si="0"/>
        <v>0.4895787887112148</v>
      </c>
      <c r="Q4" t="s">
        <v>27</v>
      </c>
      <c r="R4" s="1">
        <f>VLOOKUP($A4,'Outright Odds GW3'!$A:$C,2,FALSE)</f>
        <v>1.90095998479232E-3</v>
      </c>
      <c r="S4" s="1">
        <f>VLOOKUP($A4,'Outright Odds GW3'!$A:$C,3,FALSE)</f>
        <v>8.6580086580086577E-2</v>
      </c>
      <c r="T4" s="1">
        <f>VLOOKUP(Q4,'Outright Odds GW3'!$A:$C,2,FALSE)</f>
        <v>3.6630036630036632E-2</v>
      </c>
      <c r="U4" s="1">
        <f>VLOOKUP(Q4,'Outright Odds GW3'!$A:$C,3,FALSE)</f>
        <v>6.3071586250394197E-3</v>
      </c>
      <c r="V4" t="s">
        <v>25</v>
      </c>
      <c r="W4" s="1">
        <f>1/4.61/1.03</f>
        <v>0.21060168902554596</v>
      </c>
      <c r="X4" t="s">
        <v>7</v>
      </c>
      <c r="Y4" s="1">
        <f>VLOOKUP($A4,'Outright Odds GW4'!$A:$C,2,FALSE)</f>
        <v>1.90095998479232E-3</v>
      </c>
      <c r="Z4" s="1">
        <f>VLOOKUP($A4,'Outright Odds GW4'!$A:$C,3,FALSE)</f>
        <v>8.6580086580086577E-2</v>
      </c>
      <c r="AA4" s="1">
        <f>VLOOKUP(X4,'Outright Odds GW4'!$A:$C,2,FALSE)</f>
        <v>1.90095998479232E-3</v>
      </c>
      <c r="AB4" s="1">
        <f>VLOOKUP(X4,'Outright Odds GW4'!$A:$C,3,FALSE)</f>
        <v>5.6022408963585429E-2</v>
      </c>
      <c r="AC4" t="s">
        <v>26</v>
      </c>
      <c r="AD4" s="1">
        <f>1/2.4/1.03</f>
        <v>0.4045307443365696</v>
      </c>
    </row>
    <row r="5" spans="1:30" x14ac:dyDescent="0.25">
      <c r="A5" t="s">
        <v>12</v>
      </c>
      <c r="B5" t="s">
        <v>28</v>
      </c>
      <c r="C5" s="1">
        <f>VLOOKUP($A5,'Outright Odds GW1'!$A:$C,2,FALSE)</f>
        <v>9.5142952285809422E-4</v>
      </c>
      <c r="D5" s="1">
        <f>VLOOKUP($A5,'Outright Odds GW1'!$A:$C,3,FALSE)</f>
        <v>0.23809523809523808</v>
      </c>
      <c r="E5" s="1">
        <f>VLOOKUP(B5,'Outright Odds GW1'!$A:$C,2,FALSE)</f>
        <v>1.90095998479232E-3</v>
      </c>
      <c r="F5" s="1">
        <f>VLOOKUP(B5,'Outright Odds GW1'!$A:$C,3,FALSE)</f>
        <v>8.6580086580086577E-2</v>
      </c>
      <c r="G5" t="s">
        <v>25</v>
      </c>
      <c r="H5" s="1">
        <f>1/4.24/1.03</f>
        <v>0.2289796666056054</v>
      </c>
      <c r="I5" t="s">
        <v>6</v>
      </c>
      <c r="J5" s="1">
        <f>VLOOKUP($A5,'Outright Odds GW2'!$A:$C,2,FALSE)</f>
        <v>9.5142952285809422E-4</v>
      </c>
      <c r="K5" s="1">
        <f>VLOOKUP($A5,'Outright Odds GW2'!$A:$C,3,FALSE)</f>
        <v>0.23809523809523808</v>
      </c>
      <c r="L5" s="1">
        <f>VLOOKUP(I5,'Outright Odds GW2'!$A:$C,2,FALSE)</f>
        <v>9.4295143800094284E-3</v>
      </c>
      <c r="M5" s="1">
        <f>VLOOKUP(I5,'Outright Odds GW2'!$A:$C,3,FALSE)</f>
        <v>6.3071586250394197E-3</v>
      </c>
      <c r="N5" t="s">
        <v>26</v>
      </c>
      <c r="O5" s="1">
        <f>1/3.4/1.03</f>
        <v>0.28555111364934321</v>
      </c>
      <c r="P5" s="5">
        <f t="shared" si="0"/>
        <v>0.37691819948908711</v>
      </c>
      <c r="Q5" t="s">
        <v>15</v>
      </c>
      <c r="R5" s="1">
        <f>VLOOKUP($A5,'Outright Odds GW3'!$A:$C,2,FALSE)</f>
        <v>9.5142952285809422E-4</v>
      </c>
      <c r="S5" s="1">
        <f>VLOOKUP($A5,'Outright Odds GW3'!$A:$C,3,FALSE)</f>
        <v>0.25396825396825395</v>
      </c>
      <c r="T5" s="1">
        <f>VLOOKUP(Q5,'Outright Odds GW3'!$A:$C,2,FALSE)</f>
        <v>6.3449763649630405E-4</v>
      </c>
      <c r="U5" s="1">
        <f>VLOOKUP(Q5,'Outright Odds GW3'!$A:$C,3,FALSE)</f>
        <v>0.60661207158022434</v>
      </c>
      <c r="V5" t="s">
        <v>25</v>
      </c>
      <c r="W5" s="1">
        <f>1/2.63/1.03</f>
        <v>0.3691535309535236</v>
      </c>
      <c r="X5" t="s">
        <v>2</v>
      </c>
      <c r="Y5" s="1">
        <f>VLOOKUP($A5,'Outright Odds GW4'!$A:$C,2,FALSE)</f>
        <v>9.5142952285809422E-4</v>
      </c>
      <c r="Z5" s="1">
        <f>VLOOKUP($A5,'Outright Odds GW4'!$A:$C,3,FALSE)</f>
        <v>0.25396825396825395</v>
      </c>
      <c r="AA5" s="1">
        <f>VLOOKUP(X5,'Outright Odds GW4'!$A:$C,2,FALSE)</f>
        <v>0.11904761904761904</v>
      </c>
      <c r="AB5" s="1">
        <f>VLOOKUP(X5,'Outright Odds GW4'!$A:$C,3,FALSE)</f>
        <v>1.90095998479232E-3</v>
      </c>
      <c r="AC5" t="s">
        <v>26</v>
      </c>
      <c r="AD5" s="1">
        <f>1/4.6/1.03</f>
        <v>0.21105951878429718</v>
      </c>
    </row>
    <row r="6" spans="1:30" x14ac:dyDescent="0.25">
      <c r="A6" t="s">
        <v>7</v>
      </c>
      <c r="B6" t="s">
        <v>10</v>
      </c>
      <c r="C6" s="1">
        <f>VLOOKUP($A6,'Outright Odds GW1'!$A:$C,2,FALSE)</f>
        <v>3.7943464238284954E-3</v>
      </c>
      <c r="D6" s="1">
        <f>VLOOKUP($A6,'Outright Odds GW1'!$A:$C,3,FALSE)</f>
        <v>4.1407867494824016E-2</v>
      </c>
      <c r="E6" s="1">
        <f>VLOOKUP(B6,'Outright Odds GW1'!$A:$C,2,FALSE)</f>
        <v>9.5142952285809422E-4</v>
      </c>
      <c r="F6" s="1">
        <f>VLOOKUP(B6,'Outright Odds GW1'!$A:$C,3,FALSE)</f>
        <v>7.3260073260073263E-2</v>
      </c>
      <c r="G6" t="s">
        <v>26</v>
      </c>
      <c r="H6" s="1">
        <f>1/1.84/1.03</f>
        <v>0.52764879696074285</v>
      </c>
      <c r="I6" t="s">
        <v>11</v>
      </c>
      <c r="J6" s="1">
        <f>VLOOKUP($A6,'Outright Odds GW2'!$A:$C,2,FALSE)</f>
        <v>3.7943464238284954E-3</v>
      </c>
      <c r="K6" s="1">
        <f>VLOOKUP($A6,'Outright Odds GW2'!$A:$C,3,FALSE)</f>
        <v>4.1407867494824016E-2</v>
      </c>
      <c r="L6" s="1">
        <f>VLOOKUP(I6,'Outright Odds GW2'!$A:$C,2,FALSE)</f>
        <v>1.90095998479232E-3</v>
      </c>
      <c r="M6" s="1">
        <f>VLOOKUP(I6,'Outright Odds GW2'!$A:$C,3,FALSE)</f>
        <v>0.10025062656641603</v>
      </c>
      <c r="N6" t="s">
        <v>25</v>
      </c>
      <c r="O6" s="1">
        <f>1/2.43/1.03</f>
        <v>0.39953653761636498</v>
      </c>
      <c r="P6" s="5">
        <f t="shared" si="0"/>
        <v>0.32423622361948162</v>
      </c>
      <c r="Q6" t="s">
        <v>3</v>
      </c>
      <c r="R6" s="1">
        <f>VLOOKUP($A6,'Outright Odds GW3'!$A:$C,2,FALSE)</f>
        <v>1.90095998479232E-3</v>
      </c>
      <c r="S6" s="1">
        <f>VLOOKUP($A6,'Outright Odds GW3'!$A:$C,3,FALSE)</f>
        <v>5.6022408963585429E-2</v>
      </c>
      <c r="T6" s="1">
        <f>VLOOKUP(Q6,'Outright Odds GW3'!$A:$C,2,FALSE)</f>
        <v>0.17316017316017315</v>
      </c>
      <c r="U6" s="1">
        <f>VLOOKUP(Q6,'Outright Odds GW3'!$A:$C,3,FALSE)</f>
        <v>4.5351473922902487E-2</v>
      </c>
      <c r="V6" t="s">
        <v>26</v>
      </c>
      <c r="W6" s="1">
        <f>1/4.28/1.03</f>
        <v>0.22683966972144087</v>
      </c>
      <c r="X6" t="s">
        <v>8</v>
      </c>
      <c r="Y6" s="1">
        <f>VLOOKUP($A6,'Outright Odds GW4'!$A:$C,2,FALSE)</f>
        <v>1.90095998479232E-3</v>
      </c>
      <c r="Z6" s="1">
        <f>VLOOKUP($A6,'Outright Odds GW4'!$A:$C,3,FALSE)</f>
        <v>5.6022408963585429E-2</v>
      </c>
      <c r="AA6" s="1">
        <f>VLOOKUP(X6,'Outright Odds GW4'!$A:$C,2,FALSE)</f>
        <v>1.90095998479232E-3</v>
      </c>
      <c r="AB6" s="1">
        <f>VLOOKUP(X6,'Outright Odds GW4'!$A:$C,3,FALSE)</f>
        <v>8.6580086580086577E-2</v>
      </c>
      <c r="AC6" t="s">
        <v>25</v>
      </c>
      <c r="AD6" s="1">
        <f>1/2.81/1.03</f>
        <v>0.34550668555436548</v>
      </c>
    </row>
    <row r="7" spans="1:30" x14ac:dyDescent="0.25">
      <c r="A7" t="s">
        <v>16</v>
      </c>
      <c r="B7" t="s">
        <v>27</v>
      </c>
      <c r="C7" s="1">
        <f>VLOOKUP($A7,'Outright Odds GW1'!$A:$C,2,FALSE)</f>
        <v>4.759524999405059E-4</v>
      </c>
      <c r="D7" s="1">
        <f>VLOOKUP($A7,'Outright Odds GW1'!$A:$C,3,FALSE)</f>
        <v>0.68027210884353739</v>
      </c>
      <c r="E7" s="1">
        <f>VLOOKUP(B7,'Outright Odds GW1'!$A:$C,2,FALSE)</f>
        <v>1.8674136321195144E-2</v>
      </c>
      <c r="F7" s="1">
        <f>VLOOKUP(B7,'Outright Odds GW1'!$A:$C,3,FALSE)</f>
        <v>9.4295143800094284E-3</v>
      </c>
      <c r="G7" t="s">
        <v>25</v>
      </c>
      <c r="H7" s="1">
        <f>1/6.39/1.03</f>
        <v>0.15193642979777261</v>
      </c>
      <c r="I7" t="s">
        <v>15</v>
      </c>
      <c r="J7" s="1">
        <f>VLOOKUP($A7,'Outright Odds GW2'!$A:$C,2,FALSE)</f>
        <v>4.759524999405059E-4</v>
      </c>
      <c r="K7" s="1">
        <f>VLOOKUP($A7,'Outright Odds GW2'!$A:$C,3,FALSE)</f>
        <v>0.68027210884353739</v>
      </c>
      <c r="L7" s="1">
        <f>VLOOKUP(I7,'Outright Odds GW2'!$A:$C,2,FALSE)</f>
        <v>4.759524999405059E-4</v>
      </c>
      <c r="M7" s="1">
        <f>VLOOKUP(I7,'Outright Odds GW2'!$A:$C,3,FALSE)</f>
        <v>0.65934065934065933</v>
      </c>
      <c r="N7" t="s">
        <v>26</v>
      </c>
      <c r="O7" s="1">
        <f>1/2.4/1.03</f>
        <v>0.4045307443365696</v>
      </c>
      <c r="P7" s="5">
        <f t="shared" si="0"/>
        <v>0.43785683301284994</v>
      </c>
      <c r="Q7" t="s">
        <v>5</v>
      </c>
      <c r="R7" s="1">
        <f>VLOOKUP($A7,'Outright Odds GW3'!$A:$C,2,FALSE)</f>
        <v>6.3449763649630405E-4</v>
      </c>
      <c r="S7" s="1">
        <f>VLOOKUP($A7,'Outright Odds GW3'!$A:$C,3,FALSE)</f>
        <v>0.70028011204481788</v>
      </c>
      <c r="T7" s="1">
        <f>VLOOKUP(Q7,'Outright Odds GW3'!$A:$C,2,FALSE)</f>
        <v>2.8011204481792715E-2</v>
      </c>
      <c r="U7" s="1">
        <f>VLOOKUP(Q7,'Outright Odds GW3'!$A:$C,3,FALSE)</f>
        <v>2.8011204481792715E-2</v>
      </c>
      <c r="V7" t="s">
        <v>25</v>
      </c>
      <c r="W7" s="1">
        <f>1/8.73/1.03</f>
        <v>0.11121120119218407</v>
      </c>
      <c r="X7" t="s">
        <v>0</v>
      </c>
      <c r="Y7" s="1">
        <f>VLOOKUP($A7,'Outright Odds GW4'!$A:$C,2,FALSE)</f>
        <v>6.3449763649630405E-4</v>
      </c>
      <c r="Z7" s="1">
        <f>VLOOKUP($A7,'Outright Odds GW4'!$A:$C,3,FALSE)</f>
        <v>0.70028011204481788</v>
      </c>
      <c r="AA7" s="1">
        <f>VLOOKUP(X7,'Outright Odds GW4'!$A:$C,2,FALSE)</f>
        <v>0.34632034632034631</v>
      </c>
      <c r="AB7" s="1">
        <f>VLOOKUP(X7,'Outright Odds GW4'!$A:$C,3,FALSE)</f>
        <v>6.3449763649630405E-4</v>
      </c>
      <c r="AC7" t="s">
        <v>26</v>
      </c>
      <c r="AD7" s="1">
        <f>1/9.3/1.03</f>
        <v>0.10439503079653407</v>
      </c>
    </row>
    <row r="8" spans="1:30" x14ac:dyDescent="0.25">
      <c r="A8" t="s">
        <v>2</v>
      </c>
      <c r="B8" t="s">
        <v>9</v>
      </c>
      <c r="C8" s="1">
        <f>VLOOKUP($A8,'Outright Odds GW1'!$A:$C,2,FALSE)</f>
        <v>9.5238095238095233E-2</v>
      </c>
      <c r="D8" s="1">
        <f>VLOOKUP($A8,'Outright Odds GW1'!$A:$C,3,FALSE)</f>
        <v>4.7382136934375737E-3</v>
      </c>
      <c r="E8" s="1">
        <f>VLOOKUP(B8,'Outright Odds GW1'!$A:$C,2,FALSE)</f>
        <v>1.90095998479232E-3</v>
      </c>
      <c r="F8" s="1">
        <f>VLOOKUP(B8,'Outright Odds GW1'!$A:$C,3,FALSE)</f>
        <v>8.6580086580086577E-2</v>
      </c>
      <c r="G8" t="s">
        <v>26</v>
      </c>
      <c r="H8" s="1">
        <f>1/1.82/1.03</f>
        <v>0.53344713538888289</v>
      </c>
      <c r="I8" t="s">
        <v>13</v>
      </c>
      <c r="J8" s="1">
        <f>VLOOKUP($A8,'Outright Odds GW2'!$A:$C,2,FALSE)</f>
        <v>9.5238095238095233E-2</v>
      </c>
      <c r="K8" s="1">
        <f>VLOOKUP($A8,'Outright Odds GW2'!$A:$C,3,FALSE)</f>
        <v>4.7382136934375737E-3</v>
      </c>
      <c r="L8" s="1">
        <f>VLOOKUP(I8,'Outright Odds GW2'!$A:$C,2,FALSE)</f>
        <v>9.5142952285809422E-4</v>
      </c>
      <c r="M8" s="1">
        <f>VLOOKUP(I8,'Outright Odds GW2'!$A:$C,3,FALSE)</f>
        <v>0.14652014652014653</v>
      </c>
      <c r="N8" t="s">
        <v>25</v>
      </c>
      <c r="O8" s="1">
        <f>1/1.74/1.03</f>
        <v>0.55797344046423381</v>
      </c>
      <c r="P8" s="5">
        <f t="shared" si="0"/>
        <v>0.43549490026557192</v>
      </c>
      <c r="Q8" t="s">
        <v>10</v>
      </c>
      <c r="R8" s="1">
        <f>VLOOKUP($A8,'Outright Odds GW3'!$A:$C,2,FALSE)</f>
        <v>0.11904761904761904</v>
      </c>
      <c r="S8" s="1">
        <f>VLOOKUP($A8,'Outright Odds GW3'!$A:$C,3,FALSE)</f>
        <v>1.90095998479232E-3</v>
      </c>
      <c r="T8" s="1">
        <f>VLOOKUP(Q8,'Outright Odds GW3'!$A:$C,2,FALSE)</f>
        <v>9.5142952285809422E-4</v>
      </c>
      <c r="U8" s="1">
        <f>VLOOKUP(Q8,'Outright Odds GW3'!$A:$C,3,FALSE)</f>
        <v>9.5238095238095233E-2</v>
      </c>
      <c r="V8" t="s">
        <v>26</v>
      </c>
      <c r="W8" s="1">
        <f>1/1.54/1.03</f>
        <v>0.63043752364140715</v>
      </c>
      <c r="X8" t="s">
        <v>12</v>
      </c>
      <c r="Y8" s="1">
        <f>VLOOKUP($A8,'Outright Odds GW4'!$A:$C,2,FALSE)</f>
        <v>0.11904761904761904</v>
      </c>
      <c r="Z8" s="1">
        <f>VLOOKUP($A8,'Outright Odds GW4'!$A:$C,3,FALSE)</f>
        <v>1.90095998479232E-3</v>
      </c>
      <c r="AA8" s="1">
        <f>VLOOKUP(X8,'Outright Odds GW4'!$A:$C,2,FALSE)</f>
        <v>9.5142952285809422E-4</v>
      </c>
      <c r="AB8" s="1">
        <f>VLOOKUP(X8,'Outright Odds GW4'!$A:$C,3,FALSE)</f>
        <v>0.25396825396825395</v>
      </c>
      <c r="AC8" t="s">
        <v>25</v>
      </c>
      <c r="AD8" s="1">
        <f>1/1.72/1.03</f>
        <v>0.5644615037254459</v>
      </c>
    </row>
    <row r="9" spans="1:30" x14ac:dyDescent="0.25">
      <c r="A9" t="s">
        <v>9</v>
      </c>
      <c r="B9" t="s">
        <v>2</v>
      </c>
      <c r="C9" s="1">
        <f>VLOOKUP($A9,'Outright Odds GW1'!$A:$C,2,FALSE)</f>
        <v>1.90095998479232E-3</v>
      </c>
      <c r="D9" s="1">
        <f>VLOOKUP($A9,'Outright Odds GW1'!$A:$C,3,FALSE)</f>
        <v>8.6580086580086577E-2</v>
      </c>
      <c r="E9" s="1">
        <f>VLOOKUP(B9,'Outright Odds GW1'!$A:$C,2,FALSE)</f>
        <v>9.5238095238095233E-2</v>
      </c>
      <c r="F9" s="1">
        <f>VLOOKUP(B9,'Outright Odds GW1'!$A:$C,3,FALSE)</f>
        <v>4.7382136934375737E-3</v>
      </c>
      <c r="G9" t="s">
        <v>25</v>
      </c>
      <c r="H9" s="1">
        <f>1/4.39/1.03</f>
        <v>0.22115576000176926</v>
      </c>
      <c r="I9" t="s">
        <v>28</v>
      </c>
      <c r="J9" s="1">
        <f>VLOOKUP($A9,'Outright Odds GW2'!$A:$C,2,FALSE)</f>
        <v>1.90095998479232E-3</v>
      </c>
      <c r="K9" s="1">
        <f>VLOOKUP($A9,'Outright Odds GW2'!$A:$C,3,FALSE)</f>
        <v>8.6580086580086577E-2</v>
      </c>
      <c r="L9" s="1">
        <f>VLOOKUP(I9,'Outright Odds GW2'!$A:$C,2,FALSE)</f>
        <v>1.90095998479232E-3</v>
      </c>
      <c r="M9" s="1">
        <f>VLOOKUP(I9,'Outright Odds GW2'!$A:$C,3,FALSE)</f>
        <v>8.6580086580086577E-2</v>
      </c>
      <c r="N9" t="s">
        <v>26</v>
      </c>
      <c r="O9" s="1">
        <f>1/2.39/1.03</f>
        <v>0.40622334159320794</v>
      </c>
      <c r="P9" s="5">
        <f t="shared" si="0"/>
        <v>0.45040328177411409</v>
      </c>
      <c r="Q9" t="s">
        <v>6</v>
      </c>
      <c r="R9" s="1">
        <f>VLOOKUP($A9,'Outright Odds GW3'!$A:$C,2,FALSE)</f>
        <v>1.90095998479232E-3</v>
      </c>
      <c r="S9" s="1">
        <f>VLOOKUP($A9,'Outright Odds GW3'!$A:$C,3,FALSE)</f>
        <v>9.5238095238095233E-2</v>
      </c>
      <c r="T9" s="1">
        <f>VLOOKUP(Q9,'Outright Odds GW3'!$A:$C,2,FALSE)</f>
        <v>6.3071586250394197E-3</v>
      </c>
      <c r="U9" s="1">
        <f>VLOOKUP(Q9,'Outright Odds GW3'!$A:$C,3,FALSE)</f>
        <v>1.8674136321195144E-2</v>
      </c>
      <c r="V9" t="s">
        <v>25</v>
      </c>
      <c r="W9" s="1">
        <f>1/4.33/1.03</f>
        <v>0.22422027399717481</v>
      </c>
      <c r="X9" t="s">
        <v>15</v>
      </c>
      <c r="Y9" s="1">
        <f>VLOOKUP($A9,'Outright Odds GW4'!$A:$C,2,FALSE)</f>
        <v>1.90095998479232E-3</v>
      </c>
      <c r="Z9" s="1">
        <f>VLOOKUP($A9,'Outright Odds GW4'!$A:$C,3,FALSE)</f>
        <v>9.5238095238095233E-2</v>
      </c>
      <c r="AA9" s="1">
        <f>VLOOKUP(X9,'Outright Odds GW4'!$A:$C,2,FALSE)</f>
        <v>6.3449763649630405E-4</v>
      </c>
      <c r="AB9" s="1">
        <f>VLOOKUP(X9,'Outright Odds GW4'!$A:$C,3,FALSE)</f>
        <v>0.60661207158022434</v>
      </c>
      <c r="AC9" t="s">
        <v>26</v>
      </c>
      <c r="AD9" s="1">
        <f>1/1.7/1.03</f>
        <v>0.57110222729868643</v>
      </c>
    </row>
    <row r="10" spans="1:30" x14ac:dyDescent="0.25">
      <c r="A10" t="s">
        <v>11</v>
      </c>
      <c r="B10" t="s">
        <v>14</v>
      </c>
      <c r="C10" s="1">
        <f>VLOOKUP($A10,'Outright Odds GW1'!$A:$C,2,FALSE)</f>
        <v>1.90095998479232E-3</v>
      </c>
      <c r="D10" s="1">
        <f>VLOOKUP($A10,'Outright Odds GW1'!$A:$C,3,FALSE)</f>
        <v>0.10025062656641603</v>
      </c>
      <c r="E10" s="1">
        <f>VLOOKUP(B10,'Outright Odds GW1'!$A:$C,2,FALSE)</f>
        <v>9.5142952285809422E-4</v>
      </c>
      <c r="F10" s="1">
        <f>VLOOKUP(B10,'Outright Odds GW1'!$A:$C,3,FALSE)</f>
        <v>0.3968253968253968</v>
      </c>
      <c r="G10" t="s">
        <v>25</v>
      </c>
      <c r="H10" s="1">
        <f>1/3.14/1.03</f>
        <v>0.30919547337826969</v>
      </c>
      <c r="I10" t="s">
        <v>7</v>
      </c>
      <c r="J10" s="1">
        <f>VLOOKUP($A10,'Outright Odds GW2'!$A:$C,2,FALSE)</f>
        <v>1.90095998479232E-3</v>
      </c>
      <c r="K10" s="1">
        <f>VLOOKUP($A10,'Outright Odds GW2'!$A:$C,3,FALSE)</f>
        <v>0.10025062656641603</v>
      </c>
      <c r="L10" s="1">
        <f>VLOOKUP(I10,'Outright Odds GW2'!$A:$C,2,FALSE)</f>
        <v>3.7943464238284954E-3</v>
      </c>
      <c r="M10" s="1">
        <f>VLOOKUP(I10,'Outright Odds GW2'!$A:$C,3,FALSE)</f>
        <v>4.1407867494824016E-2</v>
      </c>
      <c r="N10" t="s">
        <v>26</v>
      </c>
      <c r="O10" s="1">
        <f>1/2.98/1.03</f>
        <v>0.32579657262005607</v>
      </c>
      <c r="P10" s="5">
        <f t="shared" si="0"/>
        <v>0.43227239052438182</v>
      </c>
      <c r="Q10" t="s">
        <v>18</v>
      </c>
      <c r="R10" s="1">
        <f>VLOOKUP($A10,'Outright Odds GW3'!$A:$C,2,FALSE)</f>
        <v>1.90095998479232E-3</v>
      </c>
      <c r="S10" s="1">
        <f>VLOOKUP($A10,'Outright Odds GW3'!$A:$C,3,FALSE)</f>
        <v>9.5238095238095233E-2</v>
      </c>
      <c r="T10" s="1">
        <f>VLOOKUP(Q10,'Outright Odds GW3'!$A:$C,2,FALSE)</f>
        <v>6.3449763649630405E-4</v>
      </c>
      <c r="U10" s="1">
        <f>VLOOKUP(Q10,'Outright Odds GW3'!$A:$C,3,FALSE)</f>
        <v>0.38095238095238093</v>
      </c>
      <c r="V10" t="s">
        <v>25</v>
      </c>
      <c r="W10" s="1">
        <f>1/2.94/1.03</f>
        <v>0.33022917905026083</v>
      </c>
      <c r="X10" t="s">
        <v>6</v>
      </c>
      <c r="Y10" s="1">
        <f>VLOOKUP($A10,'Outright Odds GW4'!$A:$C,2,FALSE)</f>
        <v>1.90095998479232E-3</v>
      </c>
      <c r="Z10" s="1">
        <f>VLOOKUP($A10,'Outright Odds GW4'!$A:$C,3,FALSE)</f>
        <v>9.5238095238095233E-2</v>
      </c>
      <c r="AA10" s="1">
        <f>VLOOKUP(X10,'Outright Odds GW4'!$A:$C,2,FALSE)</f>
        <v>6.3071586250394197E-3</v>
      </c>
      <c r="AB10" s="1">
        <f>VLOOKUP(X10,'Outright Odds GW4'!$A:$C,3,FALSE)</f>
        <v>1.8674136321195144E-2</v>
      </c>
      <c r="AC10" t="s">
        <v>26</v>
      </c>
      <c r="AD10" s="1">
        <f>1/3.1/1.03</f>
        <v>0.31318509238960224</v>
      </c>
    </row>
    <row r="11" spans="1:30" x14ac:dyDescent="0.25">
      <c r="A11" t="s">
        <v>10</v>
      </c>
      <c r="B11" t="s">
        <v>7</v>
      </c>
      <c r="C11" s="1">
        <f>VLOOKUP($A11,'Outright Odds GW1'!$A:$C,2,FALSE)</f>
        <v>9.5142952285809422E-4</v>
      </c>
      <c r="D11" s="1">
        <f>VLOOKUP($A11,'Outright Odds GW1'!$A:$C,3,FALSE)</f>
        <v>7.3260073260073263E-2</v>
      </c>
      <c r="E11" s="1">
        <f>VLOOKUP(B11,'Outright Odds GW1'!$A:$C,2,FALSE)</f>
        <v>3.7943464238284954E-3</v>
      </c>
      <c r="F11" s="1">
        <f>VLOOKUP(B11,'Outright Odds GW1'!$A:$C,3,FALSE)</f>
        <v>4.1407867494824016E-2</v>
      </c>
      <c r="G11" t="s">
        <v>25</v>
      </c>
      <c r="H11" s="1">
        <f>1/4.35/1.03</f>
        <v>0.22318937618569357</v>
      </c>
      <c r="I11" t="s">
        <v>5</v>
      </c>
      <c r="J11" s="1">
        <f>VLOOKUP($A11,'Outright Odds GW2'!$A:$C,2,FALSE)</f>
        <v>9.5142952285809422E-4</v>
      </c>
      <c r="K11" s="1">
        <f>VLOOKUP($A11,'Outright Odds GW2'!$A:$C,3,FALSE)</f>
        <v>7.3260073260073263E-2</v>
      </c>
      <c r="L11" s="1">
        <f>VLOOKUP(I11,'Outright Odds GW2'!$A:$C,2,FALSE)</f>
        <v>3.6630036630036632E-2</v>
      </c>
      <c r="M11" s="1">
        <f>VLOOKUP(I11,'Outright Odds GW2'!$A:$C,3,FALSE)</f>
        <v>1.8674136321195144E-2</v>
      </c>
      <c r="N11" t="s">
        <v>26</v>
      </c>
      <c r="O11" s="1">
        <f>1/3.53/1.03</f>
        <v>0.2750350669710388</v>
      </c>
      <c r="P11" s="5">
        <f t="shared" si="0"/>
        <v>0.40339053239291051</v>
      </c>
      <c r="Q11" t="s">
        <v>2</v>
      </c>
      <c r="R11" s="1">
        <f>VLOOKUP($A11,'Outright Odds GW3'!$A:$C,2,FALSE)</f>
        <v>9.5142952285809422E-4</v>
      </c>
      <c r="S11" s="1">
        <f>VLOOKUP($A11,'Outright Odds GW3'!$A:$C,3,FALSE)</f>
        <v>9.5238095238095233E-2</v>
      </c>
      <c r="T11" s="1">
        <f>VLOOKUP(Q11,'Outright Odds GW3'!$A:$C,2,FALSE)</f>
        <v>0.11904761904761904</v>
      </c>
      <c r="U11" s="1">
        <f>VLOOKUP(Q11,'Outright Odds GW3'!$A:$C,3,FALSE)</f>
        <v>1.90095998479232E-3</v>
      </c>
      <c r="V11" t="s">
        <v>25</v>
      </c>
      <c r="W11" s="1">
        <f>1/5.78/1.03</f>
        <v>0.16797124332314306</v>
      </c>
      <c r="X11" t="s">
        <v>14</v>
      </c>
      <c r="Y11" s="1">
        <f>VLOOKUP($A11,'Outright Odds GW4'!$A:$C,2,FALSE)</f>
        <v>9.5142952285809422E-4</v>
      </c>
      <c r="Z11" s="1">
        <f>VLOOKUP($A11,'Outright Odds GW4'!$A:$C,3,FALSE)</f>
        <v>9.5238095238095233E-2</v>
      </c>
      <c r="AA11" s="1">
        <f>VLOOKUP(X11,'Outright Odds GW4'!$A:$C,2,FALSE)</f>
        <v>1.90095998479232E-3</v>
      </c>
      <c r="AB11" s="1">
        <f>VLOOKUP(X11,'Outright Odds GW4'!$A:$C,3,FALSE)</f>
        <v>0.29304029304029305</v>
      </c>
      <c r="AC11" t="s">
        <v>26</v>
      </c>
      <c r="AD11" s="1">
        <f>1/1.87/1.03</f>
        <v>0.51918384299880582</v>
      </c>
    </row>
    <row r="12" spans="1:30" x14ac:dyDescent="0.25">
      <c r="A12" t="s">
        <v>14</v>
      </c>
      <c r="B12" t="s">
        <v>11</v>
      </c>
      <c r="C12" s="1">
        <f>VLOOKUP($A12,'Outright Odds GW1'!$A:$C,2,FALSE)</f>
        <v>9.5142952285809422E-4</v>
      </c>
      <c r="D12" s="1">
        <f>VLOOKUP($A12,'Outright Odds GW1'!$A:$C,3,FALSE)</f>
        <v>0.3968253968253968</v>
      </c>
      <c r="E12" s="1">
        <f>VLOOKUP(B12,'Outright Odds GW1'!$A:$C,2,FALSE)</f>
        <v>1.90095998479232E-3</v>
      </c>
      <c r="F12" s="1">
        <f>VLOOKUP(B12,'Outright Odds GW1'!$A:$C,3,FALSE)</f>
        <v>0.10025062656641603</v>
      </c>
      <c r="G12" t="s">
        <v>26</v>
      </c>
      <c r="H12" s="1">
        <f>1/2.4/1.03</f>
        <v>0.4045307443365696</v>
      </c>
      <c r="I12" t="s">
        <v>1</v>
      </c>
      <c r="J12" s="1">
        <f>VLOOKUP($A12,'Outright Odds GW2'!$A:$C,2,FALSE)</f>
        <v>9.5142952285809422E-4</v>
      </c>
      <c r="K12" s="1">
        <f>VLOOKUP($A12,'Outright Odds GW2'!$A:$C,3,FALSE)</f>
        <v>0.3968253968253968</v>
      </c>
      <c r="L12" s="1">
        <f>VLOOKUP(I12,'Outright Odds GW2'!$A:$C,2,FALSE)</f>
        <v>0.26092628832354858</v>
      </c>
      <c r="M12" s="1">
        <f>VLOOKUP(I12,'Outright Odds GW2'!$A:$C,3,FALSE)</f>
        <v>9.5142952285809422E-4</v>
      </c>
      <c r="N12" t="s">
        <v>25</v>
      </c>
      <c r="O12" s="1">
        <f>1/8.88/1.03</f>
        <v>0.10933263360447824</v>
      </c>
      <c r="P12" s="5">
        <f t="shared" si="0"/>
        <v>-4.065151878606281E-2</v>
      </c>
      <c r="Q12" t="s">
        <v>4</v>
      </c>
      <c r="R12" s="1">
        <f>VLOOKUP($A12,'Outright Odds GW3'!$A:$C,2,FALSE)</f>
        <v>1.90095998479232E-3</v>
      </c>
      <c r="S12" s="1">
        <f>VLOOKUP($A12,'Outright Odds GW3'!$A:$C,3,FALSE)</f>
        <v>0.29304029304029305</v>
      </c>
      <c r="T12" s="1">
        <f>VLOOKUP(Q12,'Outright Odds GW3'!$A:$C,2,FALSE)</f>
        <v>1.1757789535567312E-2</v>
      </c>
      <c r="U12" s="1">
        <f>VLOOKUP(Q12,'Outright Odds GW3'!$A:$C,3,FALSE)</f>
        <v>9.4295143800094284E-3</v>
      </c>
      <c r="V12" t="s">
        <v>26</v>
      </c>
      <c r="W12" s="1">
        <f>1/3.66/1.03</f>
        <v>0.26526606186004559</v>
      </c>
      <c r="X12" t="s">
        <v>10</v>
      </c>
      <c r="Y12" s="1">
        <f>VLOOKUP($A12,'Outright Odds GW4'!$A:$C,2,FALSE)</f>
        <v>1.90095998479232E-3</v>
      </c>
      <c r="Z12" s="1">
        <f>VLOOKUP($A12,'Outright Odds GW4'!$A:$C,3,FALSE)</f>
        <v>0.29304029304029305</v>
      </c>
      <c r="AA12" s="1">
        <f>VLOOKUP(X12,'Outright Odds GW4'!$A:$C,2,FALSE)</f>
        <v>9.5142952285809422E-4</v>
      </c>
      <c r="AB12" s="1">
        <f>VLOOKUP(X12,'Outright Odds GW4'!$A:$C,3,FALSE)</f>
        <v>9.5238095238095233E-2</v>
      </c>
      <c r="AC12" t="s">
        <v>25</v>
      </c>
      <c r="AD12" s="1">
        <f>1/4.03/1.03</f>
        <v>0.24091160953046326</v>
      </c>
    </row>
    <row r="13" spans="1:30" x14ac:dyDescent="0.25">
      <c r="A13" t="s">
        <v>0</v>
      </c>
      <c r="B13" t="s">
        <v>8</v>
      </c>
      <c r="C13" s="1">
        <f>VLOOKUP($A13,'Outright Odds GW1'!$A:$C,2,FALSE)</f>
        <v>0.32840722495894908</v>
      </c>
      <c r="D13" s="1">
        <f>VLOOKUP($A13,'Outright Odds GW1'!$A:$C,3,FALSE)</f>
        <v>9.5142952285809422E-4</v>
      </c>
      <c r="E13" s="1">
        <f>VLOOKUP(B13,'Outright Odds GW1'!$A:$C,2,FALSE)</f>
        <v>1.2681504026377528E-3</v>
      </c>
      <c r="F13" s="1">
        <f>VLOOKUP(B13,'Outright Odds GW1'!$A:$C,3,FALSE)</f>
        <v>7.9365079365079361E-2</v>
      </c>
      <c r="G13" t="s">
        <v>26</v>
      </c>
      <c r="H13" s="1">
        <f>1/1.3/1.03</f>
        <v>0.74682598954443602</v>
      </c>
      <c r="I13" t="s">
        <v>4</v>
      </c>
      <c r="J13" s="1">
        <f>VLOOKUP($A13,'Outright Odds GW2'!$A:$C,2,FALSE)</f>
        <v>0.32840722495894908</v>
      </c>
      <c r="K13" s="1">
        <f>VLOOKUP($A13,'Outright Odds GW2'!$A:$C,3,FALSE)</f>
        <v>9.5142952285809422E-4</v>
      </c>
      <c r="L13" s="1">
        <f>VLOOKUP(I13,'Outright Odds GW2'!$A:$C,2,FALSE)</f>
        <v>1.341381623071764E-2</v>
      </c>
      <c r="M13" s="1">
        <f>VLOOKUP(I13,'Outright Odds GW2'!$A:$C,3,FALSE)</f>
        <v>4.7382136934375737E-3</v>
      </c>
      <c r="N13" t="s">
        <v>25</v>
      </c>
      <c r="O13" s="1">
        <f>1/2.18/1.03</f>
        <v>0.44535494789347108</v>
      </c>
      <c r="P13" s="5">
        <f t="shared" si="0"/>
        <v>0.60814635495257829</v>
      </c>
      <c r="Q13" t="s">
        <v>1</v>
      </c>
      <c r="R13" s="1">
        <f>VLOOKUP($A13,'Outright Odds GW3'!$A:$C,2,FALSE)</f>
        <v>0.34632034632034631</v>
      </c>
      <c r="S13" s="1">
        <f>VLOOKUP($A13,'Outright Odds GW3'!$A:$C,3,FALSE)</f>
        <v>6.3449763649630405E-4</v>
      </c>
      <c r="T13" s="1">
        <f>VLOOKUP(Q13,'Outright Odds GW3'!$A:$C,2,FALSE)</f>
        <v>0.34632034632034631</v>
      </c>
      <c r="U13" s="1">
        <f>VLOOKUP(Q13,'Outright Odds GW3'!$A:$C,3,FALSE)</f>
        <v>9.5142952285809422E-4</v>
      </c>
      <c r="V13" t="s">
        <v>26</v>
      </c>
      <c r="W13" s="1">
        <f>1/2/1.03</f>
        <v>0.4854368932038835</v>
      </c>
      <c r="X13" t="s">
        <v>16</v>
      </c>
      <c r="Y13" s="1">
        <f>VLOOKUP($A13,'Outright Odds GW4'!$A:$C,2,FALSE)</f>
        <v>0.34632034632034631</v>
      </c>
      <c r="Z13" s="1">
        <f>VLOOKUP($A13,'Outright Odds GW4'!$A:$C,3,FALSE)</f>
        <v>6.3449763649630405E-4</v>
      </c>
      <c r="AA13" s="1">
        <f>VLOOKUP(X13,'Outright Odds GW4'!$A:$C,2,FALSE)</f>
        <v>6.3449763649630405E-4</v>
      </c>
      <c r="AB13" s="1">
        <f>VLOOKUP(X13,'Outright Odds GW4'!$A:$C,3,FALSE)</f>
        <v>0.70028011204481788</v>
      </c>
      <c r="AC13" t="s">
        <v>25</v>
      </c>
      <c r="AD13" s="1">
        <f>1/1.32/1.03</f>
        <v>0.73551044424830825</v>
      </c>
    </row>
    <row r="14" spans="1:30" x14ac:dyDescent="0.25">
      <c r="A14" t="s">
        <v>3</v>
      </c>
      <c r="B14" t="s">
        <v>18</v>
      </c>
      <c r="C14" s="1">
        <f>VLOOKUP($A14,'Outright Odds GW1'!$A:$C,2,FALSE)</f>
        <v>0.21164021164021163</v>
      </c>
      <c r="D14" s="1">
        <f>VLOOKUP($A14,'Outright Odds GW1'!$A:$C,3,FALSE)</f>
        <v>4.5351473922902487E-2</v>
      </c>
      <c r="E14" s="1">
        <f>VLOOKUP(B14,'Outright Odds GW1'!$A:$C,2,FALSE)</f>
        <v>9.5142952285809422E-4</v>
      </c>
      <c r="F14" s="1">
        <f>VLOOKUP(B14,'Outright Odds GW1'!$A:$C,3,FALSE)</f>
        <v>0.21978021978021972</v>
      </c>
      <c r="G14" t="s">
        <v>25</v>
      </c>
      <c r="H14" s="1">
        <f>1/1.53/1.03</f>
        <v>0.63455803033187386</v>
      </c>
      <c r="I14" t="s">
        <v>27</v>
      </c>
      <c r="J14" s="1">
        <f>VLOOKUP($A14,'Outright Odds GW2'!$A:$C,2,FALSE)</f>
        <v>0.21164021164021163</v>
      </c>
      <c r="K14" s="1">
        <f>VLOOKUP($A14,'Outright Odds GW2'!$A:$C,3,FALSE)</f>
        <v>4.5351473922902487E-2</v>
      </c>
      <c r="L14" s="1">
        <f>VLOOKUP(I14,'Outright Odds GW2'!$A:$C,2,FALSE)</f>
        <v>1.8674136321195144E-2</v>
      </c>
      <c r="M14" s="1">
        <f>VLOOKUP(I14,'Outright Odds GW2'!$A:$C,3,FALSE)</f>
        <v>9.4295143800094284E-3</v>
      </c>
      <c r="N14" t="s">
        <v>26</v>
      </c>
      <c r="O14" s="1">
        <f>1/1.55/1.03</f>
        <v>0.62637018477920448</v>
      </c>
      <c r="P14" s="5">
        <f t="shared" si="0"/>
        <v>0.62554215958902815</v>
      </c>
      <c r="Q14" t="s">
        <v>7</v>
      </c>
      <c r="R14" s="1">
        <f>VLOOKUP($A14,'Outright Odds GW3'!$A:$C,2,FALSE)</f>
        <v>0.17316017316017315</v>
      </c>
      <c r="S14" s="1">
        <f>VLOOKUP($A14,'Outright Odds GW3'!$A:$C,3,FALSE)</f>
        <v>4.5351473922902487E-2</v>
      </c>
      <c r="T14" s="1">
        <f>VLOOKUP(Q14,'Outright Odds GW3'!$A:$C,2,FALSE)</f>
        <v>1.90095998479232E-3</v>
      </c>
      <c r="U14" s="1">
        <f>VLOOKUP(Q14,'Outright Odds GW3'!$A:$C,3,FALSE)</f>
        <v>5.6022408963585429E-2</v>
      </c>
      <c r="V14" t="s">
        <v>25</v>
      </c>
      <c r="W14" s="1">
        <f>1/1.78/1.03</f>
        <v>0.54543471146503764</v>
      </c>
      <c r="X14" t="s">
        <v>5</v>
      </c>
      <c r="Y14" s="1">
        <f>VLOOKUP($A14,'Outright Odds GW4'!$A:$C,2,FALSE)</f>
        <v>0.17316017316017315</v>
      </c>
      <c r="Z14" s="1">
        <f>VLOOKUP($A14,'Outright Odds GW4'!$A:$C,3,FALSE)</f>
        <v>4.5351473922902487E-2</v>
      </c>
      <c r="AA14" s="1">
        <f>VLOOKUP(X14,'Outright Odds GW4'!$A:$C,2,FALSE)</f>
        <v>2.8011204481792715E-2</v>
      </c>
      <c r="AB14" s="1">
        <f>VLOOKUP(X14,'Outright Odds GW4'!$A:$C,3,FALSE)</f>
        <v>2.8011204481792715E-2</v>
      </c>
      <c r="AC14" t="s">
        <v>26</v>
      </c>
      <c r="AD14" s="1">
        <f>1/1.77/1.03</f>
        <v>0.54851626350721294</v>
      </c>
    </row>
    <row r="15" spans="1:30" x14ac:dyDescent="0.25">
      <c r="A15" t="s">
        <v>5</v>
      </c>
      <c r="B15" t="s">
        <v>1</v>
      </c>
      <c r="C15" s="1">
        <f>VLOOKUP($A15,'Outright Odds GW1'!$A:$C,2,FALSE)</f>
        <v>3.6630036630036632E-2</v>
      </c>
      <c r="D15" s="1">
        <f>VLOOKUP($A15,'Outright Odds GW1'!$A:$C,3,FALSE)</f>
        <v>1.8674136321195144E-2</v>
      </c>
      <c r="E15" s="1">
        <f>VLOOKUP(B15,'Outright Odds GW1'!$A:$C,2,FALSE)</f>
        <v>0.26092628832354858</v>
      </c>
      <c r="F15" s="1">
        <f>VLOOKUP(B15,'Outright Odds GW1'!$A:$C,3,FALSE)</f>
        <v>9.5142952285809422E-4</v>
      </c>
      <c r="G15" t="s">
        <v>26</v>
      </c>
      <c r="H15" s="1">
        <f>1/3.81/1.03</f>
        <v>0.25482251611752416</v>
      </c>
      <c r="I15" t="s">
        <v>10</v>
      </c>
      <c r="J15" s="1">
        <f>VLOOKUP($A15,'Outright Odds GW2'!$A:$C,2,FALSE)</f>
        <v>3.6630036630036632E-2</v>
      </c>
      <c r="K15" s="1">
        <f>VLOOKUP($A15,'Outright Odds GW2'!$A:$C,3,FALSE)</f>
        <v>1.8674136321195144E-2</v>
      </c>
      <c r="L15" s="1">
        <f>VLOOKUP(I15,'Outright Odds GW2'!$A:$C,2,FALSE)</f>
        <v>9.5142952285809422E-4</v>
      </c>
      <c r="M15" s="1">
        <f>VLOOKUP(I15,'Outright Odds GW2'!$A:$C,3,FALSE)</f>
        <v>7.3260073260073263E-2</v>
      </c>
      <c r="N15" t="s">
        <v>25</v>
      </c>
      <c r="O15" s="1">
        <f>1/2.09/1.03</f>
        <v>0.46453291215682635</v>
      </c>
      <c r="P15" s="5">
        <f t="shared" si="0"/>
        <v>0.35542410433357491</v>
      </c>
      <c r="Q15" t="s">
        <v>16</v>
      </c>
      <c r="R15" s="1">
        <f>VLOOKUP($A15,'Outright Odds GW3'!$A:$C,2,FALSE)</f>
        <v>2.8011204481792715E-2</v>
      </c>
      <c r="S15" s="1">
        <f>VLOOKUP($A15,'Outright Odds GW3'!$A:$C,3,FALSE)</f>
        <v>2.8011204481792715E-2</v>
      </c>
      <c r="T15" s="1">
        <f>VLOOKUP(Q15,'Outright Odds GW3'!$A:$C,2,FALSE)</f>
        <v>6.3449763649630405E-4</v>
      </c>
      <c r="U15" s="1">
        <f>VLOOKUP(Q15,'Outright Odds GW3'!$A:$C,3,FALSE)</f>
        <v>0.70028011204481788</v>
      </c>
      <c r="V15" t="s">
        <v>26</v>
      </c>
      <c r="W15" s="1">
        <f>1/1.35/1.03</f>
        <v>0.71916576770945695</v>
      </c>
      <c r="X15" t="s">
        <v>3</v>
      </c>
      <c r="Y15" s="1">
        <f>VLOOKUP($A15,'Outright Odds GW4'!$A:$C,2,FALSE)</f>
        <v>2.8011204481792715E-2</v>
      </c>
      <c r="Z15" s="1">
        <f>VLOOKUP($A15,'Outright Odds GW4'!$A:$C,3,FALSE)</f>
        <v>2.8011204481792715E-2</v>
      </c>
      <c r="AA15" s="1">
        <f>VLOOKUP(X15,'Outright Odds GW4'!$A:$C,2,FALSE)</f>
        <v>0.17316017316017315</v>
      </c>
      <c r="AB15" s="1">
        <f>VLOOKUP(X15,'Outright Odds GW4'!$A:$C,3,FALSE)</f>
        <v>4.5351473922902487E-2</v>
      </c>
      <c r="AC15" t="s">
        <v>25</v>
      </c>
      <c r="AD15" s="1">
        <f>1/4.29/1.03</f>
        <v>0.2263109059225564</v>
      </c>
    </row>
    <row r="16" spans="1:30" x14ac:dyDescent="0.25">
      <c r="A16" t="s">
        <v>4</v>
      </c>
      <c r="B16" t="s">
        <v>6</v>
      </c>
      <c r="C16" s="1">
        <f>VLOOKUP($A16,'Outright Odds GW1'!$A:$C,2,FALSE)</f>
        <v>1.341381623071764E-2</v>
      </c>
      <c r="D16" s="1">
        <f>VLOOKUP($A16,'Outright Odds GW1'!$A:$C,3,FALSE)</f>
        <v>4.7382136934375737E-3</v>
      </c>
      <c r="E16" s="1">
        <f>VLOOKUP(B16,'Outright Odds GW1'!$A:$C,2,FALSE)</f>
        <v>9.4295143800094284E-3</v>
      </c>
      <c r="F16" s="1">
        <f>VLOOKUP(B16,'Outright Odds GW1'!$A:$C,3,FALSE)</f>
        <v>6.3071586250394197E-3</v>
      </c>
      <c r="G16" t="s">
        <v>25</v>
      </c>
      <c r="H16" s="1">
        <f>1/2.96/1.03</f>
        <v>0.32799790081343477</v>
      </c>
      <c r="I16" t="s">
        <v>0</v>
      </c>
      <c r="J16" s="1">
        <f>VLOOKUP($A16,'Outright Odds GW2'!$A:$C,2,FALSE)</f>
        <v>1.341381623071764E-2</v>
      </c>
      <c r="K16" s="1">
        <f>VLOOKUP($A16,'Outright Odds GW2'!$A:$C,3,FALSE)</f>
        <v>4.7382136934375737E-3</v>
      </c>
      <c r="L16" s="1">
        <f>VLOOKUP(I16,'Outright Odds GW2'!$A:$C,2,FALSE)</f>
        <v>0.32840722495894908</v>
      </c>
      <c r="M16" s="1">
        <f>VLOOKUP(I16,'Outright Odds GW2'!$A:$C,3,FALSE)</f>
        <v>9.5142952285809422E-4</v>
      </c>
      <c r="N16" t="s">
        <v>26</v>
      </c>
      <c r="O16" s="1">
        <f>1/3.11/1.03</f>
        <v>0.31217806636905693</v>
      </c>
      <c r="P16" s="5">
        <f t="shared" si="0"/>
        <v>0.16830460457689458</v>
      </c>
      <c r="Q16" t="s">
        <v>14</v>
      </c>
      <c r="R16" s="1">
        <f>VLOOKUP($A16,'Outright Odds GW3'!$A:$C,2,FALSE)</f>
        <v>1.1757789535567312E-2</v>
      </c>
      <c r="S16" s="1">
        <f>VLOOKUP($A16,'Outright Odds GW3'!$A:$C,3,FALSE)</f>
        <v>9.4295143800094284E-3</v>
      </c>
      <c r="T16" s="1">
        <f>VLOOKUP(Q16,'Outright Odds GW3'!$A:$C,2,FALSE)</f>
        <v>1.90095998479232E-3</v>
      </c>
      <c r="U16" s="1">
        <f>VLOOKUP(Q16,'Outright Odds GW3'!$A:$C,3,FALSE)</f>
        <v>0.29304029304029305</v>
      </c>
      <c r="V16" t="s">
        <v>25</v>
      </c>
      <c r="W16" s="1">
        <f>1/1.97/1.03</f>
        <v>0.49282933320191213</v>
      </c>
      <c r="X16" t="s">
        <v>18</v>
      </c>
      <c r="Y16" s="1">
        <f>VLOOKUP($A16,'Outright Odds GW4'!$A:$C,2,FALSE)</f>
        <v>1.1757789535567312E-2</v>
      </c>
      <c r="Z16" s="1">
        <f>VLOOKUP($A16,'Outright Odds GW4'!$A:$C,3,FALSE)</f>
        <v>9.4295143800094284E-3</v>
      </c>
      <c r="AA16" s="1">
        <f>VLOOKUP(X16,'Outright Odds GW4'!$A:$C,2,FALSE)</f>
        <v>6.3449763649630405E-4</v>
      </c>
      <c r="AB16" s="1">
        <f>VLOOKUP(X16,'Outright Odds GW4'!$A:$C,3,FALSE)</f>
        <v>0.38095238095238093</v>
      </c>
      <c r="AC16" t="s">
        <v>26</v>
      </c>
      <c r="AD16" s="1">
        <f>1/1.47/1.03</f>
        <v>0.66045835810052167</v>
      </c>
    </row>
    <row r="17" spans="1:30" x14ac:dyDescent="0.25">
      <c r="A17" t="s">
        <v>28</v>
      </c>
      <c r="B17" t="s">
        <v>12</v>
      </c>
      <c r="C17" s="1">
        <f>VLOOKUP($A17,'Outright Odds GW1'!$A:$C,2,FALSE)</f>
        <v>1.90095998479232E-3</v>
      </c>
      <c r="D17" s="1">
        <f>VLOOKUP($A17,'Outright Odds GW1'!$A:$C,3,FALSE)</f>
        <v>8.6580086580086577E-2</v>
      </c>
      <c r="E17" s="1">
        <f>VLOOKUP(B17,'Outright Odds GW1'!$A:$C,2,FALSE)</f>
        <v>9.5142952285809422E-4</v>
      </c>
      <c r="F17" s="1">
        <f>VLOOKUP(B17,'Outright Odds GW1'!$A:$C,3,FALSE)</f>
        <v>0.23809523809523808</v>
      </c>
      <c r="G17" t="s">
        <v>26</v>
      </c>
      <c r="H17" s="1">
        <f>1/1.91/1.03</f>
        <v>0.50831088293600368</v>
      </c>
      <c r="I17" t="s">
        <v>9</v>
      </c>
      <c r="J17" s="1">
        <f>VLOOKUP($A17,'Outright Odds GW2'!$A:$C,2,FALSE)</f>
        <v>1.90095998479232E-3</v>
      </c>
      <c r="K17" s="1">
        <f>VLOOKUP($A17,'Outright Odds GW2'!$A:$C,3,FALSE)</f>
        <v>8.6580086580086577E-2</v>
      </c>
      <c r="L17" s="1">
        <f>VLOOKUP(I17,'Outright Odds GW2'!$A:$C,2,FALSE)</f>
        <v>1.90095998479232E-3</v>
      </c>
      <c r="M17" s="1">
        <f>VLOOKUP(I17,'Outright Odds GW2'!$A:$C,3,FALSE)</f>
        <v>8.6580086580086577E-2</v>
      </c>
      <c r="N17" t="s">
        <v>25</v>
      </c>
      <c r="O17" s="1">
        <f>1/3.12/1.03</f>
        <v>0.31117749564351505</v>
      </c>
      <c r="P17" s="5">
        <f t="shared" si="0"/>
        <v>0.3056472817741141</v>
      </c>
      <c r="Q17" t="s">
        <v>13</v>
      </c>
      <c r="R17" s="1">
        <f>VLOOKUP($A17,'Outright Odds GW3'!$A:$C,2,FALSE)</f>
        <v>6.3071586250394197E-3</v>
      </c>
      <c r="S17" s="1">
        <f>VLOOKUP($A17,'Outright Odds GW3'!$A:$C,3,FALSE)</f>
        <v>8.6580086580086577E-2</v>
      </c>
      <c r="T17" s="1">
        <f>VLOOKUP(Q17,'Outright Odds GW3'!$A:$C,2,FALSE)</f>
        <v>4.759524999405059E-4</v>
      </c>
      <c r="U17" s="1">
        <f>VLOOKUP(Q17,'Outright Odds GW3'!$A:$C,3,FALSE)</f>
        <v>0.34632034632034631</v>
      </c>
      <c r="V17" t="s">
        <v>26</v>
      </c>
      <c r="W17" s="1">
        <f>1/1.71/1.03</f>
        <v>0.56776244819167654</v>
      </c>
      <c r="X17" t="s">
        <v>1</v>
      </c>
      <c r="Y17" s="1">
        <f>VLOOKUP($A17,'Outright Odds GW4'!$A:$C,2,FALSE)</f>
        <v>6.3071586250394197E-3</v>
      </c>
      <c r="Z17" s="1">
        <f>VLOOKUP($A17,'Outright Odds GW4'!$A:$C,3,FALSE)</f>
        <v>8.6580086580086577E-2</v>
      </c>
      <c r="AA17" s="1">
        <f>VLOOKUP(X17,'Outright Odds GW4'!$A:$C,2,FALSE)</f>
        <v>0.34632034632034631</v>
      </c>
      <c r="AB17" s="1">
        <f>VLOOKUP(X17,'Outright Odds GW4'!$A:$C,3,FALSE)</f>
        <v>9.5142952285809422E-4</v>
      </c>
      <c r="AC17" t="s">
        <v>25</v>
      </c>
      <c r="AD17" s="1">
        <f>1/7.14/1.03</f>
        <v>0.13597672078540154</v>
      </c>
    </row>
    <row r="18" spans="1:30" x14ac:dyDescent="0.25">
      <c r="A18" t="s">
        <v>27</v>
      </c>
      <c r="B18" t="s">
        <v>16</v>
      </c>
      <c r="C18" s="1">
        <f>VLOOKUP($A18,'Outright Odds GW1'!$A:$C,2,FALSE)</f>
        <v>1.8674136321195144E-2</v>
      </c>
      <c r="D18" s="1">
        <f>VLOOKUP($A18,'Outright Odds GW1'!$A:$C,3,FALSE)</f>
        <v>9.4295143800094284E-3</v>
      </c>
      <c r="E18" s="1">
        <f>VLOOKUP(B18,'Outright Odds GW1'!$A:$C,2,FALSE)</f>
        <v>4.759524999405059E-4</v>
      </c>
      <c r="F18" s="1">
        <f>VLOOKUP(B18,'Outright Odds GW1'!$A:$C,3,FALSE)</f>
        <v>0.68027210884353739</v>
      </c>
      <c r="G18" t="s">
        <v>26</v>
      </c>
      <c r="H18" s="1">
        <f>1/1.57/1.03</f>
        <v>0.61839094675653938</v>
      </c>
      <c r="I18" t="s">
        <v>3</v>
      </c>
      <c r="J18" s="1">
        <f>VLOOKUP($A18,'Outright Odds GW2'!$A:$C,2,FALSE)</f>
        <v>1.8674136321195144E-2</v>
      </c>
      <c r="K18" s="1">
        <f>VLOOKUP($A18,'Outright Odds GW2'!$A:$C,3,FALSE)</f>
        <v>9.4295143800094284E-3</v>
      </c>
      <c r="L18" s="1">
        <f>VLOOKUP(I18,'Outright Odds GW2'!$A:$C,2,FALSE)</f>
        <v>0.21164021164021163</v>
      </c>
      <c r="M18" s="1">
        <f>VLOOKUP(I18,'Outright Odds GW2'!$A:$C,3,FALSE)</f>
        <v>4.5351473922902487E-2</v>
      </c>
      <c r="N18" t="s">
        <v>25</v>
      </c>
      <c r="O18" s="1">
        <f>1/5.59/1.03</f>
        <v>0.1736804626847526</v>
      </c>
      <c r="P18" s="5">
        <f t="shared" si="0"/>
        <v>0.14424828383586658</v>
      </c>
      <c r="Q18" t="s">
        <v>8</v>
      </c>
      <c r="R18" s="1">
        <f>VLOOKUP($A18,'Outright Odds GW3'!$A:$C,2,FALSE)</f>
        <v>3.6630036630036632E-2</v>
      </c>
      <c r="S18" s="1">
        <f>VLOOKUP($A18,'Outright Odds GW3'!$A:$C,3,FALSE)</f>
        <v>6.3071586250394197E-3</v>
      </c>
      <c r="T18" s="1">
        <f>VLOOKUP(Q18,'Outright Odds GW3'!$A:$C,2,FALSE)</f>
        <v>1.90095998479232E-3</v>
      </c>
      <c r="U18" s="1">
        <f>VLOOKUP(Q18,'Outright Odds GW3'!$A:$C,3,FALSE)</f>
        <v>8.6580086580086577E-2</v>
      </c>
      <c r="V18" t="s">
        <v>26</v>
      </c>
      <c r="W18" s="1">
        <f>1/1.7/1.03</f>
        <v>0.57110222729868643</v>
      </c>
      <c r="X18" t="s">
        <v>13</v>
      </c>
      <c r="Y18" s="1">
        <f>VLOOKUP($A18,'Outright Odds GW4'!$A:$C,2,FALSE)</f>
        <v>3.6630036630036632E-2</v>
      </c>
      <c r="Z18" s="1">
        <f>VLOOKUP($A18,'Outright Odds GW4'!$A:$C,3,FALSE)</f>
        <v>6.3071586250394197E-3</v>
      </c>
      <c r="AA18" s="1">
        <f>VLOOKUP(X18,'Outright Odds GW4'!$A:$C,2,FALSE)</f>
        <v>4.759524999405059E-4</v>
      </c>
      <c r="AB18" s="1">
        <f>VLOOKUP(X18,'Outright Odds GW4'!$A:$C,3,FALSE)</f>
        <v>0.34632034632034631</v>
      </c>
      <c r="AC18" t="s">
        <v>25</v>
      </c>
      <c r="AD18" s="1">
        <f>1/1.91/1.03</f>
        <v>0.50831088293600368</v>
      </c>
    </row>
    <row r="19" spans="1:30" x14ac:dyDescent="0.25">
      <c r="A19" t="s">
        <v>15</v>
      </c>
      <c r="B19" t="s">
        <v>13</v>
      </c>
      <c r="C19" s="1">
        <f>VLOOKUP($A19,'Outright Odds GW1'!$A:$C,2,FALSE)</f>
        <v>4.759524999405059E-4</v>
      </c>
      <c r="D19" s="1">
        <f>VLOOKUP($A19,'Outright Odds GW1'!$A:$C,3,FALSE)</f>
        <v>0.65934065934065933</v>
      </c>
      <c r="E19" s="1">
        <f>VLOOKUP(B19,'Outright Odds GW1'!$A:$C,2,FALSE)</f>
        <v>9.5142952285809422E-4</v>
      </c>
      <c r="F19" s="1">
        <f>VLOOKUP(B19,'Outright Odds GW1'!$A:$C,3,FALSE)</f>
        <v>0.14652014652014653</v>
      </c>
      <c r="G19" t="s">
        <v>26</v>
      </c>
      <c r="H19" s="1">
        <f>1/3.46/1.03</f>
        <v>0.28059936023345866</v>
      </c>
      <c r="I19" t="s">
        <v>16</v>
      </c>
      <c r="J19" s="1">
        <f>VLOOKUP($A19,'Outright Odds GW2'!$A:$C,2,FALSE)</f>
        <v>4.759524999405059E-4</v>
      </c>
      <c r="K19" s="1">
        <f>VLOOKUP($A19,'Outright Odds GW2'!$A:$C,3,FALSE)</f>
        <v>0.65934065934065933</v>
      </c>
      <c r="L19" s="1">
        <f>VLOOKUP(I19,'Outright Odds GW2'!$A:$C,2,FALSE)</f>
        <v>4.759524999405059E-4</v>
      </c>
      <c r="M19" s="1">
        <f>VLOOKUP(I19,'Outright Odds GW2'!$A:$C,3,FALSE)</f>
        <v>0.68027210884353739</v>
      </c>
      <c r="N19" t="s">
        <v>25</v>
      </c>
      <c r="O19" s="1">
        <f>1/3.21/1.03</f>
        <v>0.30245289296192113</v>
      </c>
      <c r="P19" s="5">
        <f t="shared" si="0"/>
        <v>0.30491734792650771</v>
      </c>
      <c r="Q19" t="s">
        <v>12</v>
      </c>
      <c r="R19" s="1">
        <f>VLOOKUP($A19,'Outright Odds GW3'!$A:$C,2,FALSE)</f>
        <v>6.3449763649630405E-4</v>
      </c>
      <c r="S19" s="1">
        <f>VLOOKUP($A19,'Outright Odds GW3'!$A:$C,3,FALSE)</f>
        <v>0.60661207158022434</v>
      </c>
      <c r="T19" s="1">
        <f>VLOOKUP(Q19,'Outright Odds GW3'!$A:$C,2,FALSE)</f>
        <v>9.5142952285809422E-4</v>
      </c>
      <c r="U19" s="1">
        <f>VLOOKUP(Q19,'Outright Odds GW3'!$A:$C,3,FALSE)</f>
        <v>0.25396825396825395</v>
      </c>
      <c r="V19" t="s">
        <v>26</v>
      </c>
      <c r="W19" s="1">
        <f>1/2.67/1.03</f>
        <v>0.36362314097669179</v>
      </c>
      <c r="X19" t="s">
        <v>9</v>
      </c>
      <c r="Y19" s="1">
        <f>VLOOKUP($A19,'Outright Odds GW4'!$A:$C,2,FALSE)</f>
        <v>6.3449763649630405E-4</v>
      </c>
      <c r="Z19" s="1">
        <f>VLOOKUP($A19,'Outright Odds GW4'!$A:$C,3,FALSE)</f>
        <v>0.60661207158022434</v>
      </c>
      <c r="AA19" s="1">
        <f>VLOOKUP(X19,'Outright Odds GW4'!$A:$C,2,FALSE)</f>
        <v>1.90095998479232E-3</v>
      </c>
      <c r="AB19" s="1">
        <f>VLOOKUP(X19,'Outright Odds GW4'!$A:$C,3,FALSE)</f>
        <v>9.5238095238095233E-2</v>
      </c>
      <c r="AC19" t="s">
        <v>25</v>
      </c>
      <c r="AD19" s="1">
        <f>1/4.89/1.03</f>
        <v>0.19854269660690532</v>
      </c>
    </row>
    <row r="20" spans="1:30" x14ac:dyDescent="0.25">
      <c r="A20" t="s">
        <v>13</v>
      </c>
      <c r="B20" t="s">
        <v>15</v>
      </c>
      <c r="C20" s="1">
        <f>VLOOKUP($A20,'Outright Odds GW1'!$A:$C,2,FALSE)</f>
        <v>9.5142952285809422E-4</v>
      </c>
      <c r="D20" s="1">
        <f>VLOOKUP($A20,'Outright Odds GW1'!$A:$C,3,FALSE)</f>
        <v>0.14652014652014653</v>
      </c>
      <c r="E20" s="1">
        <f>VLOOKUP(B20,'Outright Odds GW1'!$A:$C,2,FALSE)</f>
        <v>4.759524999405059E-4</v>
      </c>
      <c r="F20" s="1">
        <f>VLOOKUP(B20,'Outright Odds GW1'!$A:$C,3,FALSE)</f>
        <v>0.65934065934065933</v>
      </c>
      <c r="G20" t="s">
        <v>25</v>
      </c>
      <c r="H20" s="1">
        <f>1/2.25/1.03</f>
        <v>0.43149946062567418</v>
      </c>
      <c r="I20" t="s">
        <v>2</v>
      </c>
      <c r="J20" s="1">
        <f>VLOOKUP($A20,'Outright Odds GW2'!$A:$C,2,FALSE)</f>
        <v>9.5142952285809422E-4</v>
      </c>
      <c r="K20" s="1">
        <f>VLOOKUP($A20,'Outright Odds GW2'!$A:$C,3,FALSE)</f>
        <v>0.14652014652014653</v>
      </c>
      <c r="L20" s="1">
        <f>VLOOKUP(I20,'Outright Odds GW2'!$A:$C,2,FALSE)</f>
        <v>9.5238095238095233E-2</v>
      </c>
      <c r="M20" s="1">
        <f>VLOOKUP(I20,'Outright Odds GW2'!$A:$C,3,FALSE)</f>
        <v>4.7382136934375737E-3</v>
      </c>
      <c r="N20" t="s">
        <v>26</v>
      </c>
      <c r="O20" s="1">
        <f>1/4.72/1.03</f>
        <v>0.20569359881520488</v>
      </c>
      <c r="P20" s="5">
        <f t="shared" si="0"/>
        <v>0.32586300786515066</v>
      </c>
      <c r="Q20" t="s">
        <v>28</v>
      </c>
      <c r="R20" s="1">
        <f>VLOOKUP($A20,'Outright Odds GW3'!$A:$C,2,FALSE)</f>
        <v>4.759524999405059E-4</v>
      </c>
      <c r="S20" s="1">
        <f>VLOOKUP($A20,'Outright Odds GW3'!$A:$C,3,FALSE)</f>
        <v>0.34632034632034631</v>
      </c>
      <c r="T20" s="1">
        <f>VLOOKUP(Q20,'Outright Odds GW3'!$A:$C,2,FALSE)</f>
        <v>6.3071586250394197E-3</v>
      </c>
      <c r="U20" s="1">
        <f>VLOOKUP(Q20,'Outright Odds GW3'!$A:$C,3,FALSE)</f>
        <v>8.6580086580086577E-2</v>
      </c>
      <c r="V20" t="s">
        <v>25</v>
      </c>
      <c r="W20" s="1">
        <f>1/5.02/1.03</f>
        <v>0.19340115267086994</v>
      </c>
      <c r="X20" t="s">
        <v>27</v>
      </c>
      <c r="Y20" s="1">
        <f>VLOOKUP($A20,'Outright Odds GW4'!$A:$C,2,FALSE)</f>
        <v>4.759524999405059E-4</v>
      </c>
      <c r="Z20" s="1">
        <f>VLOOKUP($A20,'Outright Odds GW4'!$A:$C,3,FALSE)</f>
        <v>0.34632034632034631</v>
      </c>
      <c r="AA20" s="1">
        <f>VLOOKUP(X20,'Outright Odds GW4'!$A:$C,2,FALSE)</f>
        <v>3.6630036630036632E-2</v>
      </c>
      <c r="AB20" s="1">
        <f>VLOOKUP(X20,'Outright Odds GW4'!$A:$C,3,FALSE)</f>
        <v>6.3071586250394197E-3</v>
      </c>
      <c r="AC20" t="s">
        <v>26</v>
      </c>
      <c r="AD20" s="1">
        <f>1/3.86/1.03</f>
        <v>0.25152170632325571</v>
      </c>
    </row>
    <row r="21" spans="1:30" x14ac:dyDescent="0.25">
      <c r="A21" t="s">
        <v>18</v>
      </c>
      <c r="B21" t="s">
        <v>3</v>
      </c>
      <c r="C21" s="1">
        <f>VLOOKUP($A21,'Outright Odds GW1'!$A:$C,2,FALSE)</f>
        <v>9.5142952285809422E-4</v>
      </c>
      <c r="D21" s="1">
        <f>VLOOKUP($A21,'Outright Odds GW1'!$A:$C,3,FALSE)</f>
        <v>0.21978021978021972</v>
      </c>
      <c r="E21" s="1">
        <f>VLOOKUP(B21,'Outright Odds GW1'!$A:$C,2,FALSE)</f>
        <v>0.21164021164021163</v>
      </c>
      <c r="F21" s="1">
        <f>VLOOKUP(B21,'Outright Odds GW1'!$A:$C,3,FALSE)</f>
        <v>4.5351473922902487E-2</v>
      </c>
      <c r="G21" t="s">
        <v>26</v>
      </c>
      <c r="H21" s="1">
        <f>1/6.33/1.03</f>
        <v>0.15337658553045291</v>
      </c>
      <c r="I21" t="s">
        <v>8</v>
      </c>
      <c r="J21" s="1">
        <f>VLOOKUP($A21,'Outright Odds GW2'!$A:$C,2,FALSE)</f>
        <v>9.5142952285809422E-4</v>
      </c>
      <c r="K21" s="1">
        <f>VLOOKUP($A21,'Outright Odds GW2'!$A:$C,3,FALSE)</f>
        <v>0.21978021978021972</v>
      </c>
      <c r="L21" s="1">
        <f>VLOOKUP(I21,'Outright Odds GW2'!$A:$C,2,FALSE)</f>
        <v>1.2681504026377528E-3</v>
      </c>
      <c r="M21" s="1">
        <f>VLOOKUP(I21,'Outright Odds GW2'!$A:$C,3,FALSE)</f>
        <v>7.9365079365079361E-2</v>
      </c>
      <c r="N21" t="s">
        <v>25</v>
      </c>
      <c r="O21" s="1">
        <f>1/4.44/1.03</f>
        <v>0.21866526720895649</v>
      </c>
      <c r="P21" s="5">
        <f t="shared" si="0"/>
        <v>0.26496801355231753</v>
      </c>
      <c r="Q21" t="s">
        <v>11</v>
      </c>
      <c r="R21" s="1">
        <f>VLOOKUP($A21,'Outright Odds GW3'!$A:$C,2,FALSE)</f>
        <v>6.3449763649630405E-4</v>
      </c>
      <c r="S21" s="1">
        <f>VLOOKUP($A21,'Outright Odds GW3'!$A:$C,3,FALSE)</f>
        <v>0.38095238095238093</v>
      </c>
      <c r="T21" s="1">
        <f>VLOOKUP(Q21,'Outright Odds GW3'!$A:$C,2,FALSE)</f>
        <v>1.90095998479232E-3</v>
      </c>
      <c r="U21" s="1">
        <f>VLOOKUP(Q21,'Outright Odds GW3'!$A:$C,3,FALSE)</f>
        <v>9.5238095238095233E-2</v>
      </c>
      <c r="V21" t="s">
        <v>26</v>
      </c>
      <c r="W21" s="1">
        <f>1/2.47/1.03</f>
        <v>0.39306631028654532</v>
      </c>
      <c r="X21" t="s">
        <v>4</v>
      </c>
      <c r="Y21" s="1">
        <f>VLOOKUP($A21,'Outright Odds GW4'!$A:$C,2,FALSE)</f>
        <v>6.3449763649630405E-4</v>
      </c>
      <c r="Z21" s="1">
        <f>VLOOKUP($A21,'Outright Odds GW4'!$A:$C,3,FALSE)</f>
        <v>0.38095238095238093</v>
      </c>
      <c r="AA21" s="1">
        <f>VLOOKUP(X21,'Outright Odds GW4'!$A:$C,2,FALSE)</f>
        <v>1.1757789535567312E-2</v>
      </c>
      <c r="AB21" s="1">
        <f>VLOOKUP(X21,'Outright Odds GW4'!$A:$C,3,FALSE)</f>
        <v>9.4295143800094284E-3</v>
      </c>
      <c r="AC21" t="s">
        <v>25</v>
      </c>
      <c r="AD21" s="1">
        <f>1/6.51/1.03</f>
        <v>0.14913575828076298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9FD0-AE28-4BBF-B6EB-9F237E28A481}">
  <dimension ref="A1:C21"/>
  <sheetViews>
    <sheetView workbookViewId="0"/>
  </sheetViews>
  <sheetFormatPr defaultRowHeight="15" x14ac:dyDescent="0.25"/>
  <cols>
    <col min="1" max="1" width="13.5703125" bestFit="1" customWidth="1"/>
    <col min="2" max="2" width="7.5703125" bestFit="1" customWidth="1"/>
    <col min="3" max="3" width="10.7109375" bestFit="1" customWidth="1"/>
  </cols>
  <sheetData>
    <row r="1" spans="1:3" s="2" customFormat="1" x14ac:dyDescent="0.25">
      <c r="A1" s="2" t="s">
        <v>17</v>
      </c>
      <c r="B1" s="2" t="s">
        <v>29</v>
      </c>
      <c r="C1" s="2" t="s">
        <v>30</v>
      </c>
    </row>
    <row r="2" spans="1:3" x14ac:dyDescent="0.25">
      <c r="A2" t="s">
        <v>0</v>
      </c>
      <c r="B2" s="1">
        <v>0.32840722495894908</v>
      </c>
      <c r="C2" s="1">
        <v>9.5142952285809422E-4</v>
      </c>
    </row>
    <row r="3" spans="1:3" x14ac:dyDescent="0.25">
      <c r="A3" t="s">
        <v>1</v>
      </c>
      <c r="B3" s="1">
        <v>0.26092628832354858</v>
      </c>
      <c r="C3" s="1">
        <v>9.5142952285809422E-4</v>
      </c>
    </row>
    <row r="4" spans="1:3" x14ac:dyDescent="0.25">
      <c r="A4" t="s">
        <v>3</v>
      </c>
      <c r="B4" s="1">
        <v>0.21164021164021163</v>
      </c>
      <c r="C4" s="1">
        <v>4.5351473922902487E-2</v>
      </c>
    </row>
    <row r="5" spans="1:3" x14ac:dyDescent="0.25">
      <c r="A5" t="s">
        <v>2</v>
      </c>
      <c r="B5" s="1">
        <v>9.5238095238095233E-2</v>
      </c>
      <c r="C5" s="1">
        <v>4.7382136934375737E-3</v>
      </c>
    </row>
    <row r="6" spans="1:3" x14ac:dyDescent="0.25">
      <c r="A6" t="s">
        <v>5</v>
      </c>
      <c r="B6" s="1">
        <v>3.6630036630036632E-2</v>
      </c>
      <c r="C6" s="1">
        <v>1.8674136321195144E-2</v>
      </c>
    </row>
    <row r="7" spans="1:3" x14ac:dyDescent="0.25">
      <c r="A7" t="s">
        <v>27</v>
      </c>
      <c r="B7" s="1">
        <v>1.8674136321195144E-2</v>
      </c>
      <c r="C7" s="1">
        <v>9.4295143800094284E-3</v>
      </c>
    </row>
    <row r="8" spans="1:3" x14ac:dyDescent="0.25">
      <c r="A8" t="s">
        <v>4</v>
      </c>
      <c r="B8" s="1">
        <v>1.341381623071764E-2</v>
      </c>
      <c r="C8" s="1">
        <v>4.7382136934375737E-3</v>
      </c>
    </row>
    <row r="9" spans="1:3" x14ac:dyDescent="0.25">
      <c r="A9" t="s">
        <v>6</v>
      </c>
      <c r="B9" s="1">
        <v>9.4295143800094284E-3</v>
      </c>
      <c r="C9" s="1">
        <v>6.3071586250394197E-3</v>
      </c>
    </row>
    <row r="10" spans="1:3" x14ac:dyDescent="0.25">
      <c r="A10" t="s">
        <v>7</v>
      </c>
      <c r="B10" s="1">
        <v>3.7943464238284954E-3</v>
      </c>
      <c r="C10" s="1">
        <v>4.1407867494824016E-2</v>
      </c>
    </row>
    <row r="11" spans="1:3" x14ac:dyDescent="0.25">
      <c r="A11" t="s">
        <v>9</v>
      </c>
      <c r="B11" s="1">
        <v>1.90095998479232E-3</v>
      </c>
      <c r="C11" s="1">
        <v>8.6580086580086577E-2</v>
      </c>
    </row>
    <row r="12" spans="1:3" x14ac:dyDescent="0.25">
      <c r="A12" t="s">
        <v>11</v>
      </c>
      <c r="B12" s="1">
        <v>1.90095998479232E-3</v>
      </c>
      <c r="C12" s="1">
        <v>0.10025062656641603</v>
      </c>
    </row>
    <row r="13" spans="1:3" x14ac:dyDescent="0.25">
      <c r="A13" t="s">
        <v>28</v>
      </c>
      <c r="B13" s="1">
        <v>1.90095998479232E-3</v>
      </c>
      <c r="C13" s="1">
        <v>8.6580086580086577E-2</v>
      </c>
    </row>
    <row r="14" spans="1:3" x14ac:dyDescent="0.25">
      <c r="A14" t="s">
        <v>8</v>
      </c>
      <c r="B14" s="1">
        <v>1.2681504026377528E-3</v>
      </c>
      <c r="C14" s="1">
        <v>7.9365079365079361E-2</v>
      </c>
    </row>
    <row r="15" spans="1:3" x14ac:dyDescent="0.25">
      <c r="A15" t="s">
        <v>10</v>
      </c>
      <c r="B15" s="1">
        <v>9.5142952285809422E-4</v>
      </c>
      <c r="C15" s="1">
        <v>7.3260073260073263E-2</v>
      </c>
    </row>
    <row r="16" spans="1:3" x14ac:dyDescent="0.25">
      <c r="A16" t="s">
        <v>12</v>
      </c>
      <c r="B16" s="1">
        <v>9.5142952285809422E-4</v>
      </c>
      <c r="C16" s="1">
        <v>0.23809523809523808</v>
      </c>
    </row>
    <row r="17" spans="1:3" x14ac:dyDescent="0.25">
      <c r="A17" t="s">
        <v>13</v>
      </c>
      <c r="B17" s="1">
        <v>9.5142952285809422E-4</v>
      </c>
      <c r="C17" s="1">
        <v>0.14652014652014653</v>
      </c>
    </row>
    <row r="18" spans="1:3" x14ac:dyDescent="0.25">
      <c r="A18" t="s">
        <v>14</v>
      </c>
      <c r="B18" s="1">
        <v>9.5142952285809422E-4</v>
      </c>
      <c r="C18" s="1">
        <v>0.3968253968253968</v>
      </c>
    </row>
    <row r="19" spans="1:3" x14ac:dyDescent="0.25">
      <c r="A19" t="s">
        <v>18</v>
      </c>
      <c r="B19" s="1">
        <v>9.5142952285809422E-4</v>
      </c>
      <c r="C19" s="1">
        <v>0.21978021978021972</v>
      </c>
    </row>
    <row r="20" spans="1:3" x14ac:dyDescent="0.25">
      <c r="A20" t="s">
        <v>15</v>
      </c>
      <c r="B20" s="1">
        <v>4.759524999405059E-4</v>
      </c>
      <c r="C20" s="1">
        <v>0.65934065934065933</v>
      </c>
    </row>
    <row r="21" spans="1:3" x14ac:dyDescent="0.25">
      <c r="A21" t="s">
        <v>16</v>
      </c>
      <c r="B21" s="1">
        <v>4.759524999405059E-4</v>
      </c>
      <c r="C21" s="1">
        <v>0.68027210884353739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24F2-8C79-41A4-BBFE-E107F9A989F6}">
  <dimension ref="A1:C21"/>
  <sheetViews>
    <sheetView workbookViewId="0"/>
  </sheetViews>
  <sheetFormatPr defaultRowHeight="15" x14ac:dyDescent="0.25"/>
  <cols>
    <col min="1" max="1" width="13.5703125" bestFit="1" customWidth="1"/>
    <col min="2" max="2" width="7.5703125" bestFit="1" customWidth="1"/>
    <col min="3" max="3" width="10.7109375" bestFit="1" customWidth="1"/>
  </cols>
  <sheetData>
    <row r="1" spans="1:3" s="2" customFormat="1" x14ac:dyDescent="0.25">
      <c r="A1" s="2" t="s">
        <v>17</v>
      </c>
      <c r="B1" s="2" t="s">
        <v>29</v>
      </c>
      <c r="C1" s="2" t="s">
        <v>30</v>
      </c>
    </row>
    <row r="2" spans="1:3" x14ac:dyDescent="0.25">
      <c r="A2" t="s">
        <v>0</v>
      </c>
      <c r="B2" s="1">
        <v>0.32840722495894908</v>
      </c>
      <c r="C2" s="1">
        <v>9.5142952285809422E-4</v>
      </c>
    </row>
    <row r="3" spans="1:3" x14ac:dyDescent="0.25">
      <c r="A3" t="s">
        <v>1</v>
      </c>
      <c r="B3" s="1">
        <v>0.26092628832354858</v>
      </c>
      <c r="C3" s="1">
        <v>9.5142952285809422E-4</v>
      </c>
    </row>
    <row r="4" spans="1:3" x14ac:dyDescent="0.25">
      <c r="A4" t="s">
        <v>3</v>
      </c>
      <c r="B4" s="1">
        <v>0.21164021164021163</v>
      </c>
      <c r="C4" s="1">
        <v>4.5351473922902487E-2</v>
      </c>
    </row>
    <row r="5" spans="1:3" x14ac:dyDescent="0.25">
      <c r="A5" t="s">
        <v>2</v>
      </c>
      <c r="B5" s="1">
        <v>9.5238095238095233E-2</v>
      </c>
      <c r="C5" s="1">
        <v>4.7382136934375737E-3</v>
      </c>
    </row>
    <row r="6" spans="1:3" x14ac:dyDescent="0.25">
      <c r="A6" t="s">
        <v>5</v>
      </c>
      <c r="B6" s="1">
        <v>3.6630036630036632E-2</v>
      </c>
      <c r="C6" s="1">
        <v>1.8674136321195144E-2</v>
      </c>
    </row>
    <row r="7" spans="1:3" x14ac:dyDescent="0.25">
      <c r="A7" t="s">
        <v>27</v>
      </c>
      <c r="B7" s="1">
        <v>1.8674136321195144E-2</v>
      </c>
      <c r="C7" s="1">
        <v>9.4295143800094284E-3</v>
      </c>
    </row>
    <row r="8" spans="1:3" x14ac:dyDescent="0.25">
      <c r="A8" t="s">
        <v>4</v>
      </c>
      <c r="B8" s="1">
        <v>1.341381623071764E-2</v>
      </c>
      <c r="C8" s="1">
        <v>4.7382136934375737E-3</v>
      </c>
    </row>
    <row r="9" spans="1:3" x14ac:dyDescent="0.25">
      <c r="A9" t="s">
        <v>6</v>
      </c>
      <c r="B9" s="1">
        <v>9.4295143800094284E-3</v>
      </c>
      <c r="C9" s="1">
        <v>6.3071586250394197E-3</v>
      </c>
    </row>
    <row r="10" spans="1:3" x14ac:dyDescent="0.25">
      <c r="A10" t="s">
        <v>7</v>
      </c>
      <c r="B10" s="1">
        <v>3.7943464238284954E-3</v>
      </c>
      <c r="C10" s="1">
        <v>4.1407867494824016E-2</v>
      </c>
    </row>
    <row r="11" spans="1:3" x14ac:dyDescent="0.25">
      <c r="A11" t="s">
        <v>9</v>
      </c>
      <c r="B11" s="1">
        <v>1.90095998479232E-3</v>
      </c>
      <c r="C11" s="1">
        <v>8.6580086580086577E-2</v>
      </c>
    </row>
    <row r="12" spans="1:3" x14ac:dyDescent="0.25">
      <c r="A12" t="s">
        <v>11</v>
      </c>
      <c r="B12" s="1">
        <v>1.90095998479232E-3</v>
      </c>
      <c r="C12" s="1">
        <v>0.10025062656641603</v>
      </c>
    </row>
    <row r="13" spans="1:3" x14ac:dyDescent="0.25">
      <c r="A13" t="s">
        <v>28</v>
      </c>
      <c r="B13" s="1">
        <v>1.90095998479232E-3</v>
      </c>
      <c r="C13" s="1">
        <v>8.6580086580086577E-2</v>
      </c>
    </row>
    <row r="14" spans="1:3" x14ac:dyDescent="0.25">
      <c r="A14" t="s">
        <v>8</v>
      </c>
      <c r="B14" s="1">
        <v>1.2681504026377528E-3</v>
      </c>
      <c r="C14" s="1">
        <v>7.9365079365079361E-2</v>
      </c>
    </row>
    <row r="15" spans="1:3" x14ac:dyDescent="0.25">
      <c r="A15" t="s">
        <v>10</v>
      </c>
      <c r="B15" s="1">
        <v>9.5142952285809422E-4</v>
      </c>
      <c r="C15" s="1">
        <v>7.3260073260073263E-2</v>
      </c>
    </row>
    <row r="16" spans="1:3" x14ac:dyDescent="0.25">
      <c r="A16" t="s">
        <v>12</v>
      </c>
      <c r="B16" s="1">
        <v>9.5142952285809422E-4</v>
      </c>
      <c r="C16" s="1">
        <v>0.23809523809523808</v>
      </c>
    </row>
    <row r="17" spans="1:3" x14ac:dyDescent="0.25">
      <c r="A17" t="s">
        <v>13</v>
      </c>
      <c r="B17" s="1">
        <v>9.5142952285809422E-4</v>
      </c>
      <c r="C17" s="1">
        <v>0.14652014652014653</v>
      </c>
    </row>
    <row r="18" spans="1:3" x14ac:dyDescent="0.25">
      <c r="A18" t="s">
        <v>14</v>
      </c>
      <c r="B18" s="1">
        <v>9.5142952285809422E-4</v>
      </c>
      <c r="C18" s="1">
        <v>0.3968253968253968</v>
      </c>
    </row>
    <row r="19" spans="1:3" x14ac:dyDescent="0.25">
      <c r="A19" t="s">
        <v>18</v>
      </c>
      <c r="B19" s="1">
        <v>9.5142952285809422E-4</v>
      </c>
      <c r="C19" s="1">
        <v>0.21978021978021972</v>
      </c>
    </row>
    <row r="20" spans="1:3" x14ac:dyDescent="0.25">
      <c r="A20" t="s">
        <v>15</v>
      </c>
      <c r="B20" s="1">
        <v>4.759524999405059E-4</v>
      </c>
      <c r="C20" s="1">
        <v>0.65934065934065933</v>
      </c>
    </row>
    <row r="21" spans="1:3" x14ac:dyDescent="0.25">
      <c r="A21" t="s">
        <v>16</v>
      </c>
      <c r="B21" s="1">
        <v>4.759524999405059E-4</v>
      </c>
      <c r="C21" s="1">
        <v>0.68027210884353739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C99F-AF9D-4F1A-976E-4EC0593417F4}">
  <dimension ref="A1:C21"/>
  <sheetViews>
    <sheetView workbookViewId="0"/>
  </sheetViews>
  <sheetFormatPr defaultRowHeight="15" x14ac:dyDescent="0.25"/>
  <cols>
    <col min="1" max="1" width="13.5703125" bestFit="1" customWidth="1"/>
  </cols>
  <sheetData>
    <row r="1" spans="1:3" s="2" customFormat="1" x14ac:dyDescent="0.25">
      <c r="A1" s="2" t="s">
        <v>17</v>
      </c>
      <c r="B1" s="2" t="s">
        <v>29</v>
      </c>
      <c r="C1" s="2" t="s">
        <v>30</v>
      </c>
    </row>
    <row r="2" spans="1:3" x14ac:dyDescent="0.25">
      <c r="A2" t="s">
        <v>1</v>
      </c>
      <c r="B2" s="1">
        <v>0.34632034632034631</v>
      </c>
      <c r="C2" s="1">
        <v>9.5142952285809422E-4</v>
      </c>
    </row>
    <row r="3" spans="1:3" x14ac:dyDescent="0.25">
      <c r="A3" t="s">
        <v>6</v>
      </c>
      <c r="B3" s="1">
        <v>6.3071586250394197E-3</v>
      </c>
      <c r="C3" s="1">
        <v>1.8674136321195144E-2</v>
      </c>
    </row>
    <row r="4" spans="1:3" x14ac:dyDescent="0.25">
      <c r="A4" t="s">
        <v>8</v>
      </c>
      <c r="B4" s="1">
        <v>1.90095998479232E-3</v>
      </c>
      <c r="C4" s="1">
        <v>8.6580086580086577E-2</v>
      </c>
    </row>
    <row r="5" spans="1:3" x14ac:dyDescent="0.25">
      <c r="A5" t="s">
        <v>12</v>
      </c>
      <c r="B5" s="1">
        <v>9.5142952285809422E-4</v>
      </c>
      <c r="C5" s="1">
        <v>0.25396825396825395</v>
      </c>
    </row>
    <row r="6" spans="1:3" x14ac:dyDescent="0.25">
      <c r="A6" t="s">
        <v>7</v>
      </c>
      <c r="B6" s="1">
        <v>1.90095998479232E-3</v>
      </c>
      <c r="C6" s="1">
        <v>5.6022408963585429E-2</v>
      </c>
    </row>
    <row r="7" spans="1:3" x14ac:dyDescent="0.25">
      <c r="A7" t="s">
        <v>16</v>
      </c>
      <c r="B7" s="1">
        <v>6.3449763649630405E-4</v>
      </c>
      <c r="C7" s="1">
        <v>0.70028011204481788</v>
      </c>
    </row>
    <row r="8" spans="1:3" x14ac:dyDescent="0.25">
      <c r="A8" t="s">
        <v>2</v>
      </c>
      <c r="B8" s="1">
        <v>0.11904761904761904</v>
      </c>
      <c r="C8" s="1">
        <v>1.90095998479232E-3</v>
      </c>
    </row>
    <row r="9" spans="1:3" x14ac:dyDescent="0.25">
      <c r="A9" t="s">
        <v>9</v>
      </c>
      <c r="B9" s="1">
        <v>1.90095998479232E-3</v>
      </c>
      <c r="C9" s="1">
        <v>9.5238095238095233E-2</v>
      </c>
    </row>
    <row r="10" spans="1:3" x14ac:dyDescent="0.25">
      <c r="A10" t="s">
        <v>11</v>
      </c>
      <c r="B10" s="1">
        <v>1.90095998479232E-3</v>
      </c>
      <c r="C10" s="1">
        <v>9.5238095238095233E-2</v>
      </c>
    </row>
    <row r="11" spans="1:3" x14ac:dyDescent="0.25">
      <c r="A11" t="s">
        <v>10</v>
      </c>
      <c r="B11" s="1">
        <v>9.5142952285809422E-4</v>
      </c>
      <c r="C11" s="1">
        <v>9.5238095238095233E-2</v>
      </c>
    </row>
    <row r="12" spans="1:3" x14ac:dyDescent="0.25">
      <c r="A12" t="s">
        <v>14</v>
      </c>
      <c r="B12" s="1">
        <v>1.90095998479232E-3</v>
      </c>
      <c r="C12" s="1">
        <v>0.29304029304029305</v>
      </c>
    </row>
    <row r="13" spans="1:3" x14ac:dyDescent="0.25">
      <c r="A13" t="s">
        <v>0</v>
      </c>
      <c r="B13" s="1">
        <v>0.34632034632034631</v>
      </c>
      <c r="C13" s="1">
        <v>6.3449763649630405E-4</v>
      </c>
    </row>
    <row r="14" spans="1:3" x14ac:dyDescent="0.25">
      <c r="A14" t="s">
        <v>3</v>
      </c>
      <c r="B14" s="1">
        <v>0.17316017316017315</v>
      </c>
      <c r="C14" s="1">
        <v>4.5351473922902487E-2</v>
      </c>
    </row>
    <row r="15" spans="1:3" x14ac:dyDescent="0.25">
      <c r="A15" t="s">
        <v>5</v>
      </c>
      <c r="B15" s="1">
        <v>2.8011204481792715E-2</v>
      </c>
      <c r="C15" s="1">
        <v>2.8011204481792715E-2</v>
      </c>
    </row>
    <row r="16" spans="1:3" x14ac:dyDescent="0.25">
      <c r="A16" t="s">
        <v>4</v>
      </c>
      <c r="B16" s="1">
        <v>1.1757789535567312E-2</v>
      </c>
      <c r="C16" s="1">
        <v>9.4295143800094284E-3</v>
      </c>
    </row>
    <row r="17" spans="1:3" x14ac:dyDescent="0.25">
      <c r="A17" t="s">
        <v>28</v>
      </c>
      <c r="B17" s="1">
        <v>6.3071586250394197E-3</v>
      </c>
      <c r="C17" s="1">
        <v>8.6580086580086577E-2</v>
      </c>
    </row>
    <row r="18" spans="1:3" x14ac:dyDescent="0.25">
      <c r="A18" t="s">
        <v>15</v>
      </c>
      <c r="B18" s="1">
        <v>6.3449763649630405E-4</v>
      </c>
      <c r="C18" s="1">
        <v>0.60661207158022434</v>
      </c>
    </row>
    <row r="19" spans="1:3" x14ac:dyDescent="0.25">
      <c r="A19" t="s">
        <v>27</v>
      </c>
      <c r="B19" s="1">
        <v>3.6630036630036632E-2</v>
      </c>
      <c r="C19" s="1">
        <v>6.3071586250394197E-3</v>
      </c>
    </row>
    <row r="20" spans="1:3" x14ac:dyDescent="0.25">
      <c r="A20" t="s">
        <v>13</v>
      </c>
      <c r="B20" s="1">
        <v>4.759524999405059E-4</v>
      </c>
      <c r="C20" s="1">
        <v>0.34632034632034631</v>
      </c>
    </row>
    <row r="21" spans="1:3" x14ac:dyDescent="0.25">
      <c r="A21" t="s">
        <v>18</v>
      </c>
      <c r="B21" s="1">
        <v>6.3449763649630405E-4</v>
      </c>
      <c r="C21" s="1">
        <v>0.38095238095238093</v>
      </c>
    </row>
  </sheetData>
  <sortState xmlns:xlrd2="http://schemas.microsoft.com/office/spreadsheetml/2017/richdata2" ref="A2:A21">
    <sortCondition ref="A2:A2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9FE8-7B81-4ABD-9AC8-60F7B888EBD6}">
  <dimension ref="A1:C21"/>
  <sheetViews>
    <sheetView workbookViewId="0"/>
  </sheetViews>
  <sheetFormatPr defaultRowHeight="15" x14ac:dyDescent="0.25"/>
  <cols>
    <col min="1" max="1" width="13.5703125" bestFit="1" customWidth="1"/>
    <col min="2" max="2" width="7.5703125" bestFit="1" customWidth="1"/>
    <col min="3" max="3" width="10.7109375" bestFit="1" customWidth="1"/>
  </cols>
  <sheetData>
    <row r="1" spans="1:3" s="2" customFormat="1" x14ac:dyDescent="0.25">
      <c r="A1" s="2" t="s">
        <v>17</v>
      </c>
      <c r="B1" s="2" t="s">
        <v>29</v>
      </c>
      <c r="C1" s="2" t="s">
        <v>30</v>
      </c>
    </row>
    <row r="2" spans="1:3" x14ac:dyDescent="0.25">
      <c r="A2" t="s">
        <v>1</v>
      </c>
      <c r="B2" s="1">
        <v>0.34632034632034631</v>
      </c>
      <c r="C2" s="1">
        <v>9.5142952285809422E-4</v>
      </c>
    </row>
    <row r="3" spans="1:3" x14ac:dyDescent="0.25">
      <c r="A3" t="s">
        <v>6</v>
      </c>
      <c r="B3" s="1">
        <v>6.3071586250394197E-3</v>
      </c>
      <c r="C3" s="1">
        <v>1.8674136321195144E-2</v>
      </c>
    </row>
    <row r="4" spans="1:3" x14ac:dyDescent="0.25">
      <c r="A4" t="s">
        <v>8</v>
      </c>
      <c r="B4" s="1">
        <v>1.90095998479232E-3</v>
      </c>
      <c r="C4" s="1">
        <v>8.6580086580086577E-2</v>
      </c>
    </row>
    <row r="5" spans="1:3" x14ac:dyDescent="0.25">
      <c r="A5" t="s">
        <v>12</v>
      </c>
      <c r="B5" s="1">
        <v>9.5142952285809422E-4</v>
      </c>
      <c r="C5" s="1">
        <v>0.25396825396825395</v>
      </c>
    </row>
    <row r="6" spans="1:3" x14ac:dyDescent="0.25">
      <c r="A6" t="s">
        <v>7</v>
      </c>
      <c r="B6" s="1">
        <v>1.90095998479232E-3</v>
      </c>
      <c r="C6" s="1">
        <v>5.6022408963585429E-2</v>
      </c>
    </row>
    <row r="7" spans="1:3" x14ac:dyDescent="0.25">
      <c r="A7" t="s">
        <v>16</v>
      </c>
      <c r="B7" s="1">
        <v>6.3449763649630405E-4</v>
      </c>
      <c r="C7" s="1">
        <v>0.70028011204481788</v>
      </c>
    </row>
    <row r="8" spans="1:3" x14ac:dyDescent="0.25">
      <c r="A8" t="s">
        <v>2</v>
      </c>
      <c r="B8" s="1">
        <v>0.11904761904761904</v>
      </c>
      <c r="C8" s="1">
        <v>1.90095998479232E-3</v>
      </c>
    </row>
    <row r="9" spans="1:3" x14ac:dyDescent="0.25">
      <c r="A9" t="s">
        <v>9</v>
      </c>
      <c r="B9" s="1">
        <v>1.90095998479232E-3</v>
      </c>
      <c r="C9" s="1">
        <v>9.5238095238095233E-2</v>
      </c>
    </row>
    <row r="10" spans="1:3" x14ac:dyDescent="0.25">
      <c r="A10" t="s">
        <v>11</v>
      </c>
      <c r="B10" s="1">
        <v>1.90095998479232E-3</v>
      </c>
      <c r="C10" s="1">
        <v>9.5238095238095233E-2</v>
      </c>
    </row>
    <row r="11" spans="1:3" x14ac:dyDescent="0.25">
      <c r="A11" t="s">
        <v>10</v>
      </c>
      <c r="B11" s="1">
        <v>9.5142952285809422E-4</v>
      </c>
      <c r="C11" s="1">
        <v>9.5238095238095233E-2</v>
      </c>
    </row>
    <row r="12" spans="1:3" x14ac:dyDescent="0.25">
      <c r="A12" t="s">
        <v>14</v>
      </c>
      <c r="B12" s="1">
        <v>1.90095998479232E-3</v>
      </c>
      <c r="C12" s="1">
        <v>0.29304029304029305</v>
      </c>
    </row>
    <row r="13" spans="1:3" x14ac:dyDescent="0.25">
      <c r="A13" t="s">
        <v>0</v>
      </c>
      <c r="B13" s="1">
        <v>0.34632034632034631</v>
      </c>
      <c r="C13" s="1">
        <v>6.3449763649630405E-4</v>
      </c>
    </row>
    <row r="14" spans="1:3" x14ac:dyDescent="0.25">
      <c r="A14" t="s">
        <v>3</v>
      </c>
      <c r="B14" s="1">
        <v>0.17316017316017315</v>
      </c>
      <c r="C14" s="1">
        <v>4.5351473922902487E-2</v>
      </c>
    </row>
    <row r="15" spans="1:3" x14ac:dyDescent="0.25">
      <c r="A15" t="s">
        <v>5</v>
      </c>
      <c r="B15" s="1">
        <v>2.8011204481792715E-2</v>
      </c>
      <c r="C15" s="1">
        <v>2.8011204481792715E-2</v>
      </c>
    </row>
    <row r="16" spans="1:3" x14ac:dyDescent="0.25">
      <c r="A16" t="s">
        <v>4</v>
      </c>
      <c r="B16" s="1">
        <v>1.1757789535567312E-2</v>
      </c>
      <c r="C16" s="1">
        <v>9.4295143800094284E-3</v>
      </c>
    </row>
    <row r="17" spans="1:3" x14ac:dyDescent="0.25">
      <c r="A17" t="s">
        <v>28</v>
      </c>
      <c r="B17" s="1">
        <v>6.3071586250394197E-3</v>
      </c>
      <c r="C17" s="1">
        <v>8.6580086580086577E-2</v>
      </c>
    </row>
    <row r="18" spans="1:3" x14ac:dyDescent="0.25">
      <c r="A18" t="s">
        <v>15</v>
      </c>
      <c r="B18" s="1">
        <v>6.3449763649630405E-4</v>
      </c>
      <c r="C18" s="1">
        <v>0.60661207158022434</v>
      </c>
    </row>
    <row r="19" spans="1:3" x14ac:dyDescent="0.25">
      <c r="A19" t="s">
        <v>27</v>
      </c>
      <c r="B19" s="1">
        <v>3.6630036630036632E-2</v>
      </c>
      <c r="C19" s="1">
        <v>6.3071586250394197E-3</v>
      </c>
    </row>
    <row r="20" spans="1:3" x14ac:dyDescent="0.25">
      <c r="A20" t="s">
        <v>13</v>
      </c>
      <c r="B20" s="1">
        <v>4.759524999405059E-4</v>
      </c>
      <c r="C20" s="1">
        <v>0.34632034632034631</v>
      </c>
    </row>
    <row r="21" spans="1:3" x14ac:dyDescent="0.25">
      <c r="A21" t="s">
        <v>18</v>
      </c>
      <c r="B21" s="1">
        <v>6.3449763649630405E-4</v>
      </c>
      <c r="C21" s="1">
        <v>0.38095238095238093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Formula</vt:lpstr>
      <vt:lpstr>Matches</vt:lpstr>
      <vt:lpstr>Outright Odds GW1</vt:lpstr>
      <vt:lpstr>Outright Odds GW2</vt:lpstr>
      <vt:lpstr>Outright Odds GW3</vt:lpstr>
      <vt:lpstr>Outright Odds GW4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Tyrone Cragg</dc:creator>
  <cp:lastModifiedBy>Tyrone Cragg</cp:lastModifiedBy>
  <dcterms:created xsi:type="dcterms:W3CDTF">2025-08-24T10:11:08Z</dcterms:created>
  <dcterms:modified xsi:type="dcterms:W3CDTF">2025-08-25T10:47:38Z</dcterms:modified>
</cp:coreProperties>
</file>